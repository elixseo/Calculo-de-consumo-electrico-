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uevo Calculo de Consumo electrico\Calculo\"/>
    </mc:Choice>
  </mc:AlternateContent>
  <xr:revisionPtr revIDLastSave="0" documentId="13_ncr:80000009_{91E5584F-130A-464A-A552-9BCAD831415F}" xr6:coauthVersionLast="47" xr6:coauthVersionMax="47" xr10:uidLastSave="{00000000-0000-0000-0000-000000000000}"/>
  <bookViews>
    <workbookView xWindow="20370" yWindow="-120" windowWidth="20730" windowHeight="11040" tabRatio="150" xr2:uid="{ECF98E69-5DC1-4B10-8505-23FF3B304A11}"/>
  </bookViews>
  <sheets>
    <sheet name="Inventario de Maquinarias por 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</calcChain>
</file>

<file path=xl/sharedStrings.xml><?xml version="1.0" encoding="utf-8"?>
<sst xmlns="http://schemas.openxmlformats.org/spreadsheetml/2006/main" count="4799" uniqueCount="638">
  <si>
    <t>Nro Inventario</t>
  </si>
  <si>
    <t>Inventario de Maquinarias por Nro.Descripción</t>
  </si>
  <si>
    <t>Marcas.Descripción</t>
  </si>
  <si>
    <t>Modelos.Descripción</t>
  </si>
  <si>
    <t>Serie</t>
  </si>
  <si>
    <t>Fecha de Incorporación</t>
  </si>
  <si>
    <t>Casa</t>
  </si>
  <si>
    <t>LUSTRADORA</t>
  </si>
  <si>
    <t>SUPER SPEED</t>
  </si>
  <si>
    <t>P-39</t>
  </si>
  <si>
    <t>Sin Modelo</t>
  </si>
  <si>
    <t>LAVADORA DE ALFOMBRA ROTATIVA</t>
  </si>
  <si>
    <t>DIXTER</t>
  </si>
  <si>
    <t>ASPIRADORA</t>
  </si>
  <si>
    <t>CLARKE</t>
  </si>
  <si>
    <t>600 A</t>
  </si>
  <si>
    <t>A.18</t>
  </si>
  <si>
    <t>P-28</t>
  </si>
  <si>
    <t>101-P/A</t>
  </si>
  <si>
    <t>S.KLINER</t>
  </si>
  <si>
    <t>101-P</t>
  </si>
  <si>
    <t>TURBION</t>
  </si>
  <si>
    <t>T/66</t>
  </si>
  <si>
    <t>FM 1700</t>
  </si>
  <si>
    <t>LUSTRADORA A.VELOC.ELECTRICA</t>
  </si>
  <si>
    <t>TASKI</t>
  </si>
  <si>
    <t>SUPERSONIC</t>
  </si>
  <si>
    <t>T/67</t>
  </si>
  <si>
    <t>MP-18</t>
  </si>
  <si>
    <t>SA-0911</t>
  </si>
  <si>
    <t>C-15</t>
  </si>
  <si>
    <t>S-10</t>
  </si>
  <si>
    <t>A 117427</t>
  </si>
  <si>
    <t>LAVADORA DE ALF.TRANSVERSAL</t>
  </si>
  <si>
    <t>CM-12</t>
  </si>
  <si>
    <t>12CM-14276</t>
  </si>
  <si>
    <t>102-P/A</t>
  </si>
  <si>
    <t>114374W</t>
  </si>
  <si>
    <t>P-45</t>
  </si>
  <si>
    <t>110439W</t>
  </si>
  <si>
    <t>SIRIO</t>
  </si>
  <si>
    <t>AIR FORCE X 1</t>
  </si>
  <si>
    <t>A 115340</t>
  </si>
  <si>
    <t>P-30</t>
  </si>
  <si>
    <t>TM 65</t>
  </si>
  <si>
    <t>TM 50</t>
  </si>
  <si>
    <t>P.T.V. 10</t>
  </si>
  <si>
    <t>ELECTROLUX</t>
  </si>
  <si>
    <t>FAMILIAR</t>
  </si>
  <si>
    <t>LAVADORA A VAPOR</t>
  </si>
  <si>
    <t>CLEANFIX</t>
  </si>
  <si>
    <t>ASPIRADORA MOCHILA</t>
  </si>
  <si>
    <t>NAPSAC 420</t>
  </si>
  <si>
    <t>FM 1500</t>
  </si>
  <si>
    <t>507841-5</t>
  </si>
  <si>
    <t>CORTADORA CESPED A EXPLOSION</t>
  </si>
  <si>
    <t>GRANJERO</t>
  </si>
  <si>
    <t>113185 W</t>
  </si>
  <si>
    <t>A 115312</t>
  </si>
  <si>
    <t>TM 25</t>
  </si>
  <si>
    <t>NAPSAC</t>
  </si>
  <si>
    <t>AIR FORCE X 2</t>
  </si>
  <si>
    <t>PULLMAN HOLT</t>
  </si>
  <si>
    <t>E 51488</t>
  </si>
  <si>
    <t>FM 2000</t>
  </si>
  <si>
    <t>TRACTOR</t>
  </si>
  <si>
    <t>MASSEY FERGUSON</t>
  </si>
  <si>
    <t>MF 155</t>
  </si>
  <si>
    <t>DESMALEZADORA P/TRACTOR</t>
  </si>
  <si>
    <t>Sin Marca</t>
  </si>
  <si>
    <t>S.T.V. 20</t>
  </si>
  <si>
    <t>D-43 HD</t>
  </si>
  <si>
    <t>ADVANCE</t>
  </si>
  <si>
    <t>A 117446</t>
  </si>
  <si>
    <t>A 117441</t>
  </si>
  <si>
    <t>ASPIRADORA INDUSTRIAL TRIFASICA</t>
  </si>
  <si>
    <t>TX 5</t>
  </si>
  <si>
    <t>TX 3</t>
  </si>
  <si>
    <t>CORTADORA DE CESPED ELECTRICA</t>
  </si>
  <si>
    <t>SOPLADORA A EXPLOSION</t>
  </si>
  <si>
    <t>STIHL</t>
  </si>
  <si>
    <t>SR 400</t>
  </si>
  <si>
    <t>DESMALEZADORA A EXPLOSION</t>
  </si>
  <si>
    <t>FS 280</t>
  </si>
  <si>
    <t>2000 PV</t>
  </si>
  <si>
    <t>SB 1226</t>
  </si>
  <si>
    <t>SAMBA</t>
  </si>
  <si>
    <t>25787/02</t>
  </si>
  <si>
    <t>A 103617</t>
  </si>
  <si>
    <t>BOMBA SUMERGIBLE</t>
  </si>
  <si>
    <t>SKUVA</t>
  </si>
  <si>
    <t>BATEADORA-ASPIRADORA</t>
  </si>
  <si>
    <t>CV-618</t>
  </si>
  <si>
    <t>BORDEADORA ELECTRICA</t>
  </si>
  <si>
    <t>CORVER</t>
  </si>
  <si>
    <t>LAVADORA INYECCION-EXTRACCION</t>
  </si>
  <si>
    <t>IMAGE 16IX</t>
  </si>
  <si>
    <t>UE 3044</t>
  </si>
  <si>
    <t>103-P/A</t>
  </si>
  <si>
    <t>CARGADOR DE BATERIA 36V</t>
  </si>
  <si>
    <t>CARGADOR DE BATERIA 24V</t>
  </si>
  <si>
    <t>BR 400</t>
  </si>
  <si>
    <t>P.T.V. 15</t>
  </si>
  <si>
    <t>3383-847</t>
  </si>
  <si>
    <t>TRAILER EQUIPO HIDROLAVADO</t>
  </si>
  <si>
    <t>P-33</t>
  </si>
  <si>
    <t>HIDROLAVADORA A.CALIENTE ELEC.</t>
  </si>
  <si>
    <t>PASAC</t>
  </si>
  <si>
    <t>TORO 200</t>
  </si>
  <si>
    <t>BTA-TOOLS</t>
  </si>
  <si>
    <t>BTA-135</t>
  </si>
  <si>
    <t>OLEO-MAQ</t>
  </si>
  <si>
    <t>740-T</t>
  </si>
  <si>
    <t>YES 215</t>
  </si>
  <si>
    <t>HOOVER</t>
  </si>
  <si>
    <t>S/M</t>
  </si>
  <si>
    <t>WINNER MACHINES</t>
  </si>
  <si>
    <t>Beéma 429</t>
  </si>
  <si>
    <t>22583(Souza)</t>
  </si>
  <si>
    <t>HFC 1405 CGB</t>
  </si>
  <si>
    <t>009TA00369</t>
  </si>
  <si>
    <t>APA</t>
  </si>
  <si>
    <t>HD 5/11 P</t>
  </si>
  <si>
    <t>HIDROLAVADORA A.FRIA ELECTRICA</t>
  </si>
  <si>
    <t>CLEAN MATIC</t>
  </si>
  <si>
    <t>CL 22</t>
  </si>
  <si>
    <t>FIAT</t>
  </si>
  <si>
    <t>CARGADOR DE BATERIA DE 12V</t>
  </si>
  <si>
    <t>TABLERO</t>
  </si>
  <si>
    <t>AMERICAN LINCOLN</t>
  </si>
  <si>
    <t>25783/02</t>
  </si>
  <si>
    <t>FREGADORA ELECTRICA</t>
  </si>
  <si>
    <t>SUPER SCRUBBER</t>
  </si>
  <si>
    <t>S20 E</t>
  </si>
  <si>
    <t>PULIDORA MANUAL</t>
  </si>
  <si>
    <t>BOSCH</t>
  </si>
  <si>
    <t>GPO 14E</t>
  </si>
  <si>
    <t>TURBO 4000</t>
  </si>
  <si>
    <t>MDA</t>
  </si>
  <si>
    <t>TMB</t>
  </si>
  <si>
    <t>RAINDROP M.</t>
  </si>
  <si>
    <t>Super Scrubber</t>
  </si>
  <si>
    <t>LUSTRADORA A.VEL.A BATERIA</t>
  </si>
  <si>
    <t>MINUTEMAN</t>
  </si>
  <si>
    <t>PAMS 2600</t>
  </si>
  <si>
    <t>C/disy.c/term 25A</t>
  </si>
  <si>
    <t>FREGADORA A BATERIA</t>
  </si>
  <si>
    <t>S-32B</t>
  </si>
  <si>
    <t>GHIBLI</t>
  </si>
  <si>
    <t>KT200/15</t>
  </si>
  <si>
    <t>MOTOSIERRA</t>
  </si>
  <si>
    <t>MS390</t>
  </si>
  <si>
    <t>VERBAT</t>
  </si>
  <si>
    <t>T I 2440/2</t>
  </si>
  <si>
    <t>Swingo 3500</t>
  </si>
  <si>
    <t>ELSEA</t>
  </si>
  <si>
    <t>FORZA 304</t>
  </si>
  <si>
    <t>SS-20</t>
  </si>
  <si>
    <t>BARREDORA A EXPLOSION C/OP. A BORDO</t>
  </si>
  <si>
    <t>DULEVO</t>
  </si>
  <si>
    <t>120 Elite</t>
  </si>
  <si>
    <t>120dk00436/02</t>
  </si>
  <si>
    <t>POWR FLYTE</t>
  </si>
  <si>
    <t>HIDROLAVADORA A.FRIA EXPLOSION</t>
  </si>
  <si>
    <t>AXIS</t>
  </si>
  <si>
    <t>SAMP 202</t>
  </si>
  <si>
    <t>LIMKIT</t>
  </si>
  <si>
    <t>Soteco</t>
  </si>
  <si>
    <t>Genius 650</t>
  </si>
  <si>
    <t>FORZA</t>
  </si>
  <si>
    <t>303 WD</t>
  </si>
  <si>
    <t>24V 30 A/h</t>
  </si>
  <si>
    <t>ROBUST</t>
  </si>
  <si>
    <t>FIMAP</t>
  </si>
  <si>
    <t>PFX1350</t>
  </si>
  <si>
    <t>M2000</t>
  </si>
  <si>
    <t>Swingo 450E</t>
  </si>
  <si>
    <t>COMPRESOR</t>
  </si>
  <si>
    <t>FMT</t>
  </si>
  <si>
    <t>Sutter Argentina</t>
  </si>
  <si>
    <t>P-010411-5</t>
  </si>
  <si>
    <t>ERGODISC 165</t>
  </si>
  <si>
    <t>90B</t>
  </si>
  <si>
    <t>MORI L. RADDRIZZATORI</t>
  </si>
  <si>
    <t>36V</t>
  </si>
  <si>
    <t>POWER BOSS</t>
  </si>
  <si>
    <t>SW9XR</t>
  </si>
  <si>
    <t>KARCHER</t>
  </si>
  <si>
    <t>HD 5/11C</t>
  </si>
  <si>
    <t>MS-361</t>
  </si>
  <si>
    <t>Hanomag</t>
  </si>
  <si>
    <t>0524123 / TB057467M</t>
  </si>
  <si>
    <t>CARRO TRANSPORTA BASURA</t>
  </si>
  <si>
    <t>2 mono /2 trif</t>
  </si>
  <si>
    <t>de arrastre</t>
  </si>
  <si>
    <t>s/n</t>
  </si>
  <si>
    <t>HD 6/15 C</t>
  </si>
  <si>
    <t>BR-420</t>
  </si>
  <si>
    <t>300-P</t>
  </si>
  <si>
    <t>EUREKA</t>
  </si>
  <si>
    <t>DESTAPACAÑERIAS ELECTRICO</t>
  </si>
  <si>
    <t>ALDRE</t>
  </si>
  <si>
    <t>K-60</t>
  </si>
  <si>
    <t>1HP</t>
  </si>
  <si>
    <t>BLACK &amp; DECKER</t>
  </si>
  <si>
    <t>REFLECTOR</t>
  </si>
  <si>
    <t>ALIC</t>
  </si>
  <si>
    <t>500W</t>
  </si>
  <si>
    <t>Vento</t>
  </si>
  <si>
    <t>ERGODISC</t>
  </si>
  <si>
    <t>Swingo 1650</t>
  </si>
  <si>
    <t>Swingo 4000</t>
  </si>
  <si>
    <t>BARREDORA A EXPLOSION</t>
  </si>
  <si>
    <t>HIDROLAVADORA AF/AC</t>
  </si>
  <si>
    <t>HDS 6/14</t>
  </si>
  <si>
    <t>090BK00185/00</t>
  </si>
  <si>
    <t>BARREDORA A BATERIA</t>
  </si>
  <si>
    <t>NT 35/1 Eco</t>
  </si>
  <si>
    <t>NT 38/1</t>
  </si>
  <si>
    <t>LAVA FREGADORA</t>
  </si>
  <si>
    <t>BR 40</t>
  </si>
  <si>
    <t>d71356</t>
  </si>
  <si>
    <t>HIDROLAVADORA</t>
  </si>
  <si>
    <t>HD 1040 B</t>
  </si>
  <si>
    <t>AIR FORCE S 202</t>
  </si>
  <si>
    <t>24 V</t>
  </si>
  <si>
    <t>VIPER</t>
  </si>
  <si>
    <t>FUMIGADORA MANUAL</t>
  </si>
  <si>
    <t>G.D.M.</t>
  </si>
  <si>
    <t>e series</t>
  </si>
  <si>
    <t>DÓLAR</t>
  </si>
  <si>
    <t>AT 24</t>
  </si>
  <si>
    <t>PURA POTENCIA</t>
  </si>
  <si>
    <t>PF0031</t>
  </si>
  <si>
    <t>CARJET</t>
  </si>
  <si>
    <t>120 psa</t>
  </si>
  <si>
    <t>SOPLADORA ELECTRICA</t>
  </si>
  <si>
    <t>ERGODISC 2000-01449</t>
  </si>
  <si>
    <t>SWINGO 350B-12791</t>
  </si>
  <si>
    <t>1650B-08333</t>
  </si>
  <si>
    <t>4000-10540</t>
  </si>
  <si>
    <t>4000-04415</t>
  </si>
  <si>
    <t>4000-04184</t>
  </si>
  <si>
    <t>HD 585</t>
  </si>
  <si>
    <t>1560-09379</t>
  </si>
  <si>
    <t>LUSTRADORA  ALTA VELOCIDAD H A BORDO</t>
  </si>
  <si>
    <t>COMAC</t>
  </si>
  <si>
    <t>COMAC CM 70HS PLUS</t>
  </si>
  <si>
    <t>PF0009</t>
  </si>
  <si>
    <t>090BK00235/00</t>
  </si>
  <si>
    <t>BARRED-FREG. A EXPLOSIÓN C/OP. A BORDO</t>
  </si>
  <si>
    <t>NSS E Force Burn</t>
  </si>
  <si>
    <t>MICROPOWER</t>
  </si>
  <si>
    <t>924330-5152</t>
  </si>
  <si>
    <t>SISTEMA DE ANCLAJE MOVIL</t>
  </si>
  <si>
    <t>SYAM</t>
  </si>
  <si>
    <t>HD 6/15-4 M</t>
  </si>
  <si>
    <t>ESPUMADORA</t>
  </si>
  <si>
    <t>DIVERSEY</t>
  </si>
  <si>
    <t>BDWD10AR</t>
  </si>
  <si>
    <t>MOTOSIERRA EXTENSIBLE</t>
  </si>
  <si>
    <t>Fang 28T</t>
  </si>
  <si>
    <t>EU-001068H</t>
  </si>
  <si>
    <t>EU-001058H</t>
  </si>
  <si>
    <t>EU-001054H</t>
  </si>
  <si>
    <t>EU-001086H</t>
  </si>
  <si>
    <t>FREGADORA A BATERIA C/OP. A BORDO</t>
  </si>
  <si>
    <t>AS 710 R</t>
  </si>
  <si>
    <t>EU OO 3563H</t>
  </si>
  <si>
    <t>EU OO 3562H</t>
  </si>
  <si>
    <t>MS 382</t>
  </si>
  <si>
    <t>RE 109</t>
  </si>
  <si>
    <t>ZOOMLION</t>
  </si>
  <si>
    <t>PK504G-A</t>
  </si>
  <si>
    <t>chasis ZLRKR50062WH</t>
  </si>
  <si>
    <t>1,5 mts</t>
  </si>
  <si>
    <t>CARRO TANQUE REGADOR</t>
  </si>
  <si>
    <t>CAFITO</t>
  </si>
  <si>
    <t>8000 lts</t>
  </si>
  <si>
    <t>CATANESE</t>
  </si>
  <si>
    <t>NC3M</t>
  </si>
  <si>
    <t>FC 100</t>
  </si>
  <si>
    <t>LSU 135</t>
  </si>
  <si>
    <t>001393H</t>
  </si>
  <si>
    <t>001471H</t>
  </si>
  <si>
    <t>001214H</t>
  </si>
  <si>
    <t>EUU001060H</t>
  </si>
  <si>
    <t>MINITRACTOR CORTA CESPED</t>
  </si>
  <si>
    <t>MTD</t>
  </si>
  <si>
    <t>MTD 420/38</t>
  </si>
  <si>
    <t>1F398D10031</t>
  </si>
  <si>
    <t>SC 900 ST 34D</t>
  </si>
  <si>
    <t>SC 450 20 B</t>
  </si>
  <si>
    <t>EU003550H</t>
  </si>
  <si>
    <t>LSU 35</t>
  </si>
  <si>
    <t>ARG001458H</t>
  </si>
  <si>
    <t>ARG001387H</t>
  </si>
  <si>
    <t>NILFISK</t>
  </si>
  <si>
    <t>SR 1601</t>
  </si>
  <si>
    <t>EU001051H</t>
  </si>
  <si>
    <t>EU003555H</t>
  </si>
  <si>
    <t>EU0035644</t>
  </si>
  <si>
    <t>LSU 275-ARG</t>
  </si>
  <si>
    <t>1135H</t>
  </si>
  <si>
    <t>EU001070H</t>
  </si>
  <si>
    <t>EU0011063H</t>
  </si>
  <si>
    <t>PF0204 40 AMP</t>
  </si>
  <si>
    <t>PF0099 20 AMP</t>
  </si>
  <si>
    <t>PF 0097 20 AMP</t>
  </si>
  <si>
    <t>EU001108</t>
  </si>
  <si>
    <t>PULVERIZADOR ELECTRICO</t>
  </si>
  <si>
    <t>ZONIK</t>
  </si>
  <si>
    <t>1234cordoba</t>
  </si>
  <si>
    <t>EU004315M</t>
  </si>
  <si>
    <t>FUMIGADORA MANUAL 220 V</t>
  </si>
  <si>
    <t>SONIK TECH</t>
  </si>
  <si>
    <t>EXPERT 5 LITROS</t>
  </si>
  <si>
    <t>YEMY</t>
  </si>
  <si>
    <t>UY1200Z</t>
  </si>
  <si>
    <t>EV001105H</t>
  </si>
  <si>
    <t>PF-0209</t>
  </si>
  <si>
    <t>PF-0240</t>
  </si>
  <si>
    <t>PF-0206</t>
  </si>
  <si>
    <t>EU001067H</t>
  </si>
  <si>
    <t>BR 600</t>
  </si>
  <si>
    <t>CORTADORA DE CERCO</t>
  </si>
  <si>
    <t>MARTILLO ELECTRICO</t>
  </si>
  <si>
    <t>EU004297M</t>
  </si>
  <si>
    <t>AS7690T-US</t>
  </si>
  <si>
    <t>US001113M</t>
  </si>
  <si>
    <t>US001065M</t>
  </si>
  <si>
    <t>OLEO-MAC</t>
  </si>
  <si>
    <t>EU004383M</t>
  </si>
  <si>
    <t>PF-0120</t>
  </si>
  <si>
    <t>EU004373M</t>
  </si>
  <si>
    <t>PF-0255</t>
  </si>
  <si>
    <t>ASPIRADORA  20 VOLT</t>
  </si>
  <si>
    <t>TOTAL</t>
  </si>
  <si>
    <t>LITHIUM-ION VACUUM CLEANER</t>
  </si>
  <si>
    <t>TORO</t>
  </si>
  <si>
    <t>Recycler 22 7.25 HP</t>
  </si>
  <si>
    <t>US001063M</t>
  </si>
  <si>
    <t>PF-0272</t>
  </si>
  <si>
    <t>DSU 15-ARG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</si>
  <si>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</si>
  <si>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</si>
  <si>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</si>
  <si>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</si>
  <si>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</si>
  <si>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</si>
  <si>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</si>
  <si>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FREGADORA A BATERIA HOMBRE CAMINADO</t>
  </si>
  <si>
    <t>SC800 ST-34D</t>
  </si>
  <si>
    <t>HUSQVARNA</t>
  </si>
  <si>
    <t>TS 142</t>
  </si>
  <si>
    <t>012521A002480</t>
  </si>
  <si>
    <t>24V 40A</t>
  </si>
  <si>
    <t>PF-295</t>
  </si>
  <si>
    <t>LSU275-ARG</t>
  </si>
  <si>
    <t>001218H</t>
  </si>
  <si>
    <t>K2 GARDEN</t>
  </si>
  <si>
    <t>CARGADOR DE BATERIA 12v-24v</t>
  </si>
  <si>
    <t>s/m</t>
  </si>
  <si>
    <t>HT 56</t>
  </si>
  <si>
    <t>AS530B</t>
  </si>
  <si>
    <t>EU 015217 M</t>
  </si>
  <si>
    <t>EU001106N</t>
  </si>
  <si>
    <t>EU001123N</t>
  </si>
  <si>
    <t>EU001125N</t>
  </si>
  <si>
    <t xml:space="preserve">	EU001106N</t>
  </si>
  <si>
    <t>EU005092N</t>
  </si>
  <si>
    <t>EU004918N</t>
  </si>
  <si>
    <t>EU005087N</t>
  </si>
  <si>
    <t>LOVOL 250</t>
  </si>
  <si>
    <t>TE250</t>
  </si>
  <si>
    <t>FTTTTEA30EJV000860</t>
  </si>
  <si>
    <t>Aparejo 250-500 kG 220 volt</t>
  </si>
  <si>
    <t>UY1200Z-24F25</t>
  </si>
  <si>
    <t>MARTILLO DEMOLEDOR</t>
  </si>
  <si>
    <t>OMAHA</t>
  </si>
  <si>
    <t>AS1050</t>
  </si>
  <si>
    <t>EU001518N</t>
  </si>
  <si>
    <t>S.P.E.</t>
  </si>
  <si>
    <t>CBHF2,36-25</t>
  </si>
  <si>
    <t>EU001534N</t>
  </si>
  <si>
    <t>EU001147OP</t>
  </si>
  <si>
    <t>YEWI</t>
  </si>
  <si>
    <t>EU001146N</t>
  </si>
  <si>
    <t>EU001148N</t>
  </si>
  <si>
    <t>EU0011505P</t>
  </si>
  <si>
    <t>EU001481P</t>
  </si>
  <si>
    <t>MINITRACTOR</t>
  </si>
  <si>
    <t>TROY- BILT</t>
  </si>
  <si>
    <t>13B877BS309</t>
  </si>
  <si>
    <t>1A05MB30200</t>
  </si>
  <si>
    <t>11199673300A</t>
  </si>
  <si>
    <t>EU 005227 P</t>
  </si>
  <si>
    <t>EU 001507 O</t>
  </si>
  <si>
    <t>eu 005288 p</t>
  </si>
  <si>
    <t>EU 005308 P</t>
  </si>
  <si>
    <t>EU 06259 P</t>
  </si>
  <si>
    <t>EU 06260 P</t>
  </si>
  <si>
    <t>TENNANT</t>
  </si>
  <si>
    <t>T 300</t>
  </si>
  <si>
    <t>10890118 T 300 E</t>
  </si>
  <si>
    <t>924224-5152</t>
  </si>
  <si>
    <t>T500E</t>
  </si>
  <si>
    <t>10884309 T 500 E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</si>
  <si>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</si>
  <si>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</si>
  <si>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</si>
  <si>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</si>
  <si>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</si>
  <si>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</si>
  <si>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</si>
  <si>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</si>
  <si>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</si>
  <si>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</si>
  <si>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PYSOL</t>
  </si>
  <si>
    <t>FORZA 303 WD</t>
  </si>
  <si>
    <t>EU005258P</t>
  </si>
  <si>
    <t>T7</t>
  </si>
  <si>
    <t>T7 10884278</t>
  </si>
  <si>
    <t>Sweeper</t>
  </si>
  <si>
    <t>S12002376</t>
  </si>
  <si>
    <t>0011265G</t>
  </si>
  <si>
    <t>E14039XTRZEU</t>
  </si>
  <si>
    <t>HIDROLIMP</t>
  </si>
  <si>
    <t>AG1075G</t>
  </si>
  <si>
    <t>AG1072G</t>
  </si>
  <si>
    <t>D71336</t>
  </si>
  <si>
    <t>CBHF2 48-20</t>
  </si>
  <si>
    <t>001266 G</t>
  </si>
  <si>
    <t>001261 G</t>
  </si>
  <si>
    <t>001263 G</t>
  </si>
  <si>
    <t>ASPIRO 215</t>
  </si>
  <si>
    <t>HIDRO JET</t>
  </si>
  <si>
    <t>180 BAR</t>
  </si>
  <si>
    <t>15M26-3.752</t>
  </si>
  <si>
    <t>EU005278P</t>
  </si>
  <si>
    <t>RE 150</t>
  </si>
  <si>
    <t>EU005234P</t>
  </si>
  <si>
    <t>UY240-12F10</t>
  </si>
  <si>
    <t>T-1</t>
  </si>
  <si>
    <t>MICROGLOBAL</t>
  </si>
  <si>
    <t>HD 10/21 4S</t>
  </si>
  <si>
    <t>FS-220</t>
  </si>
  <si>
    <t>POWERFIRST</t>
  </si>
  <si>
    <t>PFC0800-24CH25N</t>
  </si>
  <si>
    <t>24CH25N</t>
  </si>
  <si>
    <t>DIBRA</t>
  </si>
  <si>
    <t>R70NTE</t>
  </si>
  <si>
    <t>MS 180 CBE</t>
  </si>
  <si>
    <t>FS 38</t>
  </si>
  <si>
    <t>CHACRA</t>
  </si>
  <si>
    <t>CHACRA2515ARRK</t>
  </si>
  <si>
    <t>TWISTER</t>
  </si>
  <si>
    <t>FM-5402</t>
  </si>
  <si>
    <t>85 S</t>
  </si>
  <si>
    <t>PF-00450</t>
  </si>
  <si>
    <t>PF-00441</t>
  </si>
  <si>
    <t>10505048N</t>
  </si>
  <si>
    <t>PF-00448</t>
  </si>
  <si>
    <t>PHILCO</t>
  </si>
  <si>
    <t>PHAST 1833</t>
  </si>
  <si>
    <t>2-700-I40824-B6</t>
  </si>
  <si>
    <t>LS 160</t>
  </si>
  <si>
    <t>A G 001071 G</t>
  </si>
  <si>
    <t>INTEC</t>
  </si>
  <si>
    <t>20 RA</t>
  </si>
  <si>
    <t>SS 32 B</t>
  </si>
  <si>
    <t>GRASS-CUTTER</t>
  </si>
  <si>
    <t>JAB 1500</t>
  </si>
  <si>
    <t>HYUNDAI</t>
  </si>
  <si>
    <t>33CC</t>
  </si>
  <si>
    <t>Gamma</t>
  </si>
  <si>
    <t>MAKITA</t>
  </si>
  <si>
    <t>CARGADOR DE BATERIA DE LITIO 42V 8.0A</t>
  </si>
  <si>
    <t>QC330</t>
  </si>
  <si>
    <t>2022 3501887</t>
  </si>
  <si>
    <t>MS661-3/4</t>
  </si>
  <si>
    <t>RASTRA DE DISCO</t>
  </si>
  <si>
    <t>GENERICA</t>
  </si>
  <si>
    <t>RASTRA 24 DISCO</t>
  </si>
  <si>
    <t>BR 420</t>
  </si>
  <si>
    <t>1282024-01-CIMM</t>
  </si>
  <si>
    <t>1282024-02-CIMM</t>
  </si>
  <si>
    <t>FS 160</t>
  </si>
  <si>
    <t>MS182-3/8"P</t>
  </si>
  <si>
    <t>M.T.D. YARD MACHINES</t>
  </si>
  <si>
    <t>13BJ77KT345</t>
  </si>
  <si>
    <t>1F02MB40127</t>
  </si>
  <si>
    <t>RW (ROWA)</t>
  </si>
  <si>
    <t>DRAIN M 750 INQX F</t>
  </si>
  <si>
    <t>400 W IPX4</t>
  </si>
  <si>
    <t>PHASP6336PI</t>
  </si>
  <si>
    <t>BARREDORA MANUAL</t>
  </si>
  <si>
    <t>S6 TWIN</t>
  </si>
  <si>
    <t>SENSEI</t>
  </si>
  <si>
    <t>622 LH EXTRA</t>
  </si>
  <si>
    <t>FORZA 403 WD</t>
  </si>
  <si>
    <t>MC 2C-120/520</t>
  </si>
  <si>
    <t>PS480 PUSH SWEEPER</t>
  </si>
  <si>
    <t>EU012742R</t>
  </si>
  <si>
    <t>TS 148</t>
  </si>
  <si>
    <t>102323A005422</t>
  </si>
  <si>
    <t>ECHO</t>
  </si>
  <si>
    <t>PB-755</t>
  </si>
  <si>
    <t>GLADIATOR PROFESIONAL</t>
  </si>
  <si>
    <t>BD74314</t>
  </si>
  <si>
    <t>SV17091811010</t>
  </si>
  <si>
    <t>DEWALT</t>
  </si>
  <si>
    <t>PERFORM PROTECT</t>
  </si>
  <si>
    <t>D25733-AR</t>
  </si>
  <si>
    <t>HD 5/11 C</t>
  </si>
  <si>
    <t>CRIQUE HIDRAULICO</t>
  </si>
  <si>
    <t>HAMILTON</t>
  </si>
  <si>
    <t>GP 300 N</t>
  </si>
  <si>
    <t>T260</t>
  </si>
  <si>
    <t>PFC0450-24CH15S</t>
  </si>
  <si>
    <t>CN5006264</t>
  </si>
  <si>
    <t>MS 212 3/8</t>
  </si>
  <si>
    <t>ALARGUE</t>
  </si>
  <si>
    <t>OPTIMA 85B</t>
  </si>
  <si>
    <t>RPE</t>
  </si>
  <si>
    <t>M24/50</t>
  </si>
  <si>
    <t>VEGA 65 BT</t>
  </si>
  <si>
    <t>MS 162 3/8" P</t>
  </si>
  <si>
    <t>1148-011-3010</t>
  </si>
  <si>
    <t>VEGA 65 BT-REWATER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</si>
  <si>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</si>
  <si>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</si>
  <si>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</si>
  <si>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</si>
  <si>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</si>
  <si>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</si>
  <si>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</si>
  <si>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</si>
  <si>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</si>
  <si>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BARREDORA ACCESORIO MINICARGADORA</t>
  </si>
  <si>
    <t>BAR150</t>
  </si>
  <si>
    <t>620 BAG PLUS ESTRA</t>
  </si>
  <si>
    <t>S960 PULS</t>
  </si>
  <si>
    <t>CARGADOR DE BATERIA 48V</t>
  </si>
  <si>
    <t>CH03D-WBP-GM01</t>
  </si>
  <si>
    <t>MEICOM</t>
  </si>
  <si>
    <t>HIDROPRO 812 A</t>
  </si>
  <si>
    <t>YEWY</t>
  </si>
  <si>
    <t>UY1200Z.24F25</t>
  </si>
  <si>
    <t>ARG002783Q</t>
  </si>
  <si>
    <t>ARG002910Q</t>
  </si>
  <si>
    <t>PENDIENTE</t>
  </si>
  <si>
    <t>3 74 363 069</t>
  </si>
  <si>
    <t>00246-013</t>
  </si>
  <si>
    <t>122 HD 60</t>
  </si>
  <si>
    <t>2025 3000084 966 53</t>
  </si>
  <si>
    <t>ARG002973Q</t>
  </si>
  <si>
    <t>BOMBA  SUMERGIBLE TRITURADORA</t>
  </si>
  <si>
    <t>MEC</t>
  </si>
  <si>
    <t>WSD25-12-1.1C</t>
  </si>
  <si>
    <t>MEC1002215</t>
  </si>
  <si>
    <t>A CONFIRMAR</t>
  </si>
  <si>
    <t>EQUIPO LIMPIEZA EN ALTURA OSMOSIS INVERSA</t>
  </si>
  <si>
    <t>QLEEN</t>
  </si>
  <si>
    <t>DISY  E</t>
  </si>
  <si>
    <t>538/1125</t>
  </si>
  <si>
    <t>ARG002969Q</t>
  </si>
  <si>
    <t>ARG002967Q</t>
  </si>
  <si>
    <t>SECADOR DE ALFOMBRA TURBINA</t>
  </si>
  <si>
    <t>HIDROVAC</t>
  </si>
  <si>
    <t>CB-900D</t>
  </si>
  <si>
    <t>CARGADOR DE BATERIA DE LITIO 28V</t>
  </si>
  <si>
    <t>LIFEPO4</t>
  </si>
  <si>
    <t>PSP1K4/28</t>
  </si>
  <si>
    <t>TERSUS</t>
  </si>
  <si>
    <t>CB30</t>
  </si>
  <si>
    <t>HIDROLAVADORA A BATERÍA</t>
  </si>
  <si>
    <t>EMA</t>
  </si>
  <si>
    <t>CORTADORA DE CESPED A EXPLOSION  GIRO 0</t>
  </si>
  <si>
    <t>TITAN 60IN RIDING MOTOR KOHLER 7000 SERIES PRO</t>
  </si>
  <si>
    <t>202511-80871</t>
  </si>
  <si>
    <t>HIDROJET 15M26-3.7S2</t>
  </si>
  <si>
    <t>DESMALEZADORA A BATERIA</t>
  </si>
  <si>
    <t>535 iRX PROFESSIONAL</t>
  </si>
  <si>
    <t>2021 3800496</t>
  </si>
  <si>
    <t>2021 3800443</t>
  </si>
  <si>
    <t>CORTADORA DE CESPED A BATERIA</t>
  </si>
  <si>
    <t>RMA 353</t>
  </si>
  <si>
    <t>CARGADOR DE BATERIA DE LITIO 36V 6,5 A</t>
  </si>
  <si>
    <t>AL 301</t>
  </si>
  <si>
    <t>EA09-430-5510</t>
  </si>
  <si>
    <t>0026-015</t>
  </si>
  <si>
    <t>ARG002821Q</t>
  </si>
  <si>
    <t>ARG002832Q</t>
  </si>
  <si>
    <t>GLADIATOR</t>
  </si>
  <si>
    <t>2.7 HP</t>
  </si>
  <si>
    <t>GB JD00858</t>
  </si>
  <si>
    <t>PAMPA PRO</t>
  </si>
  <si>
    <t>GHA22K675</t>
  </si>
  <si>
    <t>SPICEJET 150/9</t>
  </si>
  <si>
    <t>SG4.4</t>
  </si>
  <si>
    <t>TR-AA80 PLVO/AGUA 80 LTS</t>
  </si>
  <si>
    <t>IDROHIPPO</t>
  </si>
  <si>
    <t>JAB TP1200</t>
  </si>
  <si>
    <t>JAB1200</t>
  </si>
  <si>
    <t>FS 291</t>
  </si>
  <si>
    <t>40-C500X</t>
  </si>
  <si>
    <t>MS 172</t>
  </si>
  <si>
    <t>HSA 100 PROFESIONAL</t>
  </si>
  <si>
    <t>13BB77SS345</t>
  </si>
  <si>
    <t>1E12SB40005</t>
  </si>
  <si>
    <t>13B877SS345</t>
  </si>
  <si>
    <t>1G17SB20134</t>
  </si>
  <si>
    <t>ANNOVI  REVERBERI</t>
  </si>
  <si>
    <t>BLUE CLEAN 1000 KBR</t>
  </si>
  <si>
    <t>15608-18240107</t>
  </si>
  <si>
    <t>SG 20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</si>
  <si>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</si>
  <si>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</si>
  <si>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</si>
  <si>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</si>
  <si>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</si>
  <si>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</si>
  <si>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</si>
  <si>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</si>
  <si>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521035G2</t>
  </si>
  <si>
    <t>TITAN 810 XZ-WST810</t>
  </si>
  <si>
    <t>CARGADOR DE BATERIA 42,96V 40AMP</t>
  </si>
  <si>
    <t>300BG3640L</t>
  </si>
  <si>
    <t>520035G0</t>
  </si>
  <si>
    <t>371395480C</t>
  </si>
  <si>
    <t>1127 021 0800</t>
  </si>
  <si>
    <t>1548</t>
  </si>
  <si>
    <t>potencia</t>
  </si>
  <si>
    <t>numero</t>
  </si>
  <si>
    <t>HS/DÍA</t>
  </si>
  <si>
    <t>Calculo</t>
  </si>
  <si>
    <t>Hs-dia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</si>
</sst>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14" fontId="2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A13DC-C214-456F-ABB6-3D69B2618269}" name="Tabla1" displayName="Tabla1" ref="A1:J1550" totalsRowShown="0" headerRowDxfId="3">
  <autoFilter ref="A1:J1550" xr:uid="{428A13DC-C214-456F-ABB6-3D69B2618269}">
    <filterColumn colId="8">
      <filters>
        <filter val="0,011111111"/>
        <filter val="0,016666667"/>
        <filter val="0,022222222"/>
        <filter val="0,022333333"/>
        <filter val="0,027777778"/>
        <filter val="0,033333333"/>
        <filter val="0,035714286"/>
        <filter val="0,047619048"/>
        <filter val="0,05"/>
        <filter val="0,055555556"/>
        <filter val="0,066666667"/>
        <filter val="0,071428571"/>
        <filter val="0,095238095"/>
        <filter val="0,095714286"/>
        <filter val="0,1"/>
        <filter val="0,107142857"/>
        <filter val="0,133333333"/>
        <filter val="0,142857143"/>
        <filter val="0,166666667"/>
        <filter val="0,19047619"/>
        <filter val="0,2"/>
        <filter val="0,214285714"/>
        <filter val="0,238095238"/>
        <filter val="0,266666667"/>
        <filter val="0,285714286"/>
        <filter val="0,333333333"/>
        <filter val="0,4"/>
        <filter val="0,428571429"/>
        <filter val="0,5"/>
        <filter val="0,533333333"/>
        <filter val="0,571428571"/>
        <filter val="0,666666667"/>
        <filter val="0,67"/>
        <filter val="0,714285714"/>
        <filter val="0,8"/>
        <filter val="0,833333333"/>
        <filter val="0,857142857"/>
        <filter val="1"/>
        <filter val="1,142857143"/>
        <filter val="1,166666667"/>
        <filter val="1,285714286"/>
        <filter val="1,333333333"/>
        <filter val="1,428571429"/>
        <filter val="1,5"/>
        <filter val="1,6"/>
        <filter val="1,666666667"/>
        <filter val="1,714285714"/>
        <filter val="10"/>
        <filter val="2"/>
        <filter val="2,142857143"/>
        <filter val="2,5"/>
        <filter val="2,571428571"/>
        <filter val="2,857142857"/>
        <filter val="3"/>
        <filter val="3,428571429"/>
        <filter val="3,714285714"/>
        <filter val="4"/>
        <filter val="5"/>
        <filter val="6"/>
      </filters>
    </filterColumn>
  </autoFilter>
  <tableColumns count="10">
    <tableColumn id="1" xr3:uid="{C50E4A7B-58A1-43BC-AEE7-F1106DC234C7}" name="Nro Inventario" dataDxfId="10"/>
    <tableColumn id="2" xr3:uid="{787890DB-CBBA-4C6D-AAFE-076787A3C431}" name="Inventario de Maquinarias por Nro.Descripción" dataDxfId="9"/>
    <tableColumn id="3" xr3:uid="{2D3C0459-484A-4E77-A43E-25B1C694DDE0}" name="Marcas.Descripción" dataDxfId="8"/>
    <tableColumn id="4" xr3:uid="{8893043B-2D48-4919-A2FF-8DE57B7B424B}" name="Modelos.Descripción" dataDxfId="7"/>
    <tableColumn id="5" xr3:uid="{0C01435F-62AD-4115-89BC-19196C39D963}" name="Serie" dataDxfId="6"/>
    <tableColumn id="6" xr3:uid="{3FC4064A-6FD0-4521-B186-FDEDD34A0886}" name="Fecha de Incorporación" dataDxfId="5"/>
    <tableColumn id="7" xr3:uid="{64E554D5-F38E-428B-8810-39BE6526BEE4}" name="Casa" dataDxfId="4"/>
    <tableColumn id="8" xr3:uid="{243D1360-4FFB-42C7-BA44-474862752C48}" name="potencia" dataDxfId="2">
      <calculatedColumnFormula>VLOOKUP(A2,O:P,2)</calculatedColumnFormula>
    </tableColumn>
    <tableColumn id="9" xr3:uid="{1E47CFD8-D9EF-4779-8C2F-F5BE43F2CAAD}" name="Hs-dia" dataDxfId="1">
      <calculatedColumnFormula>VLOOKUP(A2,R:S,2)</calculatedColumnFormula>
    </tableColumn>
    <tableColumn id="10" xr3:uid="{3A1C8C65-856B-424A-9F31-D686B3EC8D0C}" name="Calculo" dataDxfId="0">
      <calculatedColumnFormula>H2*I2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9B9A-5F12-4A37-AEAD-3CE38C133571}">
  <dimension ref="A1:S1550"/>
  <sheetViews>
    <sheetView tabSelected="1" topLeftCell="C21" zoomScaleNormal="209" zoomScaleSheetLayoutView="240" workbookViewId="0">
      <selection activeCell="J22" sqref="J22"/>
    </sheetView>
  </sheetViews>
  <sheetFormatPr baseColWidth="10" defaultRowHeight="12.75" x14ac:dyDescent="0.2"/>
  <cols>
    <col min="1" max="1" width="18.85546875" customWidth="1"/>
    <col min="2" max="2" width="45.28515625" customWidth="1"/>
    <col min="3" max="3" width="27" customWidth="1"/>
    <col min="4" max="4" width="30.5703125" customWidth="1"/>
    <col min="5" max="5" width="8.28515625" customWidth="1"/>
    <col min="6" max="6" width="24.7109375" customWidth="1"/>
    <col min="7" max="7" width="21.140625" customWidth="1"/>
    <col min="10" max="10" width="26.140625" customWidth="1"/>
  </cols>
  <sheetData>
    <row r="1" spans="1:19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633</v>
      </c>
      <c r="I1" s="1" t="s">
        <v>637</v>
      </c>
      <c r="J1" s="1" t="s">
        <v>636</v>
      </c>
      <c r="O1" t="s">
        <v>634</v>
      </c>
      <c r="P1" t="s">
        <v>633</v>
      </c>
      <c r="R1" t="s">
        <v>0</v>
      </c>
      <c r="S1" t="s">
        <v>635</v>
      </c>
    </row>
    <row r="2" spans="1:19" ht="15" hidden="1" customHeight="1" x14ac:dyDescent="0.2">
      <c r="A2" s="4">
        <v>5</v>
      </c>
      <c r="B2" s="2" t="s">
        <v>7</v>
      </c>
      <c r="C2" s="2" t="s">
        <v>8</v>
      </c>
      <c r="D2" s="2" t="s">
        <v>9</v>
      </c>
      <c r="F2" s="3">
        <v>25688</v>
      </c>
      <c r="G2" s="4">
        <v>3135001000</v>
      </c>
      <c r="H2">
        <f t="shared" ref="H2:H65" si="0">VLOOKUP(A2,O:P,2)</f>
        <v>309.5</v>
      </c>
      <c r="I2" t="e">
        <f t="shared" ref="I2:I65" si="1">VLOOKUP(A2,R:S,2)</f>
        <v>#N/A</v>
      </c>
      <c r="J2" t="e">
        <f t="shared" ref="J2:J65" si="2">H2*I2</f>
        <v>#N/A</v>
      </c>
      <c r="O2">
        <v>5</v>
      </c>
      <c r="P2">
        <v>309.5</v>
      </c>
      <c r="R2">
        <v>2685</v>
      </c>
      <c r="S2">
        <v>4</v>
      </c>
    </row>
    <row r="3" spans="1:19" ht="15" hidden="1" customHeight="1" x14ac:dyDescent="0.2">
      <c r="A3" s="4">
        <v>6</v>
      </c>
      <c r="B3" s="2" t="s">
        <v>7</v>
      </c>
      <c r="C3" s="2" t="s">
        <v>8</v>
      </c>
      <c r="D3" s="2" t="s">
        <v>9</v>
      </c>
      <c r="F3" s="3">
        <v>36773</v>
      </c>
      <c r="G3" s="4">
        <v>3370003000</v>
      </c>
      <c r="H3">
        <f t="shared" si="0"/>
        <v>309.5</v>
      </c>
      <c r="I3" t="e">
        <f t="shared" si="1"/>
        <v>#N/A</v>
      </c>
      <c r="J3" t="e">
        <f t="shared" si="2"/>
        <v>#N/A</v>
      </c>
      <c r="O3">
        <v>6</v>
      </c>
      <c r="P3">
        <v>309.5</v>
      </c>
      <c r="R3">
        <v>2918</v>
      </c>
      <c r="S3">
        <v>4</v>
      </c>
    </row>
    <row r="4" spans="1:19" ht="15" hidden="1" customHeight="1" x14ac:dyDescent="0.2">
      <c r="A4" s="4">
        <v>7</v>
      </c>
      <c r="B4" s="2" t="s">
        <v>7</v>
      </c>
      <c r="C4" s="2" t="s">
        <v>8</v>
      </c>
      <c r="D4" s="2" t="s">
        <v>10</v>
      </c>
      <c r="F4" s="3">
        <v>25688</v>
      </c>
      <c r="G4" s="4">
        <v>43001000</v>
      </c>
      <c r="H4">
        <f t="shared" si="0"/>
        <v>1212</v>
      </c>
      <c r="I4" t="e">
        <f t="shared" si="1"/>
        <v>#N/A</v>
      </c>
      <c r="J4" t="e">
        <f t="shared" si="2"/>
        <v>#N/A</v>
      </c>
      <c r="O4">
        <v>7</v>
      </c>
      <c r="P4">
        <v>1212</v>
      </c>
      <c r="R4">
        <v>3011</v>
      </c>
      <c r="S4">
        <v>3</v>
      </c>
    </row>
    <row r="5" spans="1:19" ht="15" hidden="1" customHeight="1" x14ac:dyDescent="0.2">
      <c r="A5" s="4">
        <v>8</v>
      </c>
      <c r="B5" s="2" t="s">
        <v>7</v>
      </c>
      <c r="C5" s="2" t="s">
        <v>8</v>
      </c>
      <c r="D5" s="2" t="s">
        <v>10</v>
      </c>
      <c r="F5" s="3">
        <v>27760</v>
      </c>
      <c r="G5" s="4">
        <v>165005000</v>
      </c>
      <c r="H5">
        <f t="shared" si="0"/>
        <v>1212</v>
      </c>
      <c r="I5" t="e">
        <f t="shared" si="1"/>
        <v>#N/A</v>
      </c>
      <c r="J5" t="e">
        <f t="shared" si="2"/>
        <v>#N/A</v>
      </c>
      <c r="O5">
        <v>8</v>
      </c>
      <c r="P5">
        <v>1212</v>
      </c>
      <c r="R5">
        <v>3098</v>
      </c>
      <c r="S5">
        <v>1.1428571428571428</v>
      </c>
    </row>
    <row r="6" spans="1:19" ht="26.1" hidden="1" customHeight="1" x14ac:dyDescent="0.2">
      <c r="A6" s="4">
        <v>11</v>
      </c>
      <c r="B6" s="2" t="s">
        <v>11</v>
      </c>
      <c r="C6" s="2" t="s">
        <v>12</v>
      </c>
      <c r="D6" s="2" t="s">
        <v>9</v>
      </c>
      <c r="E6" s="2">
        <v>42617</v>
      </c>
      <c r="F6" s="3">
        <v>25688</v>
      </c>
      <c r="G6" s="4">
        <v>66011000</v>
      </c>
      <c r="H6">
        <f t="shared" si="0"/>
        <v>318.5</v>
      </c>
      <c r="I6" t="e">
        <f t="shared" si="1"/>
        <v>#N/A</v>
      </c>
      <c r="J6" t="e">
        <f t="shared" si="2"/>
        <v>#N/A</v>
      </c>
      <c r="O6">
        <v>11</v>
      </c>
      <c r="P6">
        <v>318.5</v>
      </c>
      <c r="R6">
        <v>3135</v>
      </c>
      <c r="S6">
        <v>6</v>
      </c>
    </row>
    <row r="7" spans="1:19" ht="15" hidden="1" customHeight="1" x14ac:dyDescent="0.2">
      <c r="A7" s="4">
        <v>18</v>
      </c>
      <c r="B7" s="2" t="s">
        <v>13</v>
      </c>
      <c r="C7" s="2" t="s">
        <v>14</v>
      </c>
      <c r="D7" s="2" t="s">
        <v>15</v>
      </c>
      <c r="E7" s="2">
        <v>117405</v>
      </c>
      <c r="F7" s="3">
        <v>25688</v>
      </c>
      <c r="G7" s="4">
        <v>1014001</v>
      </c>
      <c r="H7">
        <f t="shared" si="0"/>
        <v>1091</v>
      </c>
      <c r="I7" t="e">
        <f t="shared" si="1"/>
        <v>#N/A</v>
      </c>
      <c r="J7" t="e">
        <f t="shared" si="2"/>
        <v>#N/A</v>
      </c>
      <c r="O7">
        <v>18</v>
      </c>
      <c r="P7">
        <v>1091</v>
      </c>
      <c r="R7">
        <v>3209</v>
      </c>
      <c r="S7">
        <v>3</v>
      </c>
    </row>
    <row r="8" spans="1:19" ht="15" hidden="1" customHeight="1" x14ac:dyDescent="0.2">
      <c r="A8" s="4">
        <v>23</v>
      </c>
      <c r="B8" s="2" t="s">
        <v>7</v>
      </c>
      <c r="C8" s="2" t="s">
        <v>12</v>
      </c>
      <c r="D8" s="2" t="s">
        <v>10</v>
      </c>
      <c r="F8" s="3">
        <v>25688</v>
      </c>
      <c r="G8" s="4">
        <v>1014001</v>
      </c>
      <c r="H8">
        <f t="shared" si="0"/>
        <v>1154</v>
      </c>
      <c r="I8" t="e">
        <f t="shared" si="1"/>
        <v>#N/A</v>
      </c>
      <c r="J8" t="e">
        <f t="shared" si="2"/>
        <v>#N/A</v>
      </c>
      <c r="O8">
        <v>23</v>
      </c>
      <c r="P8">
        <v>1154</v>
      </c>
      <c r="R8">
        <v>1765</v>
      </c>
      <c r="S8">
        <v>12</v>
      </c>
    </row>
    <row r="9" spans="1:19" ht="15" hidden="1" customHeight="1" x14ac:dyDescent="0.2">
      <c r="A9" s="4">
        <v>26</v>
      </c>
      <c r="B9" s="2" t="s">
        <v>7</v>
      </c>
      <c r="C9" s="2" t="s">
        <v>8</v>
      </c>
      <c r="D9" s="2" t="s">
        <v>9</v>
      </c>
      <c r="E9" s="2">
        <v>9814</v>
      </c>
      <c r="F9" s="3">
        <v>25688</v>
      </c>
      <c r="G9" s="4">
        <v>43006000</v>
      </c>
      <c r="H9">
        <f t="shared" si="0"/>
        <v>309.5</v>
      </c>
      <c r="I9" t="e">
        <f t="shared" si="1"/>
        <v>#N/A</v>
      </c>
      <c r="J9" t="e">
        <f t="shared" si="2"/>
        <v>#N/A</v>
      </c>
      <c r="O9">
        <v>26</v>
      </c>
      <c r="P9">
        <v>309.5</v>
      </c>
      <c r="R9">
        <v>1769</v>
      </c>
      <c r="S9">
        <v>12</v>
      </c>
    </row>
    <row r="10" spans="1:19" ht="15" hidden="1" customHeight="1" x14ac:dyDescent="0.2">
      <c r="A10" s="4">
        <v>30</v>
      </c>
      <c r="B10" s="2" t="s">
        <v>13</v>
      </c>
      <c r="C10" s="2" t="s">
        <v>12</v>
      </c>
      <c r="D10" s="2" t="s">
        <v>16</v>
      </c>
      <c r="F10" s="3">
        <v>25688</v>
      </c>
      <c r="G10" s="4">
        <v>1068020000</v>
      </c>
      <c r="H10">
        <f t="shared" si="0"/>
        <v>0</v>
      </c>
      <c r="I10" t="e">
        <f t="shared" si="1"/>
        <v>#N/A</v>
      </c>
      <c r="J10" t="e">
        <f t="shared" si="2"/>
        <v>#N/A</v>
      </c>
      <c r="O10">
        <v>30</v>
      </c>
      <c r="P10">
        <v>0</v>
      </c>
      <c r="R10">
        <v>2149</v>
      </c>
      <c r="S10">
        <v>12</v>
      </c>
    </row>
    <row r="11" spans="1:19" ht="15" hidden="1" customHeight="1" x14ac:dyDescent="0.2">
      <c r="A11" s="4">
        <v>31</v>
      </c>
      <c r="B11" s="2" t="s">
        <v>13</v>
      </c>
      <c r="C11" s="2" t="s">
        <v>14</v>
      </c>
      <c r="D11" s="2" t="s">
        <v>15</v>
      </c>
      <c r="F11" s="3">
        <v>25688</v>
      </c>
      <c r="G11" s="4">
        <v>43006000</v>
      </c>
      <c r="H11">
        <f t="shared" si="0"/>
        <v>1091</v>
      </c>
      <c r="I11" t="e">
        <f t="shared" si="1"/>
        <v>#N/A</v>
      </c>
      <c r="J11" t="e">
        <f t="shared" si="2"/>
        <v>#N/A</v>
      </c>
      <c r="O11">
        <v>31</v>
      </c>
      <c r="P11">
        <v>1091</v>
      </c>
      <c r="R11">
        <v>2170</v>
      </c>
      <c r="S11">
        <v>12</v>
      </c>
    </row>
    <row r="12" spans="1:19" ht="15" hidden="1" customHeight="1" x14ac:dyDescent="0.2">
      <c r="A12" s="4">
        <v>35</v>
      </c>
      <c r="B12" s="2" t="s">
        <v>13</v>
      </c>
      <c r="C12" s="2" t="s">
        <v>14</v>
      </c>
      <c r="D12" s="2" t="s">
        <v>15</v>
      </c>
      <c r="E12" s="2">
        <v>115350</v>
      </c>
      <c r="F12" s="3">
        <v>25688</v>
      </c>
      <c r="G12" s="4">
        <v>2886003000</v>
      </c>
      <c r="H12">
        <f t="shared" si="0"/>
        <v>1091</v>
      </c>
      <c r="I12" t="e">
        <f t="shared" si="1"/>
        <v>#N/A</v>
      </c>
      <c r="J12" t="e">
        <f t="shared" si="2"/>
        <v>#N/A</v>
      </c>
      <c r="O12">
        <v>35</v>
      </c>
      <c r="P12">
        <v>1091</v>
      </c>
      <c r="R12">
        <v>2181</v>
      </c>
      <c r="S12">
        <v>12</v>
      </c>
    </row>
    <row r="13" spans="1:19" ht="15" hidden="1" customHeight="1" x14ac:dyDescent="0.2">
      <c r="A13" s="4">
        <v>40</v>
      </c>
      <c r="B13" s="2" t="s">
        <v>7</v>
      </c>
      <c r="C13" s="2" t="s">
        <v>8</v>
      </c>
      <c r="D13" s="2" t="s">
        <v>9</v>
      </c>
      <c r="E13" s="2">
        <v>722</v>
      </c>
      <c r="F13" s="3">
        <v>25688</v>
      </c>
      <c r="G13" s="4">
        <v>2126001000</v>
      </c>
      <c r="H13">
        <f t="shared" si="0"/>
        <v>309.5</v>
      </c>
      <c r="I13" t="e">
        <f t="shared" si="1"/>
        <v>#N/A</v>
      </c>
      <c r="J13" t="e">
        <f t="shared" si="2"/>
        <v>#N/A</v>
      </c>
      <c r="O13">
        <v>40</v>
      </c>
      <c r="P13">
        <v>309.5</v>
      </c>
      <c r="R13">
        <v>2242</v>
      </c>
      <c r="S13">
        <v>12</v>
      </c>
    </row>
    <row r="14" spans="1:19" ht="15" hidden="1" customHeight="1" x14ac:dyDescent="0.2">
      <c r="A14" s="4">
        <v>41</v>
      </c>
      <c r="B14" s="2" t="s">
        <v>7</v>
      </c>
      <c r="C14" s="2" t="s">
        <v>8</v>
      </c>
      <c r="D14" s="2" t="s">
        <v>9</v>
      </c>
      <c r="E14" s="2">
        <v>1223</v>
      </c>
      <c r="F14" s="3">
        <v>25688</v>
      </c>
      <c r="G14" s="4">
        <v>66011000</v>
      </c>
      <c r="H14">
        <f t="shared" si="0"/>
        <v>309.5</v>
      </c>
      <c r="I14" t="e">
        <f t="shared" si="1"/>
        <v>#N/A</v>
      </c>
      <c r="J14" t="e">
        <f t="shared" si="2"/>
        <v>#N/A</v>
      </c>
      <c r="O14">
        <v>41</v>
      </c>
      <c r="P14">
        <v>309.5</v>
      </c>
      <c r="R14">
        <v>2370</v>
      </c>
      <c r="S14">
        <v>12</v>
      </c>
    </row>
    <row r="15" spans="1:19" ht="26.1" hidden="1" customHeight="1" x14ac:dyDescent="0.2">
      <c r="A15" s="4">
        <v>46</v>
      </c>
      <c r="B15" s="2" t="s">
        <v>11</v>
      </c>
      <c r="C15" s="2" t="s">
        <v>8</v>
      </c>
      <c r="D15" s="2" t="s">
        <v>9</v>
      </c>
      <c r="E15" s="2">
        <v>1489</v>
      </c>
      <c r="F15" s="3">
        <v>25688</v>
      </c>
      <c r="G15" s="4">
        <v>3400002000</v>
      </c>
      <c r="H15">
        <f t="shared" si="0"/>
        <v>309.5</v>
      </c>
      <c r="I15" t="e">
        <f t="shared" si="1"/>
        <v>#N/A</v>
      </c>
      <c r="J15" t="e">
        <f t="shared" si="2"/>
        <v>#N/A</v>
      </c>
      <c r="O15">
        <v>46</v>
      </c>
      <c r="P15">
        <v>309.5</v>
      </c>
      <c r="R15">
        <v>2387</v>
      </c>
      <c r="S15">
        <v>12</v>
      </c>
    </row>
    <row r="16" spans="1:19" ht="15" hidden="1" customHeight="1" x14ac:dyDescent="0.2">
      <c r="A16" s="4">
        <v>49</v>
      </c>
      <c r="B16" s="2" t="s">
        <v>7</v>
      </c>
      <c r="C16" s="2" t="s">
        <v>8</v>
      </c>
      <c r="D16" s="2" t="s">
        <v>17</v>
      </c>
      <c r="E16" s="2">
        <v>15620</v>
      </c>
      <c r="F16" s="3">
        <v>25688</v>
      </c>
      <c r="G16" s="4">
        <v>2548095000</v>
      </c>
      <c r="H16">
        <f t="shared" si="0"/>
        <v>461</v>
      </c>
      <c r="I16" t="e">
        <f t="shared" si="1"/>
        <v>#N/A</v>
      </c>
      <c r="J16" t="e">
        <f t="shared" si="2"/>
        <v>#N/A</v>
      </c>
      <c r="O16">
        <v>49</v>
      </c>
      <c r="P16">
        <v>461</v>
      </c>
      <c r="R16">
        <v>2397</v>
      </c>
      <c r="S16">
        <v>12</v>
      </c>
    </row>
    <row r="17" spans="1:19" ht="15" hidden="1" customHeight="1" x14ac:dyDescent="0.2">
      <c r="A17" s="4">
        <v>56</v>
      </c>
      <c r="B17" s="2" t="s">
        <v>13</v>
      </c>
      <c r="C17" s="2" t="s">
        <v>8</v>
      </c>
      <c r="D17" s="2" t="s">
        <v>18</v>
      </c>
      <c r="E17" s="2">
        <v>13787</v>
      </c>
      <c r="F17" s="3">
        <v>25688</v>
      </c>
      <c r="G17" s="4">
        <v>3288001000</v>
      </c>
      <c r="H17">
        <f t="shared" si="0"/>
        <v>1212</v>
      </c>
      <c r="I17" t="e">
        <f t="shared" si="1"/>
        <v>#N/A</v>
      </c>
      <c r="J17" t="e">
        <f t="shared" si="2"/>
        <v>#N/A</v>
      </c>
      <c r="O17">
        <v>56</v>
      </c>
      <c r="P17">
        <v>1212</v>
      </c>
      <c r="R17">
        <v>2490</v>
      </c>
      <c r="S17">
        <v>12</v>
      </c>
    </row>
    <row r="18" spans="1:19" ht="26.1" hidden="1" customHeight="1" x14ac:dyDescent="0.2">
      <c r="A18" s="4">
        <v>62</v>
      </c>
      <c r="B18" s="2" t="s">
        <v>11</v>
      </c>
      <c r="C18" s="2" t="s">
        <v>8</v>
      </c>
      <c r="D18" s="2" t="s">
        <v>9</v>
      </c>
      <c r="E18" s="2">
        <v>2</v>
      </c>
      <c r="F18" s="3">
        <v>25688</v>
      </c>
      <c r="G18" s="4">
        <v>1165000000</v>
      </c>
      <c r="H18">
        <f t="shared" si="0"/>
        <v>309.5</v>
      </c>
      <c r="I18" t="e">
        <f t="shared" si="1"/>
        <v>#N/A</v>
      </c>
      <c r="J18" t="e">
        <f t="shared" si="2"/>
        <v>#N/A</v>
      </c>
      <c r="O18">
        <v>62</v>
      </c>
      <c r="P18">
        <v>309.5</v>
      </c>
      <c r="R18">
        <v>2518</v>
      </c>
      <c r="S18">
        <v>12</v>
      </c>
    </row>
    <row r="19" spans="1:19" ht="15" hidden="1" customHeight="1" x14ac:dyDescent="0.2">
      <c r="A19" s="4">
        <v>65</v>
      </c>
      <c r="B19" s="2" t="s">
        <v>7</v>
      </c>
      <c r="C19" s="2" t="s">
        <v>8</v>
      </c>
      <c r="D19" s="2" t="s">
        <v>9</v>
      </c>
      <c r="E19" s="2">
        <v>5</v>
      </c>
      <c r="F19" s="3">
        <v>25688</v>
      </c>
      <c r="G19" s="4">
        <v>3042124001</v>
      </c>
      <c r="H19">
        <f t="shared" si="0"/>
        <v>309.5</v>
      </c>
      <c r="I19" t="e">
        <f t="shared" si="1"/>
        <v>#N/A</v>
      </c>
      <c r="J19" t="e">
        <f t="shared" si="2"/>
        <v>#N/A</v>
      </c>
      <c r="O19">
        <v>65</v>
      </c>
      <c r="P19">
        <v>309.5</v>
      </c>
      <c r="R19">
        <v>2639</v>
      </c>
      <c r="S19">
        <v>12</v>
      </c>
    </row>
    <row r="20" spans="1:19" ht="15" customHeight="1" x14ac:dyDescent="0.2">
      <c r="A20" s="4">
        <v>66</v>
      </c>
      <c r="B20" s="2" t="s">
        <v>7</v>
      </c>
      <c r="C20" s="2" t="s">
        <v>8</v>
      </c>
      <c r="D20" s="2" t="s">
        <v>9</v>
      </c>
      <c r="E20" s="2">
        <v>4062</v>
      </c>
      <c r="F20" s="3">
        <v>25688</v>
      </c>
      <c r="G20" s="4">
        <v>3391006000</v>
      </c>
      <c r="H20">
        <f t="shared" si="0"/>
        <v>309.5</v>
      </c>
      <c r="I20">
        <f t="shared" si="1"/>
        <v>2</v>
      </c>
      <c r="J20">
        <f t="shared" si="2"/>
        <v>619</v>
      </c>
      <c r="O20">
        <v>66</v>
      </c>
      <c r="P20">
        <v>309.5</v>
      </c>
      <c r="R20">
        <v>2667</v>
      </c>
      <c r="S20">
        <v>12</v>
      </c>
    </row>
    <row r="21" spans="1:19" ht="26.1" customHeight="1" x14ac:dyDescent="0.2">
      <c r="A21" s="4">
        <v>68</v>
      </c>
      <c r="B21" s="2" t="s">
        <v>7</v>
      </c>
      <c r="C21" s="2" t="s">
        <v>12</v>
      </c>
      <c r="D21" s="2" t="s">
        <v>10</v>
      </c>
      <c r="E21" s="2">
        <v>1047258</v>
      </c>
      <c r="F21" s="3">
        <v>25688</v>
      </c>
      <c r="G21" s="4">
        <v>3328001000</v>
      </c>
      <c r="H21">
        <f t="shared" si="0"/>
        <v>1154</v>
      </c>
      <c r="I21">
        <f t="shared" si="1"/>
        <v>0.14285714285714285</v>
      </c>
      <c r="J21">
        <f t="shared" si="2"/>
        <v>164.85714285714286</v>
      </c>
      <c r="O21">
        <v>68</v>
      </c>
      <c r="P21">
        <v>1154</v>
      </c>
      <c r="R21">
        <v>2675</v>
      </c>
      <c r="S21">
        <v>12</v>
      </c>
    </row>
    <row r="22" spans="1:19" ht="26.1" customHeight="1" x14ac:dyDescent="0.2">
      <c r="A22" s="4">
        <v>85</v>
      </c>
      <c r="B22" s="2" t="s">
        <v>11</v>
      </c>
      <c r="C22" s="2" t="s">
        <v>8</v>
      </c>
      <c r="D22" s="2" t="s">
        <v>9</v>
      </c>
      <c r="E22" s="2">
        <v>6966</v>
      </c>
      <c r="F22" s="3">
        <v>25688</v>
      </c>
      <c r="G22" s="4">
        <v>3116001000</v>
      </c>
      <c r="H22">
        <f t="shared" si="0"/>
        <v>309.5</v>
      </c>
      <c r="I22">
        <f t="shared" si="1"/>
        <v>0.5</v>
      </c>
      <c r="J22">
        <f t="shared" si="2"/>
        <v>154.75</v>
      </c>
      <c r="O22">
        <v>85</v>
      </c>
      <c r="P22">
        <v>309.5</v>
      </c>
      <c r="R22">
        <v>2781</v>
      </c>
      <c r="S22">
        <v>12</v>
      </c>
    </row>
    <row r="23" spans="1:19" ht="26.1" customHeight="1" x14ac:dyDescent="0.2">
      <c r="A23" s="4">
        <v>87</v>
      </c>
      <c r="B23" s="2" t="s">
        <v>11</v>
      </c>
      <c r="C23" s="2" t="s">
        <v>8</v>
      </c>
      <c r="D23" s="2" t="s">
        <v>9</v>
      </c>
      <c r="E23" s="2">
        <v>6786</v>
      </c>
      <c r="F23" s="3">
        <v>25688</v>
      </c>
      <c r="G23" s="4">
        <v>1165000000</v>
      </c>
      <c r="H23">
        <f t="shared" si="0"/>
        <v>309.5</v>
      </c>
      <c r="I23">
        <f t="shared" si="1"/>
        <v>0.42857142857142855</v>
      </c>
      <c r="J23">
        <f t="shared" si="2"/>
        <v>132.64285714285714</v>
      </c>
      <c r="O23">
        <v>87</v>
      </c>
      <c r="P23">
        <v>309.5</v>
      </c>
      <c r="R23">
        <v>2785</v>
      </c>
      <c r="S23">
        <v>1.2857142857142858</v>
      </c>
    </row>
    <row r="24" spans="1:19" ht="26.1" customHeight="1" x14ac:dyDescent="0.2">
      <c r="A24" s="4">
        <v>90</v>
      </c>
      <c r="B24" s="2" t="s">
        <v>11</v>
      </c>
      <c r="C24" s="2" t="s">
        <v>12</v>
      </c>
      <c r="D24" s="2" t="s">
        <v>10</v>
      </c>
      <c r="F24" s="3">
        <v>25688</v>
      </c>
      <c r="G24" s="4">
        <v>153002000</v>
      </c>
      <c r="H24">
        <f t="shared" si="0"/>
        <v>1154</v>
      </c>
      <c r="I24">
        <f t="shared" si="1"/>
        <v>0.26666666666666666</v>
      </c>
      <c r="J24">
        <f t="shared" si="2"/>
        <v>307.73333333333335</v>
      </c>
      <c r="O24">
        <v>90</v>
      </c>
      <c r="P24">
        <v>1154</v>
      </c>
      <c r="R24">
        <v>2825</v>
      </c>
      <c r="S24">
        <v>12</v>
      </c>
    </row>
    <row r="25" spans="1:19" ht="15" customHeight="1" x14ac:dyDescent="0.2">
      <c r="A25" s="4">
        <v>91</v>
      </c>
      <c r="B25" s="2" t="s">
        <v>7</v>
      </c>
      <c r="C25" s="2" t="s">
        <v>12</v>
      </c>
      <c r="D25" s="2" t="s">
        <v>19</v>
      </c>
      <c r="F25" s="3">
        <v>25688</v>
      </c>
      <c r="G25" s="4">
        <v>1014001</v>
      </c>
      <c r="H25">
        <f t="shared" si="0"/>
        <v>532</v>
      </c>
      <c r="I25">
        <f t="shared" si="1"/>
        <v>0.4</v>
      </c>
      <c r="J25">
        <f t="shared" si="2"/>
        <v>212.8</v>
      </c>
      <c r="O25">
        <v>91</v>
      </c>
      <c r="P25">
        <v>532</v>
      </c>
      <c r="R25">
        <v>2874</v>
      </c>
      <c r="S25">
        <v>12</v>
      </c>
    </row>
    <row r="26" spans="1:19" ht="15" customHeight="1" x14ac:dyDescent="0.2">
      <c r="A26" s="4">
        <v>92</v>
      </c>
      <c r="B26" s="2" t="s">
        <v>7</v>
      </c>
      <c r="C26" s="2" t="s">
        <v>12</v>
      </c>
      <c r="D26" s="2" t="s">
        <v>10</v>
      </c>
      <c r="E26" s="2">
        <v>3852</v>
      </c>
      <c r="F26" s="3">
        <v>25688</v>
      </c>
      <c r="G26" s="4">
        <v>1014002</v>
      </c>
      <c r="H26">
        <f t="shared" si="0"/>
        <v>1154</v>
      </c>
      <c r="I26">
        <f t="shared" si="1"/>
        <v>0.4</v>
      </c>
      <c r="J26">
        <f t="shared" si="2"/>
        <v>461.6</v>
      </c>
      <c r="O26">
        <v>92</v>
      </c>
      <c r="P26">
        <v>1154</v>
      </c>
      <c r="R26">
        <v>2875</v>
      </c>
      <c r="S26">
        <v>12</v>
      </c>
    </row>
    <row r="27" spans="1:19" ht="15" customHeight="1" x14ac:dyDescent="0.2">
      <c r="A27" s="4">
        <v>94</v>
      </c>
      <c r="B27" s="2" t="s">
        <v>7</v>
      </c>
      <c r="C27" s="2" t="s">
        <v>8</v>
      </c>
      <c r="D27" s="2" t="s">
        <v>9</v>
      </c>
      <c r="F27" s="3">
        <v>25688</v>
      </c>
      <c r="G27" s="4">
        <v>2126001000</v>
      </c>
      <c r="H27">
        <f t="shared" si="0"/>
        <v>309.5</v>
      </c>
      <c r="I27">
        <f t="shared" si="1"/>
        <v>2.5714285714285716</v>
      </c>
      <c r="J27">
        <f t="shared" si="2"/>
        <v>795.85714285714289</v>
      </c>
      <c r="O27">
        <v>94</v>
      </c>
      <c r="P27">
        <v>309.5</v>
      </c>
      <c r="R27">
        <v>2876</v>
      </c>
      <c r="S27">
        <v>12</v>
      </c>
    </row>
    <row r="28" spans="1:19" ht="15" customHeight="1" x14ac:dyDescent="0.2">
      <c r="A28" s="4">
        <v>96</v>
      </c>
      <c r="B28" s="2" t="s">
        <v>13</v>
      </c>
      <c r="C28" s="2" t="s">
        <v>8</v>
      </c>
      <c r="D28" s="2" t="s">
        <v>20</v>
      </c>
      <c r="E28" s="2">
        <v>13761</v>
      </c>
      <c r="F28" s="3">
        <v>25688</v>
      </c>
      <c r="G28" s="4">
        <v>1165000000</v>
      </c>
      <c r="H28">
        <f t="shared" si="0"/>
        <v>1212</v>
      </c>
      <c r="I28">
        <f t="shared" si="1"/>
        <v>2.5714285714285716</v>
      </c>
      <c r="J28">
        <f t="shared" si="2"/>
        <v>3116.5714285714289</v>
      </c>
      <c r="O28">
        <v>96</v>
      </c>
      <c r="P28">
        <v>1212</v>
      </c>
      <c r="R28">
        <v>2904</v>
      </c>
      <c r="S28">
        <v>12</v>
      </c>
    </row>
    <row r="29" spans="1:19" ht="15" customHeight="1" x14ac:dyDescent="0.2">
      <c r="A29" s="4">
        <v>97</v>
      </c>
      <c r="B29" s="2" t="s">
        <v>13</v>
      </c>
      <c r="C29" s="2" t="s">
        <v>21</v>
      </c>
      <c r="D29" s="2" t="s">
        <v>22</v>
      </c>
      <c r="F29" s="3">
        <v>25688</v>
      </c>
      <c r="G29" s="4">
        <v>18001000</v>
      </c>
      <c r="H29">
        <f t="shared" si="0"/>
        <v>1202.5</v>
      </c>
      <c r="I29">
        <f t="shared" si="1"/>
        <v>0.66666666666666663</v>
      </c>
      <c r="J29">
        <f t="shared" si="2"/>
        <v>801.66666666666663</v>
      </c>
      <c r="O29">
        <v>97</v>
      </c>
      <c r="P29">
        <v>1202.5</v>
      </c>
      <c r="R29">
        <v>2916</v>
      </c>
      <c r="S29">
        <v>12</v>
      </c>
    </row>
    <row r="30" spans="1:19" ht="15" customHeight="1" x14ac:dyDescent="0.2">
      <c r="A30" s="4">
        <v>102</v>
      </c>
      <c r="B30" s="2" t="s">
        <v>13</v>
      </c>
      <c r="C30" s="2" t="s">
        <v>14</v>
      </c>
      <c r="D30" s="2" t="s">
        <v>15</v>
      </c>
      <c r="E30" s="2">
        <v>117012</v>
      </c>
      <c r="F30" s="3">
        <v>25688</v>
      </c>
      <c r="G30" s="4">
        <v>1014001</v>
      </c>
      <c r="H30">
        <f t="shared" si="0"/>
        <v>1091</v>
      </c>
      <c r="I30">
        <f t="shared" si="1"/>
        <v>0.66666666666666663</v>
      </c>
      <c r="J30">
        <f t="shared" si="2"/>
        <v>727.33333333333326</v>
      </c>
      <c r="O30">
        <v>102</v>
      </c>
      <c r="P30">
        <v>1091</v>
      </c>
      <c r="R30">
        <v>2922</v>
      </c>
      <c r="S30">
        <v>12</v>
      </c>
    </row>
    <row r="31" spans="1:19" ht="15" customHeight="1" x14ac:dyDescent="0.2">
      <c r="A31" s="4">
        <v>104</v>
      </c>
      <c r="B31" s="2" t="s">
        <v>13</v>
      </c>
      <c r="C31" s="2" t="s">
        <v>8</v>
      </c>
      <c r="D31" s="2" t="s">
        <v>20</v>
      </c>
      <c r="E31" s="2">
        <v>13742</v>
      </c>
      <c r="F31" s="3">
        <v>25688</v>
      </c>
      <c r="G31" s="4">
        <v>2958001000</v>
      </c>
      <c r="H31">
        <f t="shared" si="0"/>
        <v>1212</v>
      </c>
      <c r="I31">
        <f t="shared" si="1"/>
        <v>7.1428571428571425E-2</v>
      </c>
      <c r="J31">
        <f t="shared" si="2"/>
        <v>86.571428571428569</v>
      </c>
      <c r="O31">
        <v>103</v>
      </c>
      <c r="P31">
        <v>1212</v>
      </c>
      <c r="R31">
        <v>2947</v>
      </c>
      <c r="S31">
        <v>12</v>
      </c>
    </row>
    <row r="32" spans="1:19" ht="15" customHeight="1" x14ac:dyDescent="0.2">
      <c r="A32" s="4">
        <v>106</v>
      </c>
      <c r="B32" s="2" t="s">
        <v>7</v>
      </c>
      <c r="C32" s="2" t="s">
        <v>8</v>
      </c>
      <c r="D32" s="2" t="s">
        <v>9</v>
      </c>
      <c r="E32" s="2">
        <v>7403</v>
      </c>
      <c r="F32" s="3">
        <v>25688</v>
      </c>
      <c r="G32" s="4">
        <v>3391005000</v>
      </c>
      <c r="H32">
        <f t="shared" si="0"/>
        <v>309.5</v>
      </c>
      <c r="I32">
        <f t="shared" si="1"/>
        <v>7.1428571428571425E-2</v>
      </c>
      <c r="J32">
        <f t="shared" si="2"/>
        <v>22.107142857142858</v>
      </c>
      <c r="O32">
        <v>104</v>
      </c>
      <c r="P32">
        <v>1212</v>
      </c>
      <c r="R32">
        <v>2965</v>
      </c>
      <c r="S32">
        <v>12</v>
      </c>
    </row>
    <row r="33" spans="1:19" ht="26.1" customHeight="1" x14ac:dyDescent="0.2">
      <c r="A33" s="4">
        <v>109</v>
      </c>
      <c r="B33" s="2" t="s">
        <v>11</v>
      </c>
      <c r="C33" s="2" t="s">
        <v>8</v>
      </c>
      <c r="D33" s="2" t="s">
        <v>9</v>
      </c>
      <c r="E33" s="2">
        <v>628</v>
      </c>
      <c r="F33" s="3">
        <v>25688</v>
      </c>
      <c r="G33" s="4">
        <v>3042134001</v>
      </c>
      <c r="H33">
        <f t="shared" si="0"/>
        <v>309.5</v>
      </c>
      <c r="I33">
        <f t="shared" si="1"/>
        <v>7.1428571428571425E-2</v>
      </c>
      <c r="J33">
        <f t="shared" si="2"/>
        <v>22.107142857142858</v>
      </c>
      <c r="O33">
        <v>106</v>
      </c>
      <c r="P33">
        <v>309.5</v>
      </c>
      <c r="R33">
        <v>2979</v>
      </c>
      <c r="S33">
        <v>12</v>
      </c>
    </row>
    <row r="34" spans="1:19" ht="15" customHeight="1" x14ac:dyDescent="0.2">
      <c r="A34" s="4">
        <v>112</v>
      </c>
      <c r="B34" s="2" t="s">
        <v>7</v>
      </c>
      <c r="C34" s="2" t="s">
        <v>12</v>
      </c>
      <c r="D34" s="2" t="s">
        <v>19</v>
      </c>
      <c r="F34" s="3">
        <v>25688</v>
      </c>
      <c r="G34" s="4">
        <v>2558002000</v>
      </c>
      <c r="H34">
        <f t="shared" si="0"/>
        <v>532</v>
      </c>
      <c r="I34">
        <f t="shared" si="1"/>
        <v>0.66666666666666663</v>
      </c>
      <c r="J34">
        <f t="shared" si="2"/>
        <v>354.66666666666663</v>
      </c>
      <c r="O34">
        <v>109</v>
      </c>
      <c r="P34">
        <v>309.5</v>
      </c>
      <c r="R34">
        <v>3069</v>
      </c>
      <c r="S34">
        <v>12</v>
      </c>
    </row>
    <row r="35" spans="1:19" ht="15" customHeight="1" x14ac:dyDescent="0.2">
      <c r="A35" s="4">
        <v>113</v>
      </c>
      <c r="B35" s="2" t="s">
        <v>13</v>
      </c>
      <c r="C35" s="2" t="s">
        <v>12</v>
      </c>
      <c r="D35" s="2">
        <v>2815</v>
      </c>
      <c r="F35" s="3">
        <v>25688</v>
      </c>
      <c r="G35" s="4">
        <v>1014001</v>
      </c>
      <c r="H35">
        <f t="shared" si="0"/>
        <v>1154</v>
      </c>
      <c r="I35">
        <f t="shared" si="1"/>
        <v>0.4</v>
      </c>
      <c r="J35">
        <f t="shared" si="2"/>
        <v>461.6</v>
      </c>
      <c r="O35">
        <v>112</v>
      </c>
      <c r="P35">
        <v>532</v>
      </c>
      <c r="R35">
        <v>3071</v>
      </c>
      <c r="S35">
        <v>12</v>
      </c>
    </row>
    <row r="36" spans="1:19" ht="15" customHeight="1" x14ac:dyDescent="0.2">
      <c r="A36" s="4">
        <v>119</v>
      </c>
      <c r="B36" s="2" t="s">
        <v>13</v>
      </c>
      <c r="C36" s="2" t="s">
        <v>14</v>
      </c>
      <c r="D36" s="2" t="s">
        <v>15</v>
      </c>
      <c r="F36" s="3">
        <v>25688</v>
      </c>
      <c r="G36" s="4">
        <v>1165004000</v>
      </c>
      <c r="H36">
        <f t="shared" si="0"/>
        <v>1091</v>
      </c>
      <c r="I36">
        <f t="shared" si="1"/>
        <v>0.2857142857142857</v>
      </c>
      <c r="J36">
        <f t="shared" si="2"/>
        <v>311.71428571428572</v>
      </c>
      <c r="O36">
        <v>113</v>
      </c>
      <c r="P36">
        <v>1154</v>
      </c>
      <c r="R36">
        <v>3083</v>
      </c>
      <c r="S36">
        <v>12</v>
      </c>
    </row>
    <row r="37" spans="1:19" ht="15" customHeight="1" x14ac:dyDescent="0.2">
      <c r="A37" s="4">
        <v>120</v>
      </c>
      <c r="B37" s="2" t="s">
        <v>13</v>
      </c>
      <c r="C37" s="2" t="s">
        <v>8</v>
      </c>
      <c r="D37" s="2" t="s">
        <v>20</v>
      </c>
      <c r="E37" s="2">
        <v>4097</v>
      </c>
      <c r="F37" s="3">
        <v>25688</v>
      </c>
      <c r="G37" s="4">
        <v>1507003000</v>
      </c>
      <c r="H37">
        <f t="shared" si="0"/>
        <v>1212</v>
      </c>
      <c r="I37">
        <f t="shared" si="1"/>
        <v>0.66666666666666663</v>
      </c>
      <c r="J37">
        <f t="shared" si="2"/>
        <v>808</v>
      </c>
      <c r="O37">
        <v>119</v>
      </c>
      <c r="P37">
        <v>1091</v>
      </c>
      <c r="R37">
        <v>3084</v>
      </c>
      <c r="S37">
        <v>12</v>
      </c>
    </row>
    <row r="38" spans="1:19" ht="26.1" customHeight="1" x14ac:dyDescent="0.2">
      <c r="A38" s="4">
        <v>123</v>
      </c>
      <c r="B38" s="2" t="s">
        <v>11</v>
      </c>
      <c r="C38" s="2" t="s">
        <v>12</v>
      </c>
      <c r="D38" s="2" t="s">
        <v>10</v>
      </c>
      <c r="F38" s="3">
        <v>25688</v>
      </c>
      <c r="G38" s="4">
        <v>165001000</v>
      </c>
      <c r="H38">
        <f t="shared" si="0"/>
        <v>1154</v>
      </c>
      <c r="I38">
        <f t="shared" si="1"/>
        <v>1.4285714285714286</v>
      </c>
      <c r="J38">
        <f t="shared" si="2"/>
        <v>1648.5714285714287</v>
      </c>
      <c r="O38">
        <v>120</v>
      </c>
      <c r="P38">
        <v>1212</v>
      </c>
      <c r="R38">
        <v>3085</v>
      </c>
      <c r="S38">
        <v>12</v>
      </c>
    </row>
    <row r="39" spans="1:19" ht="15" customHeight="1" x14ac:dyDescent="0.2">
      <c r="A39" s="4">
        <v>124</v>
      </c>
      <c r="B39" s="2" t="s">
        <v>7</v>
      </c>
      <c r="C39" s="2" t="s">
        <v>14</v>
      </c>
      <c r="D39" s="2" t="s">
        <v>23</v>
      </c>
      <c r="F39" s="3">
        <v>25688</v>
      </c>
      <c r="G39" s="4">
        <v>1000012</v>
      </c>
      <c r="H39">
        <f t="shared" si="0"/>
        <v>629</v>
      </c>
      <c r="I39">
        <f t="shared" si="1"/>
        <v>1.4285714285714286</v>
      </c>
      <c r="J39">
        <f t="shared" si="2"/>
        <v>898.57142857142856</v>
      </c>
      <c r="O39">
        <v>123</v>
      </c>
      <c r="P39">
        <v>1154</v>
      </c>
      <c r="R39">
        <v>3104</v>
      </c>
      <c r="S39">
        <v>12</v>
      </c>
    </row>
    <row r="40" spans="1:19" ht="15" customHeight="1" x14ac:dyDescent="0.2">
      <c r="A40" s="4">
        <v>125</v>
      </c>
      <c r="B40" s="2" t="s">
        <v>7</v>
      </c>
      <c r="C40" s="2" t="s">
        <v>8</v>
      </c>
      <c r="D40" s="2" t="s">
        <v>9</v>
      </c>
      <c r="E40" s="2">
        <v>6757</v>
      </c>
      <c r="F40" s="3">
        <v>25688</v>
      </c>
      <c r="G40" s="4">
        <v>193012000</v>
      </c>
      <c r="H40">
        <f t="shared" si="0"/>
        <v>309.5</v>
      </c>
      <c r="I40">
        <f t="shared" si="1"/>
        <v>0.33333333333333331</v>
      </c>
      <c r="J40">
        <f t="shared" si="2"/>
        <v>103.16666666666666</v>
      </c>
      <c r="O40">
        <v>124</v>
      </c>
      <c r="P40">
        <v>629</v>
      </c>
      <c r="R40">
        <v>3108</v>
      </c>
      <c r="S40">
        <v>12</v>
      </c>
    </row>
    <row r="41" spans="1:19" ht="15" customHeight="1" x14ac:dyDescent="0.2">
      <c r="A41" s="4">
        <v>129</v>
      </c>
      <c r="B41" s="2" t="s">
        <v>7</v>
      </c>
      <c r="C41" s="2" t="s">
        <v>8</v>
      </c>
      <c r="D41" s="2" t="s">
        <v>17</v>
      </c>
      <c r="E41" s="2">
        <v>13618</v>
      </c>
      <c r="F41" s="3">
        <v>25688</v>
      </c>
      <c r="G41" s="4">
        <v>157002000</v>
      </c>
      <c r="H41">
        <f t="shared" si="0"/>
        <v>461</v>
      </c>
      <c r="I41">
        <f t="shared" si="1"/>
        <v>0.66666666666666663</v>
      </c>
      <c r="J41">
        <f t="shared" si="2"/>
        <v>307.33333333333331</v>
      </c>
      <c r="O41">
        <v>125</v>
      </c>
      <c r="P41">
        <v>309.5</v>
      </c>
      <c r="R41">
        <v>3109</v>
      </c>
      <c r="S41">
        <v>12</v>
      </c>
    </row>
    <row r="42" spans="1:19" ht="15" customHeight="1" x14ac:dyDescent="0.2">
      <c r="A42" s="4">
        <v>135</v>
      </c>
      <c r="B42" s="2" t="s">
        <v>7</v>
      </c>
      <c r="C42" s="2" t="s">
        <v>12</v>
      </c>
      <c r="D42" s="2" t="s">
        <v>19</v>
      </c>
      <c r="F42" s="3">
        <v>25688</v>
      </c>
      <c r="G42" s="4">
        <v>1068001000</v>
      </c>
      <c r="H42">
        <f t="shared" si="0"/>
        <v>532</v>
      </c>
      <c r="I42">
        <f t="shared" si="1"/>
        <v>0.42857142857142855</v>
      </c>
      <c r="J42">
        <f t="shared" si="2"/>
        <v>228</v>
      </c>
      <c r="O42">
        <v>129</v>
      </c>
      <c r="P42">
        <v>461</v>
      </c>
      <c r="R42">
        <v>3110</v>
      </c>
      <c r="S42">
        <v>12</v>
      </c>
    </row>
    <row r="43" spans="1:19" ht="15" customHeight="1" x14ac:dyDescent="0.2">
      <c r="A43" s="4">
        <v>138</v>
      </c>
      <c r="B43" s="2" t="s">
        <v>7</v>
      </c>
      <c r="C43" s="2" t="s">
        <v>8</v>
      </c>
      <c r="D43" s="2" t="s">
        <v>17</v>
      </c>
      <c r="E43" s="2">
        <v>11048</v>
      </c>
      <c r="F43" s="3">
        <v>25688</v>
      </c>
      <c r="G43" s="4">
        <v>165008000</v>
      </c>
      <c r="H43">
        <f t="shared" si="0"/>
        <v>461</v>
      </c>
      <c r="I43">
        <f t="shared" si="1"/>
        <v>0.33333333333333331</v>
      </c>
      <c r="J43">
        <f t="shared" si="2"/>
        <v>153.66666666666666</v>
      </c>
      <c r="O43">
        <v>135</v>
      </c>
      <c r="P43">
        <v>532</v>
      </c>
      <c r="R43">
        <v>3123</v>
      </c>
      <c r="S43">
        <v>12</v>
      </c>
    </row>
    <row r="44" spans="1:19" ht="15" customHeight="1" x14ac:dyDescent="0.2">
      <c r="A44" s="4">
        <v>139</v>
      </c>
      <c r="B44" s="2" t="s">
        <v>13</v>
      </c>
      <c r="C44" s="2" t="s">
        <v>14</v>
      </c>
      <c r="D44" s="2" t="s">
        <v>15</v>
      </c>
      <c r="F44" s="3">
        <v>25688</v>
      </c>
      <c r="G44" s="4">
        <v>1165002000</v>
      </c>
      <c r="H44">
        <f t="shared" si="0"/>
        <v>1091</v>
      </c>
      <c r="I44">
        <f t="shared" si="1"/>
        <v>0.5714285714285714</v>
      </c>
      <c r="J44">
        <f t="shared" si="2"/>
        <v>623.42857142857144</v>
      </c>
      <c r="O44">
        <v>138</v>
      </c>
      <c r="P44">
        <v>461</v>
      </c>
      <c r="R44">
        <v>3124</v>
      </c>
      <c r="S44">
        <v>12</v>
      </c>
    </row>
    <row r="45" spans="1:19" ht="26.1" customHeight="1" x14ac:dyDescent="0.2">
      <c r="A45" s="4">
        <v>147</v>
      </c>
      <c r="B45" s="2" t="s">
        <v>24</v>
      </c>
      <c r="C45" s="2" t="s">
        <v>25</v>
      </c>
      <c r="D45" s="2" t="s">
        <v>26</v>
      </c>
      <c r="F45" s="3">
        <v>25688</v>
      </c>
      <c r="G45" s="4">
        <v>43006000</v>
      </c>
      <c r="H45">
        <f t="shared" si="0"/>
        <v>0</v>
      </c>
      <c r="I45">
        <f t="shared" si="1"/>
        <v>2</v>
      </c>
      <c r="J45">
        <f t="shared" si="2"/>
        <v>0</v>
      </c>
      <c r="O45">
        <v>139</v>
      </c>
      <c r="P45">
        <v>1091</v>
      </c>
      <c r="R45">
        <v>3125</v>
      </c>
      <c r="S45">
        <v>12</v>
      </c>
    </row>
    <row r="46" spans="1:19" ht="15" customHeight="1" x14ac:dyDescent="0.2">
      <c r="A46" s="4">
        <v>150</v>
      </c>
      <c r="B46" s="2" t="s">
        <v>13</v>
      </c>
      <c r="C46" s="2" t="s">
        <v>14</v>
      </c>
      <c r="D46" s="2" t="s">
        <v>15</v>
      </c>
      <c r="E46" s="2">
        <v>117460</v>
      </c>
      <c r="F46" s="3">
        <v>25688</v>
      </c>
      <c r="G46" s="4">
        <v>18001000</v>
      </c>
      <c r="H46">
        <f t="shared" si="0"/>
        <v>1091</v>
      </c>
      <c r="I46">
        <f t="shared" si="1"/>
        <v>0.66666666666666663</v>
      </c>
      <c r="J46">
        <f t="shared" si="2"/>
        <v>727.33333333333326</v>
      </c>
      <c r="O46">
        <v>147</v>
      </c>
      <c r="P46">
        <v>0</v>
      </c>
      <c r="R46">
        <v>3134</v>
      </c>
      <c r="S46">
        <v>12</v>
      </c>
    </row>
    <row r="47" spans="1:19" ht="15" customHeight="1" x14ac:dyDescent="0.2">
      <c r="A47" s="4">
        <v>152</v>
      </c>
      <c r="B47" s="2" t="s">
        <v>13</v>
      </c>
      <c r="C47" s="2" t="s">
        <v>14</v>
      </c>
      <c r="D47" s="2" t="s">
        <v>15</v>
      </c>
      <c r="F47" s="3">
        <v>25688</v>
      </c>
      <c r="G47" s="4">
        <v>1000002</v>
      </c>
      <c r="H47">
        <f t="shared" si="0"/>
        <v>1091</v>
      </c>
      <c r="I47">
        <f t="shared" si="1"/>
        <v>0.66666666666666663</v>
      </c>
      <c r="J47">
        <f t="shared" si="2"/>
        <v>727.33333333333326</v>
      </c>
      <c r="O47">
        <v>150</v>
      </c>
      <c r="P47">
        <v>1091</v>
      </c>
      <c r="R47">
        <v>3140</v>
      </c>
      <c r="S47">
        <v>12</v>
      </c>
    </row>
    <row r="48" spans="1:19" ht="15" customHeight="1" x14ac:dyDescent="0.2">
      <c r="A48" s="4">
        <v>155</v>
      </c>
      <c r="B48" s="2" t="s">
        <v>13</v>
      </c>
      <c r="C48" s="2" t="s">
        <v>21</v>
      </c>
      <c r="D48" s="2" t="s">
        <v>27</v>
      </c>
      <c r="F48" s="3">
        <v>25688</v>
      </c>
      <c r="G48" s="4">
        <v>1014001</v>
      </c>
      <c r="H48">
        <f t="shared" si="0"/>
        <v>1202.5</v>
      </c>
      <c r="I48">
        <f t="shared" si="1"/>
        <v>0.66666666666666663</v>
      </c>
      <c r="J48">
        <f t="shared" si="2"/>
        <v>801.66666666666663</v>
      </c>
      <c r="O48">
        <v>152</v>
      </c>
      <c r="P48">
        <v>1091</v>
      </c>
      <c r="R48">
        <v>3148</v>
      </c>
      <c r="S48">
        <v>12</v>
      </c>
    </row>
    <row r="49" spans="1:19" ht="26.1" customHeight="1" x14ac:dyDescent="0.2">
      <c r="A49" s="4">
        <v>156</v>
      </c>
      <c r="B49" s="2" t="s">
        <v>13</v>
      </c>
      <c r="C49" s="2" t="s">
        <v>14</v>
      </c>
      <c r="D49" s="2" t="s">
        <v>15</v>
      </c>
      <c r="E49" s="2">
        <v>1111111111</v>
      </c>
      <c r="F49" s="3">
        <v>25688</v>
      </c>
      <c r="G49" s="4">
        <v>3042049000</v>
      </c>
      <c r="H49">
        <f t="shared" si="0"/>
        <v>1091</v>
      </c>
      <c r="I49">
        <f t="shared" si="1"/>
        <v>0.66666666666666663</v>
      </c>
      <c r="J49">
        <f t="shared" si="2"/>
        <v>727.33333333333326</v>
      </c>
      <c r="O49">
        <v>155</v>
      </c>
      <c r="P49">
        <v>1202.5</v>
      </c>
      <c r="R49">
        <v>3156</v>
      </c>
      <c r="S49">
        <v>12</v>
      </c>
    </row>
    <row r="50" spans="1:19" ht="15" customHeight="1" x14ac:dyDescent="0.2">
      <c r="A50" s="4">
        <v>161</v>
      </c>
      <c r="B50" s="2" t="s">
        <v>7</v>
      </c>
      <c r="C50" s="2" t="s">
        <v>12</v>
      </c>
      <c r="D50" s="2" t="s">
        <v>10</v>
      </c>
      <c r="E50" s="2">
        <v>3378</v>
      </c>
      <c r="F50" s="3">
        <v>25688</v>
      </c>
      <c r="G50" s="4">
        <v>1014001</v>
      </c>
      <c r="H50">
        <f t="shared" si="0"/>
        <v>1154</v>
      </c>
      <c r="I50">
        <f t="shared" si="1"/>
        <v>0.33333333333333331</v>
      </c>
      <c r="J50">
        <f t="shared" si="2"/>
        <v>384.66666666666663</v>
      </c>
      <c r="O50">
        <v>156</v>
      </c>
      <c r="P50">
        <v>1091</v>
      </c>
      <c r="R50">
        <v>3163</v>
      </c>
      <c r="S50">
        <v>12</v>
      </c>
    </row>
    <row r="51" spans="1:19" ht="15" customHeight="1" x14ac:dyDescent="0.2">
      <c r="A51" s="4">
        <v>165</v>
      </c>
      <c r="B51" s="2" t="s">
        <v>13</v>
      </c>
      <c r="C51" s="2" t="s">
        <v>8</v>
      </c>
      <c r="D51" s="2" t="s">
        <v>20</v>
      </c>
      <c r="E51" s="2">
        <v>12189</v>
      </c>
      <c r="F51" s="3">
        <v>25688</v>
      </c>
      <c r="G51" s="4">
        <v>3394001000</v>
      </c>
      <c r="H51">
        <f t="shared" si="0"/>
        <v>1212</v>
      </c>
      <c r="I51">
        <f t="shared" si="1"/>
        <v>0.2857142857142857</v>
      </c>
      <c r="J51">
        <f t="shared" si="2"/>
        <v>346.28571428571428</v>
      </c>
      <c r="O51">
        <v>161</v>
      </c>
      <c r="P51">
        <v>1154</v>
      </c>
      <c r="R51">
        <v>3170</v>
      </c>
      <c r="S51">
        <v>12</v>
      </c>
    </row>
    <row r="52" spans="1:19" ht="26.1" customHeight="1" x14ac:dyDescent="0.2">
      <c r="A52" s="4">
        <v>166</v>
      </c>
      <c r="B52" s="2" t="s">
        <v>11</v>
      </c>
      <c r="C52" s="2" t="s">
        <v>14</v>
      </c>
      <c r="D52" s="2" t="s">
        <v>28</v>
      </c>
      <c r="E52" s="2" t="s">
        <v>29</v>
      </c>
      <c r="F52" s="3">
        <v>25688</v>
      </c>
      <c r="G52" s="4">
        <v>18001000</v>
      </c>
      <c r="H52">
        <f t="shared" si="0"/>
        <v>0</v>
      </c>
      <c r="I52">
        <f t="shared" si="1"/>
        <v>0.4</v>
      </c>
      <c r="J52">
        <f t="shared" si="2"/>
        <v>0</v>
      </c>
      <c r="O52">
        <v>165</v>
      </c>
      <c r="P52">
        <v>1212</v>
      </c>
      <c r="R52">
        <v>3183</v>
      </c>
      <c r="S52">
        <v>12</v>
      </c>
    </row>
    <row r="53" spans="1:19" ht="15" customHeight="1" x14ac:dyDescent="0.2">
      <c r="A53" s="4">
        <v>167</v>
      </c>
      <c r="B53" s="2" t="s">
        <v>13</v>
      </c>
      <c r="C53" s="2" t="s">
        <v>8</v>
      </c>
      <c r="D53" s="2" t="s">
        <v>20</v>
      </c>
      <c r="E53" s="2">
        <v>13709</v>
      </c>
      <c r="F53" s="3">
        <v>25688</v>
      </c>
      <c r="G53" s="4">
        <v>2548094000</v>
      </c>
      <c r="H53">
        <f t="shared" si="0"/>
        <v>1212</v>
      </c>
      <c r="I53">
        <f t="shared" si="1"/>
        <v>0.13333333333333333</v>
      </c>
      <c r="J53">
        <f t="shared" si="2"/>
        <v>161.6</v>
      </c>
      <c r="O53">
        <v>166</v>
      </c>
      <c r="P53">
        <v>0</v>
      </c>
      <c r="R53">
        <v>3184</v>
      </c>
      <c r="S53">
        <v>12</v>
      </c>
    </row>
    <row r="54" spans="1:19" ht="15" customHeight="1" x14ac:dyDescent="0.2">
      <c r="A54" s="4">
        <v>170</v>
      </c>
      <c r="B54" s="2" t="s">
        <v>13</v>
      </c>
      <c r="C54" s="2" t="s">
        <v>8</v>
      </c>
      <c r="E54" s="2">
        <v>12119</v>
      </c>
      <c r="F54" s="3">
        <v>25688</v>
      </c>
      <c r="G54" s="4">
        <v>1848001000</v>
      </c>
      <c r="H54">
        <f t="shared" si="0"/>
        <v>1212</v>
      </c>
      <c r="I54">
        <f t="shared" si="1"/>
        <v>0.14285714285714285</v>
      </c>
      <c r="J54">
        <f t="shared" si="2"/>
        <v>173.14285714285714</v>
      </c>
      <c r="O54">
        <v>167</v>
      </c>
      <c r="P54">
        <v>1212</v>
      </c>
      <c r="R54">
        <v>3185</v>
      </c>
      <c r="S54">
        <v>12</v>
      </c>
    </row>
    <row r="55" spans="1:19" ht="26.1" customHeight="1" x14ac:dyDescent="0.2">
      <c r="A55" s="4">
        <v>175</v>
      </c>
      <c r="B55" s="2" t="s">
        <v>11</v>
      </c>
      <c r="C55" s="2" t="s">
        <v>8</v>
      </c>
      <c r="D55" s="2" t="s">
        <v>9</v>
      </c>
      <c r="E55" s="2">
        <v>25362</v>
      </c>
      <c r="F55" s="3">
        <v>25688</v>
      </c>
      <c r="G55" s="4">
        <v>3319002000</v>
      </c>
      <c r="H55">
        <f t="shared" si="0"/>
        <v>309.5</v>
      </c>
      <c r="I55">
        <f t="shared" si="1"/>
        <v>0.14285714285714285</v>
      </c>
      <c r="J55">
        <f t="shared" si="2"/>
        <v>44.214285714285715</v>
      </c>
      <c r="O55">
        <v>170</v>
      </c>
      <c r="P55">
        <v>1212</v>
      </c>
      <c r="R55">
        <v>3201</v>
      </c>
      <c r="S55">
        <v>12</v>
      </c>
    </row>
    <row r="56" spans="1:19" ht="15" customHeight="1" x14ac:dyDescent="0.2">
      <c r="A56" s="4">
        <v>176</v>
      </c>
      <c r="B56" s="2" t="s">
        <v>7</v>
      </c>
      <c r="C56" s="2" t="s">
        <v>14</v>
      </c>
      <c r="D56" s="2" t="s">
        <v>30</v>
      </c>
      <c r="F56" s="3">
        <v>25688</v>
      </c>
      <c r="G56" s="4">
        <v>43001000</v>
      </c>
      <c r="H56">
        <f t="shared" si="0"/>
        <v>503</v>
      </c>
      <c r="I56">
        <f t="shared" si="1"/>
        <v>0.14285714285714285</v>
      </c>
      <c r="J56">
        <f t="shared" si="2"/>
        <v>71.857142857142847</v>
      </c>
      <c r="O56">
        <v>175</v>
      </c>
      <c r="P56">
        <v>309.5</v>
      </c>
      <c r="R56">
        <v>3223</v>
      </c>
      <c r="S56">
        <v>12</v>
      </c>
    </row>
    <row r="57" spans="1:19" ht="15" customHeight="1" x14ac:dyDescent="0.2">
      <c r="A57" s="4">
        <v>178</v>
      </c>
      <c r="B57" s="2" t="s">
        <v>7</v>
      </c>
      <c r="C57" s="2" t="s">
        <v>12</v>
      </c>
      <c r="D57" s="2" t="s">
        <v>19</v>
      </c>
      <c r="F57" s="3">
        <v>25688</v>
      </c>
      <c r="G57" s="4">
        <v>3292001000</v>
      </c>
      <c r="H57">
        <f t="shared" si="0"/>
        <v>532</v>
      </c>
      <c r="I57">
        <f t="shared" si="1"/>
        <v>2</v>
      </c>
      <c r="J57">
        <f t="shared" si="2"/>
        <v>1064</v>
      </c>
      <c r="O57">
        <v>176</v>
      </c>
      <c r="P57">
        <v>503</v>
      </c>
      <c r="R57">
        <v>3230</v>
      </c>
      <c r="S57">
        <v>12</v>
      </c>
    </row>
    <row r="58" spans="1:19" ht="26.1" customHeight="1" x14ac:dyDescent="0.2">
      <c r="A58" s="4">
        <v>180</v>
      </c>
      <c r="B58" s="2" t="s">
        <v>7</v>
      </c>
      <c r="C58" s="2" t="s">
        <v>12</v>
      </c>
      <c r="D58" s="2" t="s">
        <v>10</v>
      </c>
      <c r="E58" s="2">
        <v>1234556</v>
      </c>
      <c r="F58" s="3">
        <v>25688</v>
      </c>
      <c r="G58" s="4">
        <v>3127001000</v>
      </c>
      <c r="H58">
        <f t="shared" si="0"/>
        <v>1154</v>
      </c>
      <c r="I58">
        <f t="shared" si="1"/>
        <v>2</v>
      </c>
      <c r="J58">
        <f t="shared" si="2"/>
        <v>2308</v>
      </c>
      <c r="O58">
        <v>178</v>
      </c>
      <c r="P58">
        <v>532</v>
      </c>
      <c r="R58">
        <v>3232</v>
      </c>
      <c r="S58">
        <v>12</v>
      </c>
    </row>
    <row r="59" spans="1:19" ht="15" customHeight="1" x14ac:dyDescent="0.2">
      <c r="A59" s="4">
        <v>185</v>
      </c>
      <c r="B59" s="2" t="s">
        <v>7</v>
      </c>
      <c r="C59" s="2" t="s">
        <v>12</v>
      </c>
      <c r="D59" s="2" t="s">
        <v>10</v>
      </c>
      <c r="E59" s="2">
        <v>205</v>
      </c>
      <c r="F59" s="3">
        <v>25688</v>
      </c>
      <c r="G59" s="4">
        <v>1014001</v>
      </c>
      <c r="H59">
        <f t="shared" si="0"/>
        <v>1154</v>
      </c>
      <c r="I59">
        <f t="shared" si="1"/>
        <v>2</v>
      </c>
      <c r="J59">
        <f t="shared" si="2"/>
        <v>2308</v>
      </c>
      <c r="O59">
        <v>180</v>
      </c>
      <c r="P59">
        <v>1154</v>
      </c>
      <c r="R59">
        <v>3238</v>
      </c>
      <c r="S59">
        <v>12</v>
      </c>
    </row>
    <row r="60" spans="1:19" ht="15" customHeight="1" x14ac:dyDescent="0.2">
      <c r="A60" s="4">
        <v>186</v>
      </c>
      <c r="B60" s="2" t="s">
        <v>7</v>
      </c>
      <c r="C60" s="2" t="s">
        <v>12</v>
      </c>
      <c r="D60" s="2" t="s">
        <v>19</v>
      </c>
      <c r="F60" s="3">
        <v>25688</v>
      </c>
      <c r="G60" s="4">
        <v>2679001000</v>
      </c>
      <c r="H60">
        <f t="shared" si="0"/>
        <v>532</v>
      </c>
      <c r="I60">
        <f t="shared" si="1"/>
        <v>4.7619047619047616E-2</v>
      </c>
      <c r="J60">
        <f t="shared" si="2"/>
        <v>25.333333333333332</v>
      </c>
      <c r="O60">
        <v>185</v>
      </c>
      <c r="P60">
        <v>1154</v>
      </c>
      <c r="R60">
        <v>3240</v>
      </c>
      <c r="S60">
        <v>12</v>
      </c>
    </row>
    <row r="61" spans="1:19" ht="15" customHeight="1" x14ac:dyDescent="0.2">
      <c r="A61" s="4">
        <v>189</v>
      </c>
      <c r="B61" s="2" t="s">
        <v>13</v>
      </c>
      <c r="C61" s="2" t="s">
        <v>8</v>
      </c>
      <c r="D61" s="2" t="s">
        <v>20</v>
      </c>
      <c r="E61" s="2">
        <v>13755</v>
      </c>
      <c r="F61" s="3">
        <v>25688</v>
      </c>
      <c r="G61" s="4">
        <v>2126001000</v>
      </c>
      <c r="H61">
        <f t="shared" si="0"/>
        <v>1212</v>
      </c>
      <c r="I61">
        <f t="shared" si="1"/>
        <v>0.5714285714285714</v>
      </c>
      <c r="J61">
        <f t="shared" si="2"/>
        <v>692.57142857142856</v>
      </c>
      <c r="O61">
        <v>186</v>
      </c>
      <c r="P61">
        <v>532</v>
      </c>
      <c r="R61">
        <v>3245</v>
      </c>
      <c r="S61">
        <v>12</v>
      </c>
    </row>
    <row r="62" spans="1:19" ht="15" customHeight="1" x14ac:dyDescent="0.2">
      <c r="A62" s="4">
        <v>190</v>
      </c>
      <c r="B62" s="2" t="s">
        <v>13</v>
      </c>
      <c r="C62" s="2" t="s">
        <v>21</v>
      </c>
      <c r="D62" s="2" t="s">
        <v>27</v>
      </c>
      <c r="F62" s="3">
        <v>35459</v>
      </c>
      <c r="G62" s="4">
        <v>66011000</v>
      </c>
      <c r="H62">
        <f t="shared" si="0"/>
        <v>1202.5</v>
      </c>
      <c r="I62">
        <f t="shared" si="1"/>
        <v>0.14285714285714285</v>
      </c>
      <c r="J62">
        <f t="shared" si="2"/>
        <v>171.78571428571428</v>
      </c>
      <c r="O62">
        <v>189</v>
      </c>
      <c r="P62">
        <v>1212</v>
      </c>
      <c r="R62">
        <v>3246</v>
      </c>
      <c r="S62">
        <v>12</v>
      </c>
    </row>
    <row r="63" spans="1:19" ht="15" customHeight="1" x14ac:dyDescent="0.2">
      <c r="A63" s="4">
        <v>198</v>
      </c>
      <c r="B63" s="2" t="s">
        <v>7</v>
      </c>
      <c r="C63" s="2" t="s">
        <v>12</v>
      </c>
      <c r="D63" s="2" t="s">
        <v>19</v>
      </c>
      <c r="F63" s="3">
        <v>25688</v>
      </c>
      <c r="G63" s="4">
        <v>1165000000</v>
      </c>
      <c r="H63">
        <f t="shared" si="0"/>
        <v>532</v>
      </c>
      <c r="I63">
        <f t="shared" si="1"/>
        <v>0.5714285714285714</v>
      </c>
      <c r="J63">
        <f t="shared" si="2"/>
        <v>304</v>
      </c>
      <c r="O63">
        <v>190</v>
      </c>
      <c r="P63">
        <v>1202.5</v>
      </c>
      <c r="R63">
        <v>3255</v>
      </c>
      <c r="S63">
        <v>12</v>
      </c>
    </row>
    <row r="64" spans="1:19" ht="15" customHeight="1" x14ac:dyDescent="0.2">
      <c r="A64" s="4">
        <v>199</v>
      </c>
      <c r="B64" s="2" t="s">
        <v>7</v>
      </c>
      <c r="C64" s="2" t="s">
        <v>12</v>
      </c>
      <c r="D64" s="2" t="s">
        <v>31</v>
      </c>
      <c r="F64" s="3">
        <v>25688</v>
      </c>
      <c r="G64" s="4">
        <v>1406001000</v>
      </c>
      <c r="H64">
        <f t="shared" si="0"/>
        <v>292</v>
      </c>
      <c r="I64">
        <f t="shared" si="1"/>
        <v>9.5714285714285724E-2</v>
      </c>
      <c r="J64">
        <f t="shared" si="2"/>
        <v>27.94857142857143</v>
      </c>
      <c r="O64">
        <v>198</v>
      </c>
      <c r="P64">
        <v>532</v>
      </c>
      <c r="R64">
        <v>3265</v>
      </c>
      <c r="S64">
        <v>12</v>
      </c>
    </row>
    <row r="65" spans="1:19" ht="15" customHeight="1" x14ac:dyDescent="0.2">
      <c r="A65" s="4">
        <v>200</v>
      </c>
      <c r="B65" s="2" t="s">
        <v>7</v>
      </c>
      <c r="C65" s="2" t="s">
        <v>12</v>
      </c>
      <c r="D65" s="2" t="s">
        <v>10</v>
      </c>
      <c r="E65" s="2">
        <v>242526</v>
      </c>
      <c r="F65" s="3">
        <v>25688</v>
      </c>
      <c r="G65" s="4">
        <v>3343001000</v>
      </c>
      <c r="H65">
        <f t="shared" si="0"/>
        <v>1154</v>
      </c>
      <c r="I65">
        <f t="shared" si="1"/>
        <v>0.2857142857142857</v>
      </c>
      <c r="J65">
        <f t="shared" si="2"/>
        <v>329.71428571428572</v>
      </c>
      <c r="O65">
        <v>199</v>
      </c>
      <c r="P65">
        <v>292</v>
      </c>
      <c r="R65">
        <v>3267</v>
      </c>
      <c r="S65">
        <v>12</v>
      </c>
    </row>
    <row r="66" spans="1:19" ht="15" customHeight="1" x14ac:dyDescent="0.2">
      <c r="A66" s="4">
        <v>203</v>
      </c>
      <c r="B66" s="2" t="s">
        <v>7</v>
      </c>
      <c r="C66" s="2" t="s">
        <v>8</v>
      </c>
      <c r="D66" s="2" t="s">
        <v>17</v>
      </c>
      <c r="E66" s="2">
        <v>13619</v>
      </c>
      <c r="F66" s="3">
        <v>25688</v>
      </c>
      <c r="G66" s="4">
        <v>43006000</v>
      </c>
      <c r="H66">
        <f t="shared" ref="H66:H129" si="3">VLOOKUP(A66,O:P,2)</f>
        <v>461</v>
      </c>
      <c r="I66">
        <f t="shared" ref="I66:I129" si="4">VLOOKUP(A66,R:S,2)</f>
        <v>0.5714285714285714</v>
      </c>
      <c r="J66">
        <f t="shared" ref="J66:J129" si="5">H66*I66</f>
        <v>263.42857142857139</v>
      </c>
      <c r="O66">
        <v>200</v>
      </c>
      <c r="P66">
        <v>1154</v>
      </c>
      <c r="R66">
        <v>3292</v>
      </c>
      <c r="S66">
        <v>12</v>
      </c>
    </row>
    <row r="67" spans="1:19" ht="15" customHeight="1" x14ac:dyDescent="0.2">
      <c r="A67" s="4">
        <v>211</v>
      </c>
      <c r="B67" s="2" t="s">
        <v>13</v>
      </c>
      <c r="C67" s="2" t="s">
        <v>14</v>
      </c>
      <c r="D67" s="2" t="s">
        <v>15</v>
      </c>
      <c r="E67" s="2">
        <v>117416</v>
      </c>
      <c r="F67" s="3">
        <v>25688</v>
      </c>
      <c r="G67" s="4">
        <v>2514002000</v>
      </c>
      <c r="H67">
        <f t="shared" si="3"/>
        <v>1091</v>
      </c>
      <c r="I67">
        <f t="shared" si="4"/>
        <v>7.1428571428571425E-2</v>
      </c>
      <c r="J67">
        <f t="shared" si="5"/>
        <v>77.928571428571431</v>
      </c>
      <c r="O67">
        <v>203</v>
      </c>
      <c r="P67">
        <v>461</v>
      </c>
      <c r="R67">
        <v>3293</v>
      </c>
      <c r="S67">
        <v>12</v>
      </c>
    </row>
    <row r="68" spans="1:19" ht="15" customHeight="1" x14ac:dyDescent="0.2">
      <c r="A68" s="4">
        <v>212</v>
      </c>
      <c r="B68" s="2" t="s">
        <v>13</v>
      </c>
      <c r="C68" s="2" t="s">
        <v>8</v>
      </c>
      <c r="F68" s="3">
        <v>25688</v>
      </c>
      <c r="G68" s="4">
        <v>127001000</v>
      </c>
      <c r="H68">
        <f t="shared" si="3"/>
        <v>1212</v>
      </c>
      <c r="I68">
        <f t="shared" si="4"/>
        <v>0.4</v>
      </c>
      <c r="J68">
        <f t="shared" si="5"/>
        <v>484.8</v>
      </c>
      <c r="O68">
        <v>211</v>
      </c>
      <c r="P68">
        <v>1091</v>
      </c>
      <c r="R68">
        <v>3295</v>
      </c>
      <c r="S68">
        <v>12</v>
      </c>
    </row>
    <row r="69" spans="1:19" ht="15" customHeight="1" x14ac:dyDescent="0.2">
      <c r="A69" s="4">
        <v>213</v>
      </c>
      <c r="B69" s="2" t="s">
        <v>13</v>
      </c>
      <c r="C69" s="2" t="s">
        <v>21</v>
      </c>
      <c r="D69" s="2" t="s">
        <v>27</v>
      </c>
      <c r="F69" s="3">
        <v>34849</v>
      </c>
      <c r="H69">
        <f t="shared" si="3"/>
        <v>1202.5</v>
      </c>
      <c r="I69">
        <f t="shared" si="4"/>
        <v>0.5714285714285714</v>
      </c>
      <c r="J69">
        <f t="shared" si="5"/>
        <v>687.14285714285711</v>
      </c>
      <c r="O69">
        <v>212</v>
      </c>
      <c r="P69">
        <v>1212</v>
      </c>
      <c r="R69">
        <v>3303</v>
      </c>
      <c r="S69">
        <v>12</v>
      </c>
    </row>
    <row r="70" spans="1:19" ht="15" customHeight="1" x14ac:dyDescent="0.2">
      <c r="A70" s="4">
        <v>224</v>
      </c>
      <c r="B70" s="2" t="s">
        <v>13</v>
      </c>
      <c r="C70" s="2" t="s">
        <v>14</v>
      </c>
      <c r="D70" s="2" t="s">
        <v>15</v>
      </c>
      <c r="E70" s="2">
        <v>117489</v>
      </c>
      <c r="F70" s="3">
        <v>25688</v>
      </c>
      <c r="G70" s="4">
        <v>153001000</v>
      </c>
      <c r="H70">
        <f t="shared" si="3"/>
        <v>1091</v>
      </c>
      <c r="I70">
        <f t="shared" si="4"/>
        <v>1.3333333333333333</v>
      </c>
      <c r="J70">
        <f t="shared" si="5"/>
        <v>1454.6666666666665</v>
      </c>
      <c r="O70">
        <v>213</v>
      </c>
      <c r="P70">
        <v>1202.5</v>
      </c>
      <c r="R70">
        <v>3325</v>
      </c>
      <c r="S70">
        <v>12</v>
      </c>
    </row>
    <row r="71" spans="1:19" ht="15" customHeight="1" x14ac:dyDescent="0.2">
      <c r="A71" s="4">
        <v>227</v>
      </c>
      <c r="B71" s="2" t="s">
        <v>7</v>
      </c>
      <c r="C71" s="2" t="s">
        <v>8</v>
      </c>
      <c r="D71" s="2" t="s">
        <v>9</v>
      </c>
      <c r="E71" s="2">
        <v>936409</v>
      </c>
      <c r="F71" s="3">
        <v>25688</v>
      </c>
      <c r="G71" s="4">
        <v>3300202000</v>
      </c>
      <c r="H71">
        <f t="shared" si="3"/>
        <v>309.5</v>
      </c>
      <c r="I71">
        <f t="shared" si="4"/>
        <v>1.3333333333333333</v>
      </c>
      <c r="J71">
        <f t="shared" si="5"/>
        <v>412.66666666666663</v>
      </c>
      <c r="O71">
        <v>224</v>
      </c>
      <c r="P71">
        <v>1091</v>
      </c>
      <c r="R71">
        <v>3327</v>
      </c>
      <c r="S71">
        <v>12</v>
      </c>
    </row>
    <row r="72" spans="1:19" ht="15" customHeight="1" x14ac:dyDescent="0.2">
      <c r="A72" s="4">
        <v>228</v>
      </c>
      <c r="B72" s="2" t="s">
        <v>7</v>
      </c>
      <c r="C72" s="2" t="s">
        <v>12</v>
      </c>
      <c r="D72" s="2" t="s">
        <v>10</v>
      </c>
      <c r="E72" s="2">
        <v>123543</v>
      </c>
      <c r="F72" s="3">
        <v>25688</v>
      </c>
      <c r="G72" s="4">
        <v>165001000</v>
      </c>
      <c r="H72">
        <f t="shared" si="3"/>
        <v>1154</v>
      </c>
      <c r="I72">
        <f t="shared" si="4"/>
        <v>1.4285714285714286</v>
      </c>
      <c r="J72">
        <f t="shared" si="5"/>
        <v>1648.5714285714287</v>
      </c>
      <c r="O72">
        <v>227</v>
      </c>
      <c r="P72">
        <v>309.5</v>
      </c>
      <c r="R72">
        <v>3329</v>
      </c>
      <c r="S72">
        <v>12</v>
      </c>
    </row>
    <row r="73" spans="1:19" ht="26.1" customHeight="1" x14ac:dyDescent="0.2">
      <c r="A73" s="4">
        <v>231</v>
      </c>
      <c r="B73" s="2" t="s">
        <v>11</v>
      </c>
      <c r="C73" s="2" t="s">
        <v>8</v>
      </c>
      <c r="D73" s="2" t="s">
        <v>9</v>
      </c>
      <c r="E73" s="2">
        <v>150</v>
      </c>
      <c r="F73" s="3">
        <v>25688</v>
      </c>
      <c r="G73" s="4">
        <v>3400002000</v>
      </c>
      <c r="H73">
        <f t="shared" si="3"/>
        <v>309.5</v>
      </c>
      <c r="I73">
        <f t="shared" si="4"/>
        <v>9.5238095238095233E-2</v>
      </c>
      <c r="J73">
        <f t="shared" si="5"/>
        <v>29.476190476190474</v>
      </c>
      <c r="O73">
        <v>228</v>
      </c>
      <c r="P73">
        <v>1154</v>
      </c>
      <c r="R73">
        <v>3345</v>
      </c>
      <c r="S73">
        <v>12</v>
      </c>
    </row>
    <row r="74" spans="1:19" ht="15" customHeight="1" x14ac:dyDescent="0.2">
      <c r="A74" s="4">
        <v>232</v>
      </c>
      <c r="B74" s="2" t="s">
        <v>7</v>
      </c>
      <c r="C74" s="2" t="s">
        <v>8</v>
      </c>
      <c r="D74" s="2" t="s">
        <v>17</v>
      </c>
      <c r="E74" s="2">
        <v>11549</v>
      </c>
      <c r="F74" s="3">
        <v>25688</v>
      </c>
      <c r="G74" s="4">
        <v>1000011</v>
      </c>
      <c r="H74">
        <f t="shared" si="3"/>
        <v>461</v>
      </c>
      <c r="I74">
        <f t="shared" si="4"/>
        <v>9.5238095238095233E-2</v>
      </c>
      <c r="J74">
        <f t="shared" si="5"/>
        <v>43.904761904761905</v>
      </c>
      <c r="O74">
        <v>231</v>
      </c>
      <c r="P74">
        <v>309.5</v>
      </c>
      <c r="R74">
        <v>3352</v>
      </c>
      <c r="S74">
        <v>12</v>
      </c>
    </row>
    <row r="75" spans="1:19" ht="26.1" customHeight="1" x14ac:dyDescent="0.2">
      <c r="A75" s="4">
        <v>234</v>
      </c>
      <c r="B75" s="2" t="s">
        <v>7</v>
      </c>
      <c r="C75" s="2" t="s">
        <v>12</v>
      </c>
      <c r="D75" s="2" t="s">
        <v>10</v>
      </c>
      <c r="E75" s="2">
        <v>1234567</v>
      </c>
      <c r="F75" s="3">
        <v>25688</v>
      </c>
      <c r="G75" s="4">
        <v>3135001000</v>
      </c>
      <c r="H75">
        <f t="shared" si="3"/>
        <v>1154</v>
      </c>
      <c r="I75">
        <f t="shared" si="4"/>
        <v>0.5714285714285714</v>
      </c>
      <c r="J75">
        <f t="shared" si="5"/>
        <v>659.42857142857144</v>
      </c>
      <c r="O75">
        <v>232</v>
      </c>
      <c r="P75">
        <v>461</v>
      </c>
      <c r="R75">
        <v>3357</v>
      </c>
      <c r="S75">
        <v>12</v>
      </c>
    </row>
    <row r="76" spans="1:19" ht="15" customHeight="1" x14ac:dyDescent="0.2">
      <c r="A76" s="4">
        <v>237</v>
      </c>
      <c r="B76" s="2" t="s">
        <v>7</v>
      </c>
      <c r="C76" s="2" t="s">
        <v>8</v>
      </c>
      <c r="D76" s="2" t="s">
        <v>9</v>
      </c>
      <c r="E76" s="2">
        <v>798899</v>
      </c>
      <c r="F76" s="3">
        <v>25688</v>
      </c>
      <c r="G76" s="4">
        <v>2548018000</v>
      </c>
      <c r="H76">
        <f t="shared" si="3"/>
        <v>309.5</v>
      </c>
      <c r="I76">
        <f t="shared" si="4"/>
        <v>3.3333333333333333E-2</v>
      </c>
      <c r="J76">
        <f t="shared" si="5"/>
        <v>10.316666666666666</v>
      </c>
      <c r="O76">
        <v>234</v>
      </c>
      <c r="P76">
        <v>1154</v>
      </c>
      <c r="R76">
        <v>3359</v>
      </c>
      <c r="S76">
        <v>12</v>
      </c>
    </row>
    <row r="77" spans="1:19" ht="15" customHeight="1" x14ac:dyDescent="0.2">
      <c r="A77" s="4">
        <v>242</v>
      </c>
      <c r="B77" s="2" t="s">
        <v>7</v>
      </c>
      <c r="C77" s="2" t="s">
        <v>12</v>
      </c>
      <c r="D77" s="2" t="s">
        <v>10</v>
      </c>
      <c r="F77" s="3">
        <v>25688</v>
      </c>
      <c r="G77" s="4">
        <v>3042058002</v>
      </c>
      <c r="H77">
        <f t="shared" si="3"/>
        <v>1154</v>
      </c>
      <c r="I77">
        <f t="shared" si="4"/>
        <v>1.2857142857142858</v>
      </c>
      <c r="J77">
        <f t="shared" si="5"/>
        <v>1483.7142857142858</v>
      </c>
      <c r="O77">
        <v>237</v>
      </c>
      <c r="P77">
        <v>309.5</v>
      </c>
      <c r="R77">
        <v>3362</v>
      </c>
      <c r="S77">
        <v>12</v>
      </c>
    </row>
    <row r="78" spans="1:19" ht="15" customHeight="1" x14ac:dyDescent="0.2">
      <c r="A78" s="4">
        <v>246</v>
      </c>
      <c r="B78" s="2" t="s">
        <v>13</v>
      </c>
      <c r="C78" s="2" t="s">
        <v>14</v>
      </c>
      <c r="D78" s="2" t="s">
        <v>15</v>
      </c>
      <c r="E78" s="2">
        <v>117620</v>
      </c>
      <c r="F78" s="3">
        <v>25688</v>
      </c>
      <c r="G78" s="4">
        <v>3319002000</v>
      </c>
      <c r="H78">
        <f t="shared" si="3"/>
        <v>1091</v>
      </c>
      <c r="I78">
        <f t="shared" si="4"/>
        <v>0.66666666666666663</v>
      </c>
      <c r="J78">
        <f t="shared" si="5"/>
        <v>727.33333333333326</v>
      </c>
      <c r="O78">
        <v>242</v>
      </c>
      <c r="P78">
        <v>1154</v>
      </c>
      <c r="R78">
        <v>3368</v>
      </c>
      <c r="S78">
        <v>12</v>
      </c>
    </row>
    <row r="79" spans="1:19" ht="15" customHeight="1" x14ac:dyDescent="0.2">
      <c r="A79" s="4">
        <v>247</v>
      </c>
      <c r="B79" s="2" t="s">
        <v>13</v>
      </c>
      <c r="C79" s="2" t="s">
        <v>14</v>
      </c>
      <c r="D79" s="2" t="s">
        <v>15</v>
      </c>
      <c r="E79" s="2" t="s">
        <v>32</v>
      </c>
      <c r="F79" s="3">
        <v>25688</v>
      </c>
      <c r="G79" s="4">
        <v>1014001</v>
      </c>
      <c r="H79">
        <f t="shared" si="3"/>
        <v>1091</v>
      </c>
      <c r="I79">
        <f t="shared" si="4"/>
        <v>0.14285714285714285</v>
      </c>
      <c r="J79">
        <f t="shared" si="5"/>
        <v>155.85714285714286</v>
      </c>
      <c r="O79">
        <v>246</v>
      </c>
      <c r="P79">
        <v>1091</v>
      </c>
      <c r="R79">
        <v>3370</v>
      </c>
      <c r="S79">
        <v>12</v>
      </c>
    </row>
    <row r="80" spans="1:19" ht="15" customHeight="1" x14ac:dyDescent="0.2">
      <c r="A80" s="4">
        <v>253</v>
      </c>
      <c r="B80" s="2" t="s">
        <v>13</v>
      </c>
      <c r="C80" s="2" t="s">
        <v>8</v>
      </c>
      <c r="D80" s="2" t="s">
        <v>20</v>
      </c>
      <c r="E80" s="2">
        <v>13695</v>
      </c>
      <c r="F80" s="3">
        <v>25688</v>
      </c>
      <c r="G80" s="4">
        <v>3365001000</v>
      </c>
      <c r="H80">
        <f t="shared" si="3"/>
        <v>1212</v>
      </c>
      <c r="I80">
        <f t="shared" si="4"/>
        <v>0.2857142857142857</v>
      </c>
      <c r="J80">
        <f t="shared" si="5"/>
        <v>346.28571428571428</v>
      </c>
      <c r="O80">
        <v>247</v>
      </c>
      <c r="P80">
        <v>1091</v>
      </c>
      <c r="R80">
        <v>3378</v>
      </c>
      <c r="S80">
        <v>12</v>
      </c>
    </row>
    <row r="81" spans="1:19" ht="26.1" customHeight="1" x14ac:dyDescent="0.2">
      <c r="A81" s="4">
        <v>254</v>
      </c>
      <c r="B81" s="2" t="s">
        <v>7</v>
      </c>
      <c r="C81" s="2" t="s">
        <v>12</v>
      </c>
      <c r="D81" s="2" t="s">
        <v>10</v>
      </c>
      <c r="E81" s="2">
        <v>123445567</v>
      </c>
      <c r="F81" s="3">
        <v>25688</v>
      </c>
      <c r="G81" s="4">
        <v>1014001</v>
      </c>
      <c r="H81">
        <f t="shared" si="3"/>
        <v>1154</v>
      </c>
      <c r="I81">
        <f t="shared" si="4"/>
        <v>0.2857142857142857</v>
      </c>
      <c r="J81">
        <f t="shared" si="5"/>
        <v>329.71428571428572</v>
      </c>
      <c r="O81">
        <v>253</v>
      </c>
      <c r="P81">
        <v>1212</v>
      </c>
      <c r="R81">
        <v>3382</v>
      </c>
      <c r="S81">
        <v>12</v>
      </c>
    </row>
    <row r="82" spans="1:19" ht="26.1" customHeight="1" x14ac:dyDescent="0.2">
      <c r="A82" s="4">
        <v>255</v>
      </c>
      <c r="B82" s="2" t="s">
        <v>11</v>
      </c>
      <c r="C82" s="2" t="s">
        <v>12</v>
      </c>
      <c r="D82" s="2" t="s">
        <v>10</v>
      </c>
      <c r="E82" s="2">
        <v>1234567</v>
      </c>
      <c r="F82" s="3">
        <v>25688</v>
      </c>
      <c r="G82" s="4">
        <v>2126013000</v>
      </c>
      <c r="H82">
        <f t="shared" si="3"/>
        <v>1154</v>
      </c>
      <c r="I82">
        <f t="shared" si="4"/>
        <v>0.33333333333333331</v>
      </c>
      <c r="J82">
        <f t="shared" si="5"/>
        <v>384.66666666666663</v>
      </c>
      <c r="O82">
        <v>254</v>
      </c>
      <c r="P82">
        <v>1154</v>
      </c>
      <c r="R82">
        <v>3390</v>
      </c>
      <c r="S82">
        <v>12</v>
      </c>
    </row>
    <row r="83" spans="1:19" ht="15" customHeight="1" x14ac:dyDescent="0.2">
      <c r="A83" s="4">
        <v>257</v>
      </c>
      <c r="B83" s="2" t="s">
        <v>13</v>
      </c>
      <c r="C83" s="2" t="s">
        <v>21</v>
      </c>
      <c r="D83" s="2" t="s">
        <v>27</v>
      </c>
      <c r="F83" s="3">
        <v>25688</v>
      </c>
      <c r="G83" s="4">
        <v>3319002000</v>
      </c>
      <c r="H83">
        <f t="shared" si="3"/>
        <v>1202.5</v>
      </c>
      <c r="I83">
        <f t="shared" si="4"/>
        <v>0.66666666666666663</v>
      </c>
      <c r="J83">
        <f t="shared" si="5"/>
        <v>801.66666666666663</v>
      </c>
      <c r="O83">
        <v>255</v>
      </c>
      <c r="P83">
        <v>1154</v>
      </c>
      <c r="R83">
        <v>3401</v>
      </c>
      <c r="S83">
        <v>12</v>
      </c>
    </row>
    <row r="84" spans="1:19" ht="15" customHeight="1" x14ac:dyDescent="0.2">
      <c r="A84" s="4">
        <v>259</v>
      </c>
      <c r="B84" s="2" t="s">
        <v>13</v>
      </c>
      <c r="C84" s="2" t="s">
        <v>12</v>
      </c>
      <c r="D84" s="2">
        <v>2815</v>
      </c>
      <c r="E84" s="2">
        <v>19651</v>
      </c>
      <c r="F84" s="3">
        <v>25688</v>
      </c>
      <c r="G84" s="4">
        <v>153002000</v>
      </c>
      <c r="H84">
        <f t="shared" si="3"/>
        <v>1154</v>
      </c>
      <c r="I84">
        <f t="shared" si="4"/>
        <v>0.33333333333333331</v>
      </c>
      <c r="J84">
        <f t="shared" si="5"/>
        <v>384.66666666666663</v>
      </c>
      <c r="O84">
        <v>257</v>
      </c>
      <c r="P84">
        <v>1202.5</v>
      </c>
      <c r="R84">
        <v>3409</v>
      </c>
      <c r="S84">
        <v>12</v>
      </c>
    </row>
    <row r="85" spans="1:19" ht="15" customHeight="1" x14ac:dyDescent="0.2">
      <c r="A85" s="4">
        <v>262</v>
      </c>
      <c r="B85" s="2" t="s">
        <v>7</v>
      </c>
      <c r="C85" s="2" t="s">
        <v>8</v>
      </c>
      <c r="D85" s="2" t="s">
        <v>9</v>
      </c>
      <c r="E85" s="2">
        <v>2174</v>
      </c>
      <c r="F85" s="3">
        <v>25688</v>
      </c>
      <c r="G85" s="4">
        <v>212001000</v>
      </c>
      <c r="H85">
        <f t="shared" si="3"/>
        <v>309.5</v>
      </c>
      <c r="I85">
        <f t="shared" si="4"/>
        <v>0.16666666666666666</v>
      </c>
      <c r="J85">
        <f t="shared" si="5"/>
        <v>51.583333333333329</v>
      </c>
      <c r="O85">
        <v>259</v>
      </c>
      <c r="P85">
        <v>1154</v>
      </c>
      <c r="R85">
        <v>3410</v>
      </c>
      <c r="S85">
        <v>12</v>
      </c>
    </row>
    <row r="86" spans="1:19" ht="26.1" customHeight="1" x14ac:dyDescent="0.2">
      <c r="A86" s="4">
        <v>263</v>
      </c>
      <c r="B86" s="2" t="s">
        <v>33</v>
      </c>
      <c r="C86" s="2" t="s">
        <v>14</v>
      </c>
      <c r="D86" s="2" t="s">
        <v>34</v>
      </c>
      <c r="E86" s="2" t="s">
        <v>35</v>
      </c>
      <c r="F86" s="3">
        <v>25688</v>
      </c>
      <c r="G86" s="4">
        <v>1165000000</v>
      </c>
      <c r="H86">
        <f t="shared" si="3"/>
        <v>0</v>
      </c>
      <c r="I86">
        <f t="shared" si="4"/>
        <v>0.16666666666666666</v>
      </c>
      <c r="J86">
        <f t="shared" si="5"/>
        <v>0</v>
      </c>
      <c r="O86">
        <v>262</v>
      </c>
      <c r="P86">
        <v>309.5</v>
      </c>
      <c r="R86">
        <v>3412</v>
      </c>
      <c r="S86">
        <v>12</v>
      </c>
    </row>
    <row r="87" spans="1:19" ht="15" customHeight="1" x14ac:dyDescent="0.2">
      <c r="A87" s="4">
        <v>265</v>
      </c>
      <c r="B87" s="2" t="s">
        <v>13</v>
      </c>
      <c r="C87" s="2" t="s">
        <v>14</v>
      </c>
      <c r="D87" s="2" t="s">
        <v>15</v>
      </c>
      <c r="E87" s="2">
        <v>117512</v>
      </c>
      <c r="F87" s="3">
        <v>25688</v>
      </c>
      <c r="G87" s="4">
        <v>212001000</v>
      </c>
      <c r="H87">
        <f t="shared" si="3"/>
        <v>1091</v>
      </c>
      <c r="I87">
        <f t="shared" si="4"/>
        <v>0.26666666666666666</v>
      </c>
      <c r="J87">
        <f t="shared" si="5"/>
        <v>290.93333333333334</v>
      </c>
      <c r="O87">
        <v>263</v>
      </c>
      <c r="P87">
        <v>0</v>
      </c>
      <c r="R87">
        <v>3413</v>
      </c>
      <c r="S87">
        <v>12</v>
      </c>
    </row>
    <row r="88" spans="1:19" ht="15" customHeight="1" x14ac:dyDescent="0.2">
      <c r="A88" s="4">
        <v>267</v>
      </c>
      <c r="B88" s="2" t="s">
        <v>13</v>
      </c>
      <c r="C88" s="2" t="s">
        <v>12</v>
      </c>
      <c r="D88" s="2">
        <v>2815</v>
      </c>
      <c r="F88" s="3">
        <v>25688</v>
      </c>
      <c r="G88" s="4">
        <v>3042058002</v>
      </c>
      <c r="H88">
        <f t="shared" si="3"/>
        <v>1154</v>
      </c>
      <c r="I88">
        <f t="shared" si="4"/>
        <v>1</v>
      </c>
      <c r="J88">
        <f t="shared" si="5"/>
        <v>1154</v>
      </c>
      <c r="O88">
        <v>265</v>
      </c>
      <c r="P88">
        <v>1091</v>
      </c>
      <c r="R88">
        <v>3421</v>
      </c>
      <c r="S88">
        <v>12</v>
      </c>
    </row>
    <row r="89" spans="1:19" ht="15" customHeight="1" x14ac:dyDescent="0.2">
      <c r="A89" s="4">
        <v>272</v>
      </c>
      <c r="B89" s="2" t="s">
        <v>13</v>
      </c>
      <c r="C89" s="2" t="s">
        <v>8</v>
      </c>
      <c r="D89" s="2" t="s">
        <v>20</v>
      </c>
      <c r="E89" s="2">
        <v>8152</v>
      </c>
      <c r="F89" s="3">
        <v>25688</v>
      </c>
      <c r="G89" s="4">
        <v>1033000</v>
      </c>
      <c r="H89">
        <f t="shared" si="3"/>
        <v>1212</v>
      </c>
      <c r="I89">
        <f t="shared" si="4"/>
        <v>0.66666666666666663</v>
      </c>
      <c r="J89">
        <f t="shared" si="5"/>
        <v>808</v>
      </c>
      <c r="O89">
        <v>267</v>
      </c>
      <c r="P89">
        <v>1154</v>
      </c>
      <c r="R89">
        <v>3422</v>
      </c>
      <c r="S89">
        <v>12</v>
      </c>
    </row>
    <row r="90" spans="1:19" ht="15" customHeight="1" x14ac:dyDescent="0.2">
      <c r="A90" s="4">
        <v>276</v>
      </c>
      <c r="B90" s="2" t="s">
        <v>13</v>
      </c>
      <c r="C90" s="2" t="s">
        <v>8</v>
      </c>
      <c r="D90" s="2" t="s">
        <v>20</v>
      </c>
      <c r="E90" s="2">
        <v>13949</v>
      </c>
      <c r="F90" s="3">
        <v>25688</v>
      </c>
      <c r="G90" s="4">
        <v>529001000</v>
      </c>
      <c r="H90">
        <f t="shared" si="3"/>
        <v>1212</v>
      </c>
      <c r="I90">
        <f t="shared" si="4"/>
        <v>0.2857142857142857</v>
      </c>
      <c r="J90">
        <f t="shared" si="5"/>
        <v>346.28571428571428</v>
      </c>
      <c r="O90">
        <v>272</v>
      </c>
      <c r="P90">
        <v>1212</v>
      </c>
      <c r="R90">
        <v>3423</v>
      </c>
      <c r="S90">
        <v>12</v>
      </c>
    </row>
    <row r="91" spans="1:19" ht="15" customHeight="1" x14ac:dyDescent="0.2">
      <c r="A91" s="4">
        <v>277</v>
      </c>
      <c r="B91" s="2" t="s">
        <v>13</v>
      </c>
      <c r="C91" s="2" t="s">
        <v>8</v>
      </c>
      <c r="D91" s="2" t="s">
        <v>20</v>
      </c>
      <c r="E91" s="2">
        <v>13962</v>
      </c>
      <c r="F91" s="3">
        <v>25688</v>
      </c>
      <c r="G91" s="4">
        <v>1014010</v>
      </c>
      <c r="H91">
        <f t="shared" si="3"/>
        <v>1212</v>
      </c>
      <c r="I91">
        <f t="shared" si="4"/>
        <v>0.2857142857142857</v>
      </c>
      <c r="J91">
        <f t="shared" si="5"/>
        <v>346.28571428571428</v>
      </c>
      <c r="O91">
        <v>276</v>
      </c>
      <c r="P91">
        <v>1212</v>
      </c>
      <c r="R91">
        <v>3430</v>
      </c>
      <c r="S91">
        <v>12</v>
      </c>
    </row>
    <row r="92" spans="1:19" ht="15" customHeight="1" x14ac:dyDescent="0.2">
      <c r="A92" s="4">
        <v>279</v>
      </c>
      <c r="B92" s="2" t="s">
        <v>13</v>
      </c>
      <c r="C92" s="2" t="s">
        <v>8</v>
      </c>
      <c r="D92" s="2" t="s">
        <v>36</v>
      </c>
      <c r="F92" s="3">
        <v>25688</v>
      </c>
      <c r="G92" s="4">
        <v>1967003000</v>
      </c>
      <c r="H92">
        <f t="shared" si="3"/>
        <v>1135</v>
      </c>
      <c r="I92">
        <f t="shared" si="4"/>
        <v>0.66666666666666663</v>
      </c>
      <c r="J92">
        <f t="shared" si="5"/>
        <v>756.66666666666663</v>
      </c>
      <c r="O92">
        <v>277</v>
      </c>
      <c r="P92">
        <v>1212</v>
      </c>
      <c r="R92">
        <v>3441</v>
      </c>
      <c r="S92">
        <v>12</v>
      </c>
    </row>
    <row r="93" spans="1:19" ht="15" customHeight="1" x14ac:dyDescent="0.2">
      <c r="A93" s="4">
        <v>280</v>
      </c>
      <c r="B93" s="2" t="s">
        <v>13</v>
      </c>
      <c r="C93" s="2" t="s">
        <v>8</v>
      </c>
      <c r="D93" s="2" t="s">
        <v>20</v>
      </c>
      <c r="E93" s="2">
        <v>13973</v>
      </c>
      <c r="F93" s="3">
        <v>25688</v>
      </c>
      <c r="G93" s="4">
        <v>2936001000</v>
      </c>
      <c r="H93">
        <f t="shared" si="3"/>
        <v>1212</v>
      </c>
      <c r="I93">
        <f t="shared" si="4"/>
        <v>0.14285714285714285</v>
      </c>
      <c r="J93">
        <f t="shared" si="5"/>
        <v>173.14285714285714</v>
      </c>
      <c r="O93">
        <v>279</v>
      </c>
      <c r="P93">
        <v>1135</v>
      </c>
      <c r="R93">
        <v>3449</v>
      </c>
      <c r="S93">
        <v>12</v>
      </c>
    </row>
    <row r="94" spans="1:19" ht="15" customHeight="1" x14ac:dyDescent="0.2">
      <c r="A94" s="4">
        <v>281</v>
      </c>
      <c r="B94" s="2" t="s">
        <v>7</v>
      </c>
      <c r="C94" s="2" t="s">
        <v>8</v>
      </c>
      <c r="D94" s="2" t="s">
        <v>9</v>
      </c>
      <c r="E94" s="2">
        <v>10510</v>
      </c>
      <c r="F94" s="3">
        <v>25688</v>
      </c>
      <c r="G94" s="4">
        <v>193012000</v>
      </c>
      <c r="H94">
        <f t="shared" si="3"/>
        <v>309.5</v>
      </c>
      <c r="I94">
        <f t="shared" si="4"/>
        <v>3</v>
      </c>
      <c r="J94">
        <f t="shared" si="5"/>
        <v>928.5</v>
      </c>
      <c r="O94">
        <v>280</v>
      </c>
      <c r="P94">
        <v>1212</v>
      </c>
      <c r="R94">
        <v>3450</v>
      </c>
      <c r="S94">
        <v>12</v>
      </c>
    </row>
    <row r="95" spans="1:19" ht="15" customHeight="1" x14ac:dyDescent="0.2">
      <c r="A95" s="4">
        <v>285</v>
      </c>
      <c r="B95" s="2" t="s">
        <v>13</v>
      </c>
      <c r="C95" s="2" t="s">
        <v>8</v>
      </c>
      <c r="D95" s="2" t="s">
        <v>20</v>
      </c>
      <c r="E95" s="2">
        <v>13956</v>
      </c>
      <c r="F95" s="3">
        <v>25688</v>
      </c>
      <c r="G95" s="4">
        <v>1045000</v>
      </c>
      <c r="H95">
        <f t="shared" si="3"/>
        <v>1212</v>
      </c>
      <c r="I95">
        <f t="shared" si="4"/>
        <v>0.2857142857142857</v>
      </c>
      <c r="J95">
        <f t="shared" si="5"/>
        <v>346.28571428571428</v>
      </c>
      <c r="O95">
        <v>281</v>
      </c>
      <c r="P95">
        <v>309.5</v>
      </c>
      <c r="R95">
        <v>3451</v>
      </c>
      <c r="S95">
        <v>12</v>
      </c>
    </row>
    <row r="96" spans="1:19" ht="15" customHeight="1" x14ac:dyDescent="0.2">
      <c r="A96" s="4">
        <v>286</v>
      </c>
      <c r="B96" s="2" t="s">
        <v>13</v>
      </c>
      <c r="C96" s="2" t="s">
        <v>8</v>
      </c>
      <c r="D96" s="2" t="s">
        <v>20</v>
      </c>
      <c r="E96" s="2">
        <v>13964</v>
      </c>
      <c r="F96" s="3">
        <v>25688</v>
      </c>
      <c r="G96" s="4">
        <v>2126001000</v>
      </c>
      <c r="H96">
        <f t="shared" si="3"/>
        <v>1212</v>
      </c>
      <c r="I96">
        <f t="shared" si="4"/>
        <v>0.7142857142857143</v>
      </c>
      <c r="J96">
        <f t="shared" si="5"/>
        <v>865.71428571428578</v>
      </c>
      <c r="O96">
        <v>285</v>
      </c>
      <c r="P96">
        <v>1212</v>
      </c>
      <c r="R96">
        <v>3452</v>
      </c>
      <c r="S96">
        <v>12</v>
      </c>
    </row>
    <row r="97" spans="1:19" ht="15" customHeight="1" x14ac:dyDescent="0.2">
      <c r="A97" s="4">
        <v>287</v>
      </c>
      <c r="B97" s="2" t="s">
        <v>13</v>
      </c>
      <c r="C97" s="2" t="s">
        <v>8</v>
      </c>
      <c r="D97" s="2" t="s">
        <v>20</v>
      </c>
      <c r="E97" s="2">
        <v>13058</v>
      </c>
      <c r="F97" s="3">
        <v>25688</v>
      </c>
      <c r="G97" s="4">
        <v>1165002000</v>
      </c>
      <c r="H97">
        <f t="shared" si="3"/>
        <v>1212</v>
      </c>
      <c r="I97">
        <f t="shared" si="4"/>
        <v>0.2857142857142857</v>
      </c>
      <c r="J97">
        <f t="shared" si="5"/>
        <v>346.28571428571428</v>
      </c>
      <c r="O97">
        <v>286</v>
      </c>
      <c r="P97">
        <v>1212</v>
      </c>
      <c r="R97">
        <v>3455</v>
      </c>
      <c r="S97">
        <v>12</v>
      </c>
    </row>
    <row r="98" spans="1:19" ht="15" customHeight="1" x14ac:dyDescent="0.2">
      <c r="A98" s="4">
        <v>290</v>
      </c>
      <c r="B98" s="2" t="s">
        <v>13</v>
      </c>
      <c r="C98" s="2" t="s">
        <v>8</v>
      </c>
      <c r="D98" s="2" t="s">
        <v>18</v>
      </c>
      <c r="E98" s="2">
        <v>13957</v>
      </c>
      <c r="F98" s="3">
        <v>25688</v>
      </c>
      <c r="G98" s="4">
        <v>1014001</v>
      </c>
      <c r="H98">
        <f t="shared" si="3"/>
        <v>1212</v>
      </c>
      <c r="I98">
        <f t="shared" si="4"/>
        <v>7.1428571428571425E-2</v>
      </c>
      <c r="J98">
        <f t="shared" si="5"/>
        <v>86.571428571428569</v>
      </c>
      <c r="O98">
        <v>287</v>
      </c>
      <c r="P98">
        <v>1212</v>
      </c>
      <c r="R98">
        <v>3457</v>
      </c>
      <c r="S98">
        <v>12</v>
      </c>
    </row>
    <row r="99" spans="1:19" ht="15" customHeight="1" x14ac:dyDescent="0.2">
      <c r="A99" s="4">
        <v>292</v>
      </c>
      <c r="B99" s="2" t="s">
        <v>13</v>
      </c>
      <c r="C99" s="2" t="s">
        <v>8</v>
      </c>
      <c r="D99" s="2" t="s">
        <v>20</v>
      </c>
      <c r="E99" s="2">
        <v>13954</v>
      </c>
      <c r="F99" s="3">
        <v>25688</v>
      </c>
      <c r="G99" s="4">
        <v>2641003000</v>
      </c>
      <c r="H99">
        <f t="shared" si="3"/>
        <v>1212</v>
      </c>
      <c r="I99">
        <f t="shared" si="4"/>
        <v>2</v>
      </c>
      <c r="J99">
        <f t="shared" si="5"/>
        <v>2424</v>
      </c>
      <c r="O99">
        <v>290</v>
      </c>
      <c r="P99">
        <v>1212</v>
      </c>
      <c r="R99">
        <v>3459</v>
      </c>
      <c r="S99">
        <v>12</v>
      </c>
    </row>
    <row r="100" spans="1:19" ht="15" customHeight="1" x14ac:dyDescent="0.2">
      <c r="A100" s="4">
        <v>297</v>
      </c>
      <c r="B100" s="2" t="s">
        <v>7</v>
      </c>
      <c r="C100" s="2" t="s">
        <v>12</v>
      </c>
      <c r="D100" s="2" t="s">
        <v>10</v>
      </c>
      <c r="F100" s="3">
        <v>25688</v>
      </c>
      <c r="G100" s="4">
        <v>3042058002</v>
      </c>
      <c r="H100">
        <f t="shared" si="3"/>
        <v>1154</v>
      </c>
      <c r="I100">
        <f t="shared" si="4"/>
        <v>0.42857142857142855</v>
      </c>
      <c r="J100">
        <f t="shared" si="5"/>
        <v>494.57142857142856</v>
      </c>
      <c r="O100">
        <v>292</v>
      </c>
      <c r="P100">
        <v>1212</v>
      </c>
      <c r="R100">
        <v>3461</v>
      </c>
      <c r="S100">
        <v>12</v>
      </c>
    </row>
    <row r="101" spans="1:19" ht="26.1" customHeight="1" x14ac:dyDescent="0.2">
      <c r="A101" s="4">
        <v>302</v>
      </c>
      <c r="B101" s="2" t="s">
        <v>11</v>
      </c>
      <c r="C101" s="2" t="s">
        <v>12</v>
      </c>
      <c r="D101" s="2" t="s">
        <v>19</v>
      </c>
      <c r="F101" s="3">
        <v>25688</v>
      </c>
      <c r="G101" s="4">
        <v>1068012000</v>
      </c>
      <c r="H101">
        <f t="shared" si="3"/>
        <v>532</v>
      </c>
      <c r="I101">
        <f t="shared" si="4"/>
        <v>0.2857142857142857</v>
      </c>
      <c r="J101">
        <f t="shared" si="5"/>
        <v>152</v>
      </c>
      <c r="O101">
        <v>297</v>
      </c>
      <c r="P101">
        <v>1154</v>
      </c>
      <c r="R101">
        <v>3467</v>
      </c>
      <c r="S101">
        <v>12</v>
      </c>
    </row>
    <row r="102" spans="1:19" ht="15" customHeight="1" x14ac:dyDescent="0.2">
      <c r="A102" s="4">
        <v>305</v>
      </c>
      <c r="B102" s="2" t="s">
        <v>13</v>
      </c>
      <c r="C102" s="2" t="s">
        <v>8</v>
      </c>
      <c r="D102" s="2" t="s">
        <v>20</v>
      </c>
      <c r="E102" s="2">
        <v>12188</v>
      </c>
      <c r="F102" s="3">
        <v>25688</v>
      </c>
      <c r="G102" s="4">
        <v>1023000</v>
      </c>
      <c r="H102">
        <f t="shared" si="3"/>
        <v>1212</v>
      </c>
      <c r="I102">
        <f t="shared" si="4"/>
        <v>0.2857142857142857</v>
      </c>
      <c r="J102">
        <f t="shared" si="5"/>
        <v>346.28571428571428</v>
      </c>
      <c r="O102">
        <v>302</v>
      </c>
      <c r="P102">
        <v>532</v>
      </c>
      <c r="R102">
        <v>3469</v>
      </c>
      <c r="S102">
        <v>12</v>
      </c>
    </row>
    <row r="103" spans="1:19" ht="15" customHeight="1" x14ac:dyDescent="0.2">
      <c r="A103" s="4">
        <v>308</v>
      </c>
      <c r="B103" s="2" t="s">
        <v>13</v>
      </c>
      <c r="C103" s="2" t="s">
        <v>14</v>
      </c>
      <c r="D103" s="2" t="s">
        <v>15</v>
      </c>
      <c r="E103" s="2">
        <v>117409</v>
      </c>
      <c r="F103" s="3">
        <v>25688</v>
      </c>
      <c r="G103" s="4">
        <v>1014001</v>
      </c>
      <c r="H103">
        <f t="shared" si="3"/>
        <v>1091</v>
      </c>
      <c r="I103">
        <f t="shared" si="4"/>
        <v>0.2857142857142857</v>
      </c>
      <c r="J103">
        <f t="shared" si="5"/>
        <v>311.71428571428572</v>
      </c>
      <c r="O103">
        <v>305</v>
      </c>
      <c r="P103">
        <v>1212</v>
      </c>
      <c r="R103">
        <v>3476</v>
      </c>
      <c r="S103">
        <v>12</v>
      </c>
    </row>
    <row r="104" spans="1:19" ht="15" customHeight="1" x14ac:dyDescent="0.2">
      <c r="A104" s="4">
        <v>310</v>
      </c>
      <c r="B104" s="2" t="s">
        <v>13</v>
      </c>
      <c r="C104" s="2" t="s">
        <v>21</v>
      </c>
      <c r="D104" s="2" t="s">
        <v>27</v>
      </c>
      <c r="F104" s="3">
        <v>25688</v>
      </c>
      <c r="G104" s="4">
        <v>1014001</v>
      </c>
      <c r="H104">
        <f t="shared" si="3"/>
        <v>1202.5</v>
      </c>
      <c r="I104">
        <f t="shared" si="4"/>
        <v>0.2857142857142857</v>
      </c>
      <c r="J104">
        <f t="shared" si="5"/>
        <v>343.57142857142856</v>
      </c>
      <c r="O104">
        <v>308</v>
      </c>
      <c r="P104">
        <v>1091</v>
      </c>
      <c r="R104">
        <v>3478</v>
      </c>
      <c r="S104">
        <v>12</v>
      </c>
    </row>
    <row r="105" spans="1:19" ht="15" customHeight="1" x14ac:dyDescent="0.2">
      <c r="A105" s="4">
        <v>313</v>
      </c>
      <c r="B105" s="2" t="s">
        <v>7</v>
      </c>
      <c r="C105" s="2" t="s">
        <v>12</v>
      </c>
      <c r="D105" s="2" t="s">
        <v>19</v>
      </c>
      <c r="F105" s="3">
        <v>25688</v>
      </c>
      <c r="G105" s="4">
        <v>1165000000</v>
      </c>
      <c r="H105">
        <f t="shared" si="3"/>
        <v>532</v>
      </c>
      <c r="I105">
        <f t="shared" si="4"/>
        <v>0.5714285714285714</v>
      </c>
      <c r="J105">
        <f t="shared" si="5"/>
        <v>304</v>
      </c>
      <c r="O105">
        <v>310</v>
      </c>
      <c r="P105">
        <v>1202.5</v>
      </c>
      <c r="R105">
        <v>3501</v>
      </c>
      <c r="S105">
        <v>12</v>
      </c>
    </row>
    <row r="106" spans="1:19" ht="15" customHeight="1" x14ac:dyDescent="0.2">
      <c r="A106" s="4">
        <v>315</v>
      </c>
      <c r="B106" s="2" t="s">
        <v>7</v>
      </c>
      <c r="C106" s="2" t="s">
        <v>12</v>
      </c>
      <c r="D106" s="2" t="s">
        <v>19</v>
      </c>
      <c r="F106" s="3">
        <v>25688</v>
      </c>
      <c r="G106" s="4">
        <v>43006000</v>
      </c>
      <c r="H106">
        <f t="shared" si="3"/>
        <v>532</v>
      </c>
      <c r="I106">
        <f t="shared" si="4"/>
        <v>0.5714285714285714</v>
      </c>
      <c r="J106">
        <f t="shared" si="5"/>
        <v>304</v>
      </c>
      <c r="O106">
        <v>313</v>
      </c>
      <c r="P106">
        <v>532</v>
      </c>
      <c r="R106">
        <v>3504</v>
      </c>
      <c r="S106">
        <v>12</v>
      </c>
    </row>
    <row r="107" spans="1:19" ht="15" customHeight="1" x14ac:dyDescent="0.2">
      <c r="A107" s="4">
        <v>316</v>
      </c>
      <c r="B107" s="2" t="s">
        <v>13</v>
      </c>
      <c r="C107" s="2" t="s">
        <v>21</v>
      </c>
      <c r="D107" s="2" t="s">
        <v>27</v>
      </c>
      <c r="F107" s="3">
        <v>25688</v>
      </c>
      <c r="G107" s="4">
        <v>2890001000</v>
      </c>
      <c r="H107">
        <f t="shared" si="3"/>
        <v>1202.5</v>
      </c>
      <c r="I107">
        <f t="shared" si="4"/>
        <v>0.2</v>
      </c>
      <c r="J107">
        <f t="shared" si="5"/>
        <v>240.5</v>
      </c>
      <c r="O107">
        <v>315</v>
      </c>
      <c r="P107">
        <v>532</v>
      </c>
      <c r="R107">
        <v>3507</v>
      </c>
      <c r="S107">
        <v>12</v>
      </c>
    </row>
    <row r="108" spans="1:19" ht="15" customHeight="1" x14ac:dyDescent="0.2">
      <c r="A108" s="4">
        <v>318</v>
      </c>
      <c r="B108" s="2" t="s">
        <v>13</v>
      </c>
      <c r="C108" s="2" t="s">
        <v>21</v>
      </c>
      <c r="D108" s="2" t="s">
        <v>27</v>
      </c>
      <c r="F108" s="3">
        <v>25688</v>
      </c>
      <c r="G108" s="4">
        <v>1014001</v>
      </c>
      <c r="H108">
        <f t="shared" si="3"/>
        <v>1202.5</v>
      </c>
      <c r="I108">
        <f t="shared" si="4"/>
        <v>2</v>
      </c>
      <c r="J108">
        <f t="shared" si="5"/>
        <v>2405</v>
      </c>
      <c r="O108">
        <v>316</v>
      </c>
      <c r="P108">
        <v>1202.5</v>
      </c>
      <c r="R108">
        <v>3509</v>
      </c>
      <c r="S108">
        <v>12</v>
      </c>
    </row>
    <row r="109" spans="1:19" ht="15" customHeight="1" x14ac:dyDescent="0.2">
      <c r="A109" s="4">
        <v>320</v>
      </c>
      <c r="B109" s="2" t="s">
        <v>7</v>
      </c>
      <c r="C109" s="2" t="s">
        <v>12</v>
      </c>
      <c r="D109" s="2" t="s">
        <v>19</v>
      </c>
      <c r="F109" s="3">
        <v>25688</v>
      </c>
      <c r="G109" s="4">
        <v>3127001000</v>
      </c>
      <c r="H109">
        <f t="shared" si="3"/>
        <v>532</v>
      </c>
      <c r="I109">
        <f t="shared" si="4"/>
        <v>2</v>
      </c>
      <c r="J109">
        <f t="shared" si="5"/>
        <v>1064</v>
      </c>
      <c r="O109">
        <v>318</v>
      </c>
      <c r="P109">
        <v>1202.5</v>
      </c>
      <c r="R109">
        <v>3519</v>
      </c>
      <c r="S109">
        <v>12</v>
      </c>
    </row>
    <row r="110" spans="1:19" ht="26.1" customHeight="1" x14ac:dyDescent="0.2">
      <c r="A110" s="4">
        <v>324</v>
      </c>
      <c r="B110" s="2" t="s">
        <v>13</v>
      </c>
      <c r="C110" s="2" t="s">
        <v>14</v>
      </c>
      <c r="D110" s="2" t="s">
        <v>15</v>
      </c>
      <c r="E110" s="2" t="s">
        <v>37</v>
      </c>
      <c r="F110" s="3">
        <v>25688</v>
      </c>
      <c r="G110" s="4">
        <v>66011000</v>
      </c>
      <c r="H110">
        <f t="shared" si="3"/>
        <v>1091</v>
      </c>
      <c r="I110">
        <f t="shared" si="4"/>
        <v>0.14285714285714285</v>
      </c>
      <c r="J110">
        <f t="shared" si="5"/>
        <v>155.85714285714286</v>
      </c>
      <c r="O110">
        <v>320</v>
      </c>
      <c r="P110">
        <v>532</v>
      </c>
      <c r="R110">
        <v>3522</v>
      </c>
      <c r="S110">
        <v>12</v>
      </c>
    </row>
    <row r="111" spans="1:19" ht="15" customHeight="1" x14ac:dyDescent="0.2">
      <c r="A111" s="4">
        <v>328</v>
      </c>
      <c r="B111" s="2" t="s">
        <v>13</v>
      </c>
      <c r="C111" s="2" t="s">
        <v>14</v>
      </c>
      <c r="D111" s="2" t="s">
        <v>15</v>
      </c>
      <c r="E111" s="2">
        <v>117436</v>
      </c>
      <c r="F111" s="3">
        <v>25688</v>
      </c>
      <c r="G111" s="4">
        <v>1165005000</v>
      </c>
      <c r="H111">
        <f t="shared" si="3"/>
        <v>1091</v>
      </c>
      <c r="I111">
        <f t="shared" si="4"/>
        <v>0.14285714285714285</v>
      </c>
      <c r="J111">
        <f t="shared" si="5"/>
        <v>155.85714285714286</v>
      </c>
      <c r="O111">
        <v>324</v>
      </c>
      <c r="P111">
        <v>1091</v>
      </c>
      <c r="R111">
        <v>20002</v>
      </c>
      <c r="S111">
        <v>12</v>
      </c>
    </row>
    <row r="112" spans="1:19" ht="15" customHeight="1" x14ac:dyDescent="0.2">
      <c r="A112" s="4">
        <v>330</v>
      </c>
      <c r="B112" s="2" t="s">
        <v>13</v>
      </c>
      <c r="C112" s="2" t="s">
        <v>14</v>
      </c>
      <c r="D112" s="2" t="s">
        <v>15</v>
      </c>
      <c r="E112" s="2">
        <v>117588</v>
      </c>
      <c r="F112" s="3">
        <v>25688</v>
      </c>
      <c r="G112" s="4">
        <v>1165000000</v>
      </c>
      <c r="H112">
        <f t="shared" si="3"/>
        <v>1091</v>
      </c>
      <c r="I112">
        <f t="shared" si="4"/>
        <v>0.2857142857142857</v>
      </c>
      <c r="J112">
        <f t="shared" si="5"/>
        <v>311.71428571428572</v>
      </c>
      <c r="O112">
        <v>328</v>
      </c>
      <c r="P112">
        <v>1091</v>
      </c>
      <c r="R112">
        <v>20005</v>
      </c>
      <c r="S112">
        <v>12</v>
      </c>
    </row>
    <row r="113" spans="1:19" ht="15" customHeight="1" x14ac:dyDescent="0.2">
      <c r="A113" s="4">
        <v>332</v>
      </c>
      <c r="B113" s="2" t="s">
        <v>7</v>
      </c>
      <c r="C113" s="2" t="s">
        <v>8</v>
      </c>
      <c r="D113" s="2" t="s">
        <v>9</v>
      </c>
      <c r="E113" s="2">
        <v>676</v>
      </c>
      <c r="F113" s="3">
        <v>25688</v>
      </c>
      <c r="G113" s="4">
        <v>3265001000</v>
      </c>
      <c r="H113">
        <f t="shared" si="3"/>
        <v>309.5</v>
      </c>
      <c r="I113">
        <f t="shared" si="4"/>
        <v>0.66666666666666663</v>
      </c>
      <c r="J113">
        <f t="shared" si="5"/>
        <v>206.33333333333331</v>
      </c>
      <c r="O113">
        <v>330</v>
      </c>
      <c r="P113">
        <v>1091</v>
      </c>
      <c r="R113">
        <v>5</v>
      </c>
      <c r="S113">
        <v>0.5714285714285714</v>
      </c>
    </row>
    <row r="114" spans="1:19" ht="15" customHeight="1" x14ac:dyDescent="0.2">
      <c r="A114" s="4">
        <v>333</v>
      </c>
      <c r="B114" s="2" t="s">
        <v>7</v>
      </c>
      <c r="C114" s="2" t="s">
        <v>8</v>
      </c>
      <c r="D114" s="2" t="s">
        <v>17</v>
      </c>
      <c r="E114" s="2">
        <v>10153</v>
      </c>
      <c r="F114" s="3">
        <v>25688</v>
      </c>
      <c r="G114" s="4">
        <v>1014001</v>
      </c>
      <c r="H114">
        <f t="shared" si="3"/>
        <v>461</v>
      </c>
      <c r="I114">
        <f t="shared" si="4"/>
        <v>0.66666666666666663</v>
      </c>
      <c r="J114">
        <f t="shared" si="5"/>
        <v>307.33333333333331</v>
      </c>
      <c r="O114">
        <v>332</v>
      </c>
      <c r="P114">
        <v>309.5</v>
      </c>
      <c r="R114">
        <v>6</v>
      </c>
      <c r="S114">
        <v>0.4</v>
      </c>
    </row>
    <row r="115" spans="1:19" ht="15" customHeight="1" x14ac:dyDescent="0.2">
      <c r="A115" s="4">
        <v>336</v>
      </c>
      <c r="B115" s="2" t="s">
        <v>7</v>
      </c>
      <c r="C115" s="2" t="s">
        <v>8</v>
      </c>
      <c r="D115" s="2" t="s">
        <v>9</v>
      </c>
      <c r="E115" s="2">
        <v>1229</v>
      </c>
      <c r="F115" s="3">
        <v>25688</v>
      </c>
      <c r="G115" s="4">
        <v>1747001000</v>
      </c>
      <c r="H115">
        <f t="shared" si="3"/>
        <v>309.5</v>
      </c>
      <c r="I115">
        <f t="shared" si="4"/>
        <v>1.3333333333333333</v>
      </c>
      <c r="J115">
        <f t="shared" si="5"/>
        <v>412.66666666666663</v>
      </c>
      <c r="O115">
        <v>333</v>
      </c>
      <c r="P115">
        <v>461</v>
      </c>
      <c r="R115">
        <v>8</v>
      </c>
      <c r="S115">
        <v>0.14285714285714285</v>
      </c>
    </row>
    <row r="116" spans="1:19" ht="15" customHeight="1" x14ac:dyDescent="0.2">
      <c r="A116" s="4">
        <v>339</v>
      </c>
      <c r="B116" s="2" t="s">
        <v>7</v>
      </c>
      <c r="C116" s="2" t="s">
        <v>8</v>
      </c>
      <c r="D116" s="2" t="s">
        <v>9</v>
      </c>
      <c r="E116" s="2">
        <v>8425</v>
      </c>
      <c r="F116" s="3">
        <v>25688</v>
      </c>
      <c r="G116" s="4">
        <v>3370004000</v>
      </c>
      <c r="H116">
        <f t="shared" si="3"/>
        <v>309.5</v>
      </c>
      <c r="I116">
        <f t="shared" si="4"/>
        <v>2.1428571428571428</v>
      </c>
      <c r="J116">
        <f t="shared" si="5"/>
        <v>663.21428571428567</v>
      </c>
      <c r="O116">
        <v>336</v>
      </c>
      <c r="P116">
        <v>309.5</v>
      </c>
      <c r="R116">
        <v>18</v>
      </c>
      <c r="S116">
        <v>6.6666666666666666E-2</v>
      </c>
    </row>
    <row r="117" spans="1:19" ht="15" customHeight="1" x14ac:dyDescent="0.2">
      <c r="A117" s="4">
        <v>350</v>
      </c>
      <c r="B117" s="2" t="s">
        <v>13</v>
      </c>
      <c r="C117" s="2" t="s">
        <v>12</v>
      </c>
      <c r="D117" s="2">
        <v>2815</v>
      </c>
      <c r="E117" s="2">
        <v>19705</v>
      </c>
      <c r="F117" s="3">
        <v>25688</v>
      </c>
      <c r="G117" s="4">
        <v>1000003</v>
      </c>
      <c r="H117">
        <f t="shared" si="3"/>
        <v>1154</v>
      </c>
      <c r="I117">
        <f t="shared" si="4"/>
        <v>2.1428571428571428</v>
      </c>
      <c r="J117">
        <f t="shared" si="5"/>
        <v>2472.8571428571427</v>
      </c>
      <c r="O117">
        <v>339</v>
      </c>
      <c r="P117">
        <v>309.5</v>
      </c>
      <c r="R117">
        <v>23</v>
      </c>
      <c r="S117">
        <v>0.8571428571428571</v>
      </c>
    </row>
    <row r="118" spans="1:19" ht="15" customHeight="1" x14ac:dyDescent="0.2">
      <c r="A118" s="4">
        <v>360</v>
      </c>
      <c r="B118" s="2" t="s">
        <v>7</v>
      </c>
      <c r="C118" s="2" t="s">
        <v>8</v>
      </c>
      <c r="D118" s="2" t="s">
        <v>9</v>
      </c>
      <c r="E118" s="2">
        <v>7243</v>
      </c>
      <c r="F118" s="3">
        <v>25688</v>
      </c>
      <c r="G118" s="4">
        <v>3386001000</v>
      </c>
      <c r="H118">
        <f t="shared" si="3"/>
        <v>309.5</v>
      </c>
      <c r="I118">
        <f t="shared" si="4"/>
        <v>0.33333333333333331</v>
      </c>
      <c r="J118">
        <f t="shared" si="5"/>
        <v>103.16666666666666</v>
      </c>
      <c r="O118">
        <v>350</v>
      </c>
      <c r="P118">
        <v>1154</v>
      </c>
      <c r="R118">
        <v>26</v>
      </c>
      <c r="S118">
        <v>2</v>
      </c>
    </row>
    <row r="119" spans="1:19" ht="26.1" customHeight="1" x14ac:dyDescent="0.2">
      <c r="A119" s="4">
        <v>366</v>
      </c>
      <c r="B119" s="2" t="s">
        <v>7</v>
      </c>
      <c r="C119" s="2" t="s">
        <v>12</v>
      </c>
      <c r="D119" s="2" t="s">
        <v>10</v>
      </c>
      <c r="E119" s="2">
        <v>4567654</v>
      </c>
      <c r="F119" s="3">
        <v>25688</v>
      </c>
      <c r="G119" s="4">
        <v>1165000000</v>
      </c>
      <c r="H119">
        <f t="shared" si="3"/>
        <v>1154</v>
      </c>
      <c r="I119">
        <f t="shared" si="4"/>
        <v>0.5714285714285714</v>
      </c>
      <c r="J119">
        <f t="shared" si="5"/>
        <v>659.42857142857144</v>
      </c>
      <c r="O119">
        <v>360</v>
      </c>
      <c r="P119">
        <v>309.5</v>
      </c>
      <c r="R119">
        <v>30</v>
      </c>
      <c r="S119">
        <v>7.1428571428571425E-2</v>
      </c>
    </row>
    <row r="120" spans="1:19" ht="15" customHeight="1" x14ac:dyDescent="0.2">
      <c r="A120" s="4">
        <v>368</v>
      </c>
      <c r="B120" s="2" t="s">
        <v>7</v>
      </c>
      <c r="C120" s="2" t="s">
        <v>8</v>
      </c>
      <c r="D120" s="2" t="s">
        <v>9</v>
      </c>
      <c r="E120" s="2">
        <v>7396</v>
      </c>
      <c r="F120" s="3">
        <v>25688</v>
      </c>
      <c r="G120" s="4">
        <v>1925011000</v>
      </c>
      <c r="H120">
        <f t="shared" si="3"/>
        <v>309.5</v>
      </c>
      <c r="I120">
        <f t="shared" si="4"/>
        <v>1</v>
      </c>
      <c r="J120">
        <f t="shared" si="5"/>
        <v>309.5</v>
      </c>
      <c r="O120">
        <v>366</v>
      </c>
      <c r="P120">
        <v>1154</v>
      </c>
      <c r="R120">
        <v>31</v>
      </c>
      <c r="S120">
        <v>0.5714285714285714</v>
      </c>
    </row>
    <row r="121" spans="1:19" ht="15" customHeight="1" x14ac:dyDescent="0.2">
      <c r="A121" s="4">
        <v>369</v>
      </c>
      <c r="B121" s="2" t="s">
        <v>7</v>
      </c>
      <c r="C121" s="2" t="s">
        <v>8</v>
      </c>
      <c r="D121" s="2" t="s">
        <v>9</v>
      </c>
      <c r="E121" s="2">
        <v>12009</v>
      </c>
      <c r="F121" s="3">
        <v>25688</v>
      </c>
      <c r="G121" s="4">
        <v>1165000000</v>
      </c>
      <c r="H121">
        <f t="shared" si="3"/>
        <v>309.5</v>
      </c>
      <c r="I121">
        <f t="shared" si="4"/>
        <v>0.5714285714285714</v>
      </c>
      <c r="J121">
        <f t="shared" si="5"/>
        <v>176.85714285714286</v>
      </c>
      <c r="O121">
        <v>368</v>
      </c>
      <c r="P121">
        <v>309.5</v>
      </c>
      <c r="R121">
        <v>35</v>
      </c>
      <c r="S121">
        <v>0.2857142857142857</v>
      </c>
    </row>
    <row r="122" spans="1:19" ht="15" customHeight="1" x14ac:dyDescent="0.2">
      <c r="A122" s="4">
        <v>372</v>
      </c>
      <c r="B122" s="2" t="s">
        <v>13</v>
      </c>
      <c r="C122" s="2" t="s">
        <v>8</v>
      </c>
      <c r="D122" s="2" t="s">
        <v>20</v>
      </c>
      <c r="E122" s="2">
        <v>6021</v>
      </c>
      <c r="F122" s="3">
        <v>25688</v>
      </c>
      <c r="G122" s="4">
        <v>1165003000</v>
      </c>
      <c r="H122">
        <f t="shared" si="3"/>
        <v>1212</v>
      </c>
      <c r="I122">
        <f t="shared" si="4"/>
        <v>0.5714285714285714</v>
      </c>
      <c r="J122">
        <f t="shared" si="5"/>
        <v>692.57142857142856</v>
      </c>
      <c r="O122">
        <v>369</v>
      </c>
      <c r="P122">
        <v>309.5</v>
      </c>
      <c r="R122">
        <v>40</v>
      </c>
      <c r="S122">
        <v>1.7142857142857142</v>
      </c>
    </row>
    <row r="123" spans="1:19" ht="15" customHeight="1" x14ac:dyDescent="0.2">
      <c r="A123" s="4">
        <v>374</v>
      </c>
      <c r="B123" s="2" t="s">
        <v>13</v>
      </c>
      <c r="C123" s="2" t="s">
        <v>8</v>
      </c>
      <c r="D123" s="2" t="s">
        <v>20</v>
      </c>
      <c r="E123" s="2">
        <v>6087</v>
      </c>
      <c r="F123" s="3">
        <v>25688</v>
      </c>
      <c r="G123" s="4">
        <v>1967003000</v>
      </c>
      <c r="H123">
        <f t="shared" si="3"/>
        <v>1212</v>
      </c>
      <c r="I123">
        <f t="shared" si="4"/>
        <v>0.66666666666666663</v>
      </c>
      <c r="J123">
        <f t="shared" si="5"/>
        <v>808</v>
      </c>
      <c r="O123">
        <v>371</v>
      </c>
      <c r="P123">
        <v>1202.5</v>
      </c>
      <c r="R123">
        <v>41</v>
      </c>
      <c r="S123">
        <v>2</v>
      </c>
    </row>
    <row r="124" spans="1:19" ht="26.1" customHeight="1" x14ac:dyDescent="0.2">
      <c r="A124" s="4">
        <v>375</v>
      </c>
      <c r="B124" s="2" t="s">
        <v>7</v>
      </c>
      <c r="C124" s="2" t="s">
        <v>8</v>
      </c>
      <c r="D124" s="2" t="s">
        <v>9</v>
      </c>
      <c r="E124" s="2">
        <v>311194</v>
      </c>
      <c r="F124" s="3">
        <v>25688</v>
      </c>
      <c r="G124" s="4">
        <v>153002000</v>
      </c>
      <c r="H124">
        <f t="shared" si="3"/>
        <v>309.5</v>
      </c>
      <c r="I124">
        <f t="shared" si="4"/>
        <v>0.66666666666666663</v>
      </c>
      <c r="J124">
        <f t="shared" si="5"/>
        <v>206.33333333333331</v>
      </c>
      <c r="O124">
        <v>372</v>
      </c>
      <c r="P124">
        <v>1212</v>
      </c>
      <c r="R124">
        <v>49</v>
      </c>
      <c r="S124">
        <v>2.222222222222222E-2</v>
      </c>
    </row>
    <row r="125" spans="1:19" ht="15" customHeight="1" x14ac:dyDescent="0.2">
      <c r="A125" s="4">
        <v>376</v>
      </c>
      <c r="B125" s="2" t="s">
        <v>7</v>
      </c>
      <c r="C125" s="2" t="s">
        <v>8</v>
      </c>
      <c r="D125" s="2" t="s">
        <v>38</v>
      </c>
      <c r="E125" s="2">
        <v>1122</v>
      </c>
      <c r="F125" s="3">
        <v>25688</v>
      </c>
      <c r="G125" s="4">
        <v>3156001000</v>
      </c>
      <c r="H125">
        <f t="shared" si="3"/>
        <v>0</v>
      </c>
      <c r="I125">
        <f t="shared" si="4"/>
        <v>0.2857142857142857</v>
      </c>
      <c r="J125">
        <f t="shared" si="5"/>
        <v>0</v>
      </c>
      <c r="O125">
        <v>374</v>
      </c>
      <c r="P125">
        <v>1212</v>
      </c>
      <c r="R125">
        <v>56</v>
      </c>
      <c r="S125">
        <v>0.66666666666666663</v>
      </c>
    </row>
    <row r="126" spans="1:19" ht="15" customHeight="1" x14ac:dyDescent="0.2">
      <c r="A126" s="4">
        <v>379</v>
      </c>
      <c r="B126" s="2" t="s">
        <v>7</v>
      </c>
      <c r="C126" s="2" t="s">
        <v>8</v>
      </c>
      <c r="D126" s="2" t="s">
        <v>9</v>
      </c>
      <c r="E126" s="2">
        <v>10819</v>
      </c>
      <c r="F126" s="3">
        <v>25688</v>
      </c>
      <c r="G126" s="4">
        <v>2789002000</v>
      </c>
      <c r="H126">
        <f t="shared" si="3"/>
        <v>309.5</v>
      </c>
      <c r="I126">
        <f t="shared" si="4"/>
        <v>9.5238095238095233E-2</v>
      </c>
      <c r="J126">
        <f t="shared" si="5"/>
        <v>29.476190476190474</v>
      </c>
      <c r="O126">
        <v>375</v>
      </c>
      <c r="P126">
        <v>309.5</v>
      </c>
      <c r="R126">
        <v>62</v>
      </c>
      <c r="S126">
        <v>0.5714285714285714</v>
      </c>
    </row>
    <row r="127" spans="1:19" ht="15" customHeight="1" x14ac:dyDescent="0.2">
      <c r="A127" s="4">
        <v>381</v>
      </c>
      <c r="B127" s="2" t="s">
        <v>7</v>
      </c>
      <c r="C127" s="2" t="s">
        <v>12</v>
      </c>
      <c r="D127" s="2" t="s">
        <v>10</v>
      </c>
      <c r="E127" s="2">
        <v>7654</v>
      </c>
      <c r="F127" s="3">
        <v>25688</v>
      </c>
      <c r="G127" s="4">
        <v>1014001</v>
      </c>
      <c r="H127">
        <f t="shared" si="3"/>
        <v>1154</v>
      </c>
      <c r="I127">
        <f t="shared" si="4"/>
        <v>1</v>
      </c>
      <c r="J127">
        <f t="shared" si="5"/>
        <v>1154</v>
      </c>
      <c r="O127">
        <v>376</v>
      </c>
      <c r="P127">
        <v>0</v>
      </c>
      <c r="R127">
        <v>65</v>
      </c>
      <c r="S127">
        <v>0.13333333333333333</v>
      </c>
    </row>
    <row r="128" spans="1:19" ht="15" customHeight="1" x14ac:dyDescent="0.2">
      <c r="A128" s="4">
        <v>382</v>
      </c>
      <c r="B128" s="2" t="s">
        <v>7</v>
      </c>
      <c r="C128" s="2" t="s">
        <v>12</v>
      </c>
      <c r="D128" s="2" t="s">
        <v>19</v>
      </c>
      <c r="E128" s="2">
        <v>1740</v>
      </c>
      <c r="F128" s="3">
        <v>25688</v>
      </c>
      <c r="G128" s="4">
        <v>3234014000</v>
      </c>
      <c r="H128">
        <f t="shared" si="3"/>
        <v>532</v>
      </c>
      <c r="I128">
        <f t="shared" si="4"/>
        <v>0.2857142857142857</v>
      </c>
      <c r="J128">
        <f t="shared" si="5"/>
        <v>152</v>
      </c>
      <c r="O128">
        <v>379</v>
      </c>
      <c r="P128">
        <v>309.5</v>
      </c>
      <c r="R128">
        <v>66</v>
      </c>
      <c r="S128">
        <v>2</v>
      </c>
    </row>
    <row r="129" spans="1:19" ht="15" customHeight="1" x14ac:dyDescent="0.2">
      <c r="A129" s="4">
        <v>385</v>
      </c>
      <c r="B129" s="2" t="s">
        <v>13</v>
      </c>
      <c r="C129" s="2" t="s">
        <v>8</v>
      </c>
      <c r="D129" s="2" t="s">
        <v>20</v>
      </c>
      <c r="F129" s="3">
        <v>25688</v>
      </c>
      <c r="G129" s="4">
        <v>3042036001</v>
      </c>
      <c r="H129">
        <f t="shared" si="3"/>
        <v>1212</v>
      </c>
      <c r="I129">
        <f t="shared" si="4"/>
        <v>0.2857142857142857</v>
      </c>
      <c r="J129">
        <f t="shared" si="5"/>
        <v>346.28571428571428</v>
      </c>
      <c r="O129">
        <v>381</v>
      </c>
      <c r="P129">
        <v>1154</v>
      </c>
      <c r="R129">
        <v>68</v>
      </c>
      <c r="S129">
        <v>0.14285714285714285</v>
      </c>
    </row>
    <row r="130" spans="1:19" ht="15" customHeight="1" x14ac:dyDescent="0.2">
      <c r="A130" s="4">
        <v>388</v>
      </c>
      <c r="B130" s="2" t="s">
        <v>13</v>
      </c>
      <c r="C130" s="2" t="s">
        <v>14</v>
      </c>
      <c r="D130" s="2" t="s">
        <v>15</v>
      </c>
      <c r="F130" s="3">
        <v>25688</v>
      </c>
      <c r="G130" s="4">
        <v>1165067000</v>
      </c>
      <c r="H130">
        <f t="shared" ref="H130:H193" si="6">VLOOKUP(A130,O:P,2)</f>
        <v>1091</v>
      </c>
      <c r="I130">
        <f t="shared" ref="I130:I193" si="7">VLOOKUP(A130,R:S,2)</f>
        <v>0.2857142857142857</v>
      </c>
      <c r="J130">
        <f t="shared" ref="J130:J193" si="8">H130*I130</f>
        <v>311.71428571428572</v>
      </c>
      <c r="O130">
        <v>382</v>
      </c>
      <c r="P130">
        <v>532</v>
      </c>
      <c r="R130">
        <v>85</v>
      </c>
      <c r="S130">
        <v>0.5</v>
      </c>
    </row>
    <row r="131" spans="1:19" ht="15" customHeight="1" x14ac:dyDescent="0.2">
      <c r="A131" s="4">
        <v>394</v>
      </c>
      <c r="B131" s="2" t="s">
        <v>13</v>
      </c>
      <c r="C131" s="2" t="s">
        <v>12</v>
      </c>
      <c r="D131" s="2">
        <v>2812</v>
      </c>
      <c r="E131" s="2">
        <v>19488</v>
      </c>
      <c r="F131" s="3">
        <v>25688</v>
      </c>
      <c r="G131" s="4">
        <v>1014001</v>
      </c>
      <c r="H131">
        <f t="shared" si="6"/>
        <v>921</v>
      </c>
      <c r="I131">
        <f t="shared" si="7"/>
        <v>0.2857142857142857</v>
      </c>
      <c r="J131">
        <f t="shared" si="8"/>
        <v>263.14285714285711</v>
      </c>
      <c r="O131">
        <v>385</v>
      </c>
      <c r="P131">
        <v>1212</v>
      </c>
      <c r="R131">
        <v>87</v>
      </c>
      <c r="S131">
        <v>0.42857142857142855</v>
      </c>
    </row>
    <row r="132" spans="1:19" ht="15" customHeight="1" x14ac:dyDescent="0.2">
      <c r="A132" s="4">
        <v>395</v>
      </c>
      <c r="B132" s="2" t="s">
        <v>13</v>
      </c>
      <c r="C132" s="2" t="s">
        <v>14</v>
      </c>
      <c r="D132" s="2" t="s">
        <v>15</v>
      </c>
      <c r="F132" s="3">
        <v>25688</v>
      </c>
      <c r="G132" s="4">
        <v>211002000</v>
      </c>
      <c r="H132">
        <f t="shared" si="6"/>
        <v>1091</v>
      </c>
      <c r="I132">
        <f t="shared" si="7"/>
        <v>0.2</v>
      </c>
      <c r="J132">
        <f t="shared" si="8"/>
        <v>218.20000000000002</v>
      </c>
      <c r="O132">
        <v>388</v>
      </c>
      <c r="P132">
        <v>1091</v>
      </c>
      <c r="R132">
        <v>90</v>
      </c>
      <c r="S132">
        <v>0.26666666666666666</v>
      </c>
    </row>
    <row r="133" spans="1:19" ht="15" customHeight="1" x14ac:dyDescent="0.2">
      <c r="A133" s="4">
        <v>397</v>
      </c>
      <c r="B133" s="2" t="s">
        <v>13</v>
      </c>
      <c r="C133" s="2" t="s">
        <v>14</v>
      </c>
      <c r="D133" s="2" t="s">
        <v>15</v>
      </c>
      <c r="E133" s="2">
        <v>117630</v>
      </c>
      <c r="F133" s="3">
        <v>25688</v>
      </c>
      <c r="G133" s="4">
        <v>2481001000</v>
      </c>
      <c r="H133">
        <f t="shared" si="6"/>
        <v>1091</v>
      </c>
      <c r="I133">
        <f t="shared" si="7"/>
        <v>0.2</v>
      </c>
      <c r="J133">
        <f t="shared" si="8"/>
        <v>218.20000000000002</v>
      </c>
      <c r="O133">
        <v>394</v>
      </c>
      <c r="P133">
        <v>921</v>
      </c>
      <c r="R133">
        <v>91</v>
      </c>
      <c r="S133">
        <v>0.4</v>
      </c>
    </row>
    <row r="134" spans="1:19" ht="15" customHeight="1" x14ac:dyDescent="0.2">
      <c r="A134" s="4">
        <v>398</v>
      </c>
      <c r="B134" s="2" t="s">
        <v>7</v>
      </c>
      <c r="C134" s="2" t="s">
        <v>8</v>
      </c>
      <c r="D134" s="2" t="s">
        <v>9</v>
      </c>
      <c r="E134" s="2">
        <v>5152</v>
      </c>
      <c r="F134" s="3">
        <v>25688</v>
      </c>
      <c r="G134" s="4">
        <v>2558002000</v>
      </c>
      <c r="H134">
        <f t="shared" si="6"/>
        <v>309.5</v>
      </c>
      <c r="I134">
        <f t="shared" si="7"/>
        <v>0.33333333333333331</v>
      </c>
      <c r="J134">
        <f t="shared" si="8"/>
        <v>103.16666666666666</v>
      </c>
      <c r="O134">
        <v>395</v>
      </c>
      <c r="P134">
        <v>1091</v>
      </c>
      <c r="R134">
        <v>94</v>
      </c>
      <c r="S134">
        <v>2.5714285714285716</v>
      </c>
    </row>
    <row r="135" spans="1:19" ht="15" customHeight="1" x14ac:dyDescent="0.2">
      <c r="A135" s="4">
        <v>399</v>
      </c>
      <c r="B135" s="2" t="s">
        <v>7</v>
      </c>
      <c r="C135" s="2" t="s">
        <v>12</v>
      </c>
      <c r="D135" s="2" t="s">
        <v>10</v>
      </c>
      <c r="E135" s="2">
        <v>4424</v>
      </c>
      <c r="F135" s="3">
        <v>25688</v>
      </c>
      <c r="G135" s="4">
        <v>3042095001</v>
      </c>
      <c r="H135">
        <f t="shared" si="6"/>
        <v>1154</v>
      </c>
      <c r="I135">
        <f t="shared" si="7"/>
        <v>0.2857142857142857</v>
      </c>
      <c r="J135">
        <f t="shared" si="8"/>
        <v>329.71428571428572</v>
      </c>
      <c r="O135">
        <v>397</v>
      </c>
      <c r="P135">
        <v>1091</v>
      </c>
      <c r="R135">
        <v>97</v>
      </c>
      <c r="S135">
        <v>0.66666666666666663</v>
      </c>
    </row>
    <row r="136" spans="1:19" ht="15" customHeight="1" x14ac:dyDescent="0.2">
      <c r="A136" s="4">
        <v>400</v>
      </c>
      <c r="B136" s="2" t="s">
        <v>7</v>
      </c>
      <c r="C136" s="2" t="s">
        <v>12</v>
      </c>
      <c r="D136" s="2" t="s">
        <v>9</v>
      </c>
      <c r="F136" s="3">
        <v>25688</v>
      </c>
      <c r="G136" s="4">
        <v>1014001</v>
      </c>
      <c r="H136">
        <f t="shared" si="6"/>
        <v>318.5</v>
      </c>
      <c r="I136">
        <f t="shared" si="7"/>
        <v>0.2857142857142857</v>
      </c>
      <c r="J136">
        <f t="shared" si="8"/>
        <v>91</v>
      </c>
      <c r="O136">
        <v>398</v>
      </c>
      <c r="P136">
        <v>309.5</v>
      </c>
      <c r="R136">
        <v>104</v>
      </c>
      <c r="S136">
        <v>7.1428571428571425E-2</v>
      </c>
    </row>
    <row r="137" spans="1:19" ht="15" customHeight="1" x14ac:dyDescent="0.2">
      <c r="A137" s="4">
        <v>404</v>
      </c>
      <c r="B137" s="2" t="s">
        <v>13</v>
      </c>
      <c r="C137" s="2" t="s">
        <v>14</v>
      </c>
      <c r="D137" s="2" t="s">
        <v>15</v>
      </c>
      <c r="E137" s="2">
        <v>117514</v>
      </c>
      <c r="F137" s="3">
        <v>25688</v>
      </c>
      <c r="G137" s="4">
        <v>2548095000</v>
      </c>
      <c r="H137">
        <f t="shared" si="6"/>
        <v>1091</v>
      </c>
      <c r="I137">
        <f t="shared" si="7"/>
        <v>9.5238095238095233E-2</v>
      </c>
      <c r="J137">
        <f t="shared" si="8"/>
        <v>103.9047619047619</v>
      </c>
      <c r="O137">
        <v>399</v>
      </c>
      <c r="P137">
        <v>1154</v>
      </c>
      <c r="R137">
        <v>112</v>
      </c>
      <c r="S137">
        <v>0.66666666666666663</v>
      </c>
    </row>
    <row r="138" spans="1:19" ht="26.1" customHeight="1" x14ac:dyDescent="0.2">
      <c r="A138" s="4">
        <v>408</v>
      </c>
      <c r="B138" s="2" t="s">
        <v>11</v>
      </c>
      <c r="C138" s="2" t="s">
        <v>12</v>
      </c>
      <c r="D138" s="2" t="s">
        <v>10</v>
      </c>
      <c r="E138" s="2">
        <v>8765432</v>
      </c>
      <c r="F138" s="3">
        <v>25688</v>
      </c>
      <c r="G138" s="4">
        <v>3288001000</v>
      </c>
      <c r="H138">
        <f t="shared" si="6"/>
        <v>1154</v>
      </c>
      <c r="I138">
        <f t="shared" si="7"/>
        <v>0.33333333333333331</v>
      </c>
      <c r="J138">
        <f t="shared" si="8"/>
        <v>384.66666666666663</v>
      </c>
      <c r="O138">
        <v>400</v>
      </c>
      <c r="P138">
        <v>318.5</v>
      </c>
      <c r="R138">
        <v>113</v>
      </c>
      <c r="S138">
        <v>0.4</v>
      </c>
    </row>
    <row r="139" spans="1:19" ht="15" customHeight="1" x14ac:dyDescent="0.2">
      <c r="A139" s="4">
        <v>410</v>
      </c>
      <c r="B139" s="2" t="s">
        <v>13</v>
      </c>
      <c r="C139" s="2" t="s">
        <v>21</v>
      </c>
      <c r="D139" s="2" t="s">
        <v>27</v>
      </c>
      <c r="F139" s="3">
        <v>25688</v>
      </c>
      <c r="G139" s="4">
        <v>3116001000</v>
      </c>
      <c r="H139">
        <f t="shared" si="6"/>
        <v>1202.5</v>
      </c>
      <c r="I139">
        <f t="shared" si="7"/>
        <v>2</v>
      </c>
      <c r="J139">
        <f t="shared" si="8"/>
        <v>2405</v>
      </c>
      <c r="O139">
        <v>404</v>
      </c>
      <c r="P139">
        <v>1091</v>
      </c>
      <c r="R139">
        <v>119</v>
      </c>
      <c r="S139">
        <v>0.2857142857142857</v>
      </c>
    </row>
    <row r="140" spans="1:19" ht="26.1" customHeight="1" x14ac:dyDescent="0.2">
      <c r="A140" s="4">
        <v>411</v>
      </c>
      <c r="B140" s="2" t="s">
        <v>13</v>
      </c>
      <c r="C140" s="2" t="s">
        <v>14</v>
      </c>
      <c r="D140" s="2" t="s">
        <v>15</v>
      </c>
      <c r="E140" s="2" t="s">
        <v>39</v>
      </c>
      <c r="F140" s="3">
        <v>25688</v>
      </c>
      <c r="G140" s="4">
        <v>1068016000</v>
      </c>
      <c r="H140">
        <f t="shared" si="6"/>
        <v>1091</v>
      </c>
      <c r="I140">
        <f t="shared" si="7"/>
        <v>0.14285714285714285</v>
      </c>
      <c r="J140">
        <f t="shared" si="8"/>
        <v>155.85714285714286</v>
      </c>
      <c r="O140">
        <v>408</v>
      </c>
      <c r="P140">
        <v>1154</v>
      </c>
      <c r="R140">
        <v>120</v>
      </c>
      <c r="S140">
        <v>0.66666666666666663</v>
      </c>
    </row>
    <row r="141" spans="1:19" ht="15" customHeight="1" x14ac:dyDescent="0.2">
      <c r="A141" s="4">
        <v>412</v>
      </c>
      <c r="B141" s="2" t="s">
        <v>13</v>
      </c>
      <c r="C141" s="2" t="s">
        <v>8</v>
      </c>
      <c r="F141" s="3">
        <v>42210</v>
      </c>
      <c r="G141" s="4">
        <v>371001000</v>
      </c>
      <c r="H141">
        <f t="shared" si="6"/>
        <v>1212</v>
      </c>
      <c r="I141">
        <f t="shared" si="7"/>
        <v>0.4</v>
      </c>
      <c r="J141">
        <f t="shared" si="8"/>
        <v>484.8</v>
      </c>
      <c r="O141">
        <v>410</v>
      </c>
      <c r="P141">
        <v>1202.5</v>
      </c>
      <c r="R141">
        <v>123</v>
      </c>
      <c r="S141">
        <v>1.4285714285714286</v>
      </c>
    </row>
    <row r="142" spans="1:19" ht="15" customHeight="1" x14ac:dyDescent="0.2">
      <c r="A142" s="4">
        <v>413</v>
      </c>
      <c r="B142" s="2" t="s">
        <v>13</v>
      </c>
      <c r="C142" s="2" t="s">
        <v>14</v>
      </c>
      <c r="D142" s="2" t="s">
        <v>15</v>
      </c>
      <c r="F142" s="3">
        <v>25688</v>
      </c>
      <c r="G142" s="4">
        <v>1014001</v>
      </c>
      <c r="H142">
        <f t="shared" si="6"/>
        <v>1091</v>
      </c>
      <c r="I142">
        <f t="shared" si="7"/>
        <v>1</v>
      </c>
      <c r="J142">
        <f t="shared" si="8"/>
        <v>1091</v>
      </c>
      <c r="O142">
        <v>411</v>
      </c>
      <c r="P142">
        <v>1091</v>
      </c>
      <c r="R142">
        <v>125</v>
      </c>
      <c r="S142">
        <v>0.33333333333333331</v>
      </c>
    </row>
    <row r="143" spans="1:19" ht="26.1" customHeight="1" x14ac:dyDescent="0.2">
      <c r="A143" s="4">
        <v>415</v>
      </c>
      <c r="B143" s="2" t="s">
        <v>11</v>
      </c>
      <c r="C143" s="2" t="s">
        <v>8</v>
      </c>
      <c r="D143" s="2" t="s">
        <v>9</v>
      </c>
      <c r="E143" s="2">
        <v>1</v>
      </c>
      <c r="F143" s="3">
        <v>25688</v>
      </c>
      <c r="G143" s="4">
        <v>3288001000</v>
      </c>
      <c r="H143">
        <f t="shared" si="6"/>
        <v>309.5</v>
      </c>
      <c r="I143">
        <f t="shared" si="7"/>
        <v>0.33333333333333331</v>
      </c>
      <c r="J143">
        <f t="shared" si="8"/>
        <v>103.16666666666666</v>
      </c>
      <c r="O143">
        <v>412</v>
      </c>
      <c r="P143">
        <v>1212</v>
      </c>
      <c r="R143">
        <v>129</v>
      </c>
      <c r="S143">
        <v>0.66666666666666663</v>
      </c>
    </row>
    <row r="144" spans="1:19" ht="15" customHeight="1" x14ac:dyDescent="0.2">
      <c r="A144" s="4">
        <v>416</v>
      </c>
      <c r="B144" s="2" t="s">
        <v>7</v>
      </c>
      <c r="C144" s="2" t="s">
        <v>12</v>
      </c>
      <c r="D144" s="2" t="s">
        <v>10</v>
      </c>
      <c r="F144" s="3">
        <v>25688</v>
      </c>
      <c r="G144" s="4">
        <v>1014001</v>
      </c>
      <c r="H144">
        <f t="shared" si="6"/>
        <v>1154</v>
      </c>
      <c r="I144">
        <f t="shared" si="7"/>
        <v>0.2857142857142857</v>
      </c>
      <c r="J144">
        <f t="shared" si="8"/>
        <v>329.71428571428572</v>
      </c>
      <c r="O144">
        <v>413</v>
      </c>
      <c r="P144">
        <v>1091</v>
      </c>
      <c r="R144">
        <v>135</v>
      </c>
      <c r="S144">
        <v>0.42857142857142855</v>
      </c>
    </row>
    <row r="145" spans="1:19" ht="15" customHeight="1" x14ac:dyDescent="0.2">
      <c r="A145" s="4">
        <v>420</v>
      </c>
      <c r="B145" s="2" t="s">
        <v>13</v>
      </c>
      <c r="C145" s="2" t="s">
        <v>8</v>
      </c>
      <c r="D145" s="2" t="s">
        <v>20</v>
      </c>
      <c r="E145" s="2">
        <v>12203</v>
      </c>
      <c r="F145" s="3">
        <v>25688</v>
      </c>
      <c r="G145" s="4">
        <v>3042119000</v>
      </c>
      <c r="H145">
        <f t="shared" si="6"/>
        <v>1212</v>
      </c>
      <c r="I145">
        <f t="shared" si="7"/>
        <v>0.19047619047619047</v>
      </c>
      <c r="J145">
        <f t="shared" si="8"/>
        <v>230.85714285714283</v>
      </c>
      <c r="O145">
        <v>415</v>
      </c>
      <c r="P145">
        <v>309.5</v>
      </c>
      <c r="R145">
        <v>138</v>
      </c>
      <c r="S145">
        <v>0.33333333333333331</v>
      </c>
    </row>
    <row r="146" spans="1:19" ht="15" customHeight="1" x14ac:dyDescent="0.2">
      <c r="A146" s="4">
        <v>421</v>
      </c>
      <c r="B146" s="2" t="s">
        <v>13</v>
      </c>
      <c r="C146" s="2" t="s">
        <v>12</v>
      </c>
      <c r="D146" s="2">
        <v>2812</v>
      </c>
      <c r="E146" s="2">
        <v>16195</v>
      </c>
      <c r="F146" s="3">
        <v>25688</v>
      </c>
      <c r="G146" s="4">
        <v>1068013000</v>
      </c>
      <c r="H146">
        <f t="shared" si="6"/>
        <v>921</v>
      </c>
      <c r="I146">
        <f t="shared" si="7"/>
        <v>1</v>
      </c>
      <c r="J146">
        <f t="shared" si="8"/>
        <v>921</v>
      </c>
      <c r="O146">
        <v>416</v>
      </c>
      <c r="P146">
        <v>1154</v>
      </c>
      <c r="R146">
        <v>139</v>
      </c>
      <c r="S146">
        <v>0.5714285714285714</v>
      </c>
    </row>
    <row r="147" spans="1:19" ht="15" customHeight="1" x14ac:dyDescent="0.2">
      <c r="A147" s="4">
        <v>423</v>
      </c>
      <c r="B147" s="2" t="s">
        <v>7</v>
      </c>
      <c r="C147" s="2" t="s">
        <v>8</v>
      </c>
      <c r="D147" s="2" t="s">
        <v>9</v>
      </c>
      <c r="E147" s="2">
        <v>1564</v>
      </c>
      <c r="F147" s="3">
        <v>25688</v>
      </c>
      <c r="G147" s="4">
        <v>1165001000</v>
      </c>
      <c r="H147">
        <f t="shared" si="6"/>
        <v>309.5</v>
      </c>
      <c r="I147">
        <f t="shared" si="7"/>
        <v>0.5714285714285714</v>
      </c>
      <c r="J147">
        <f t="shared" si="8"/>
        <v>176.85714285714286</v>
      </c>
      <c r="O147">
        <v>420</v>
      </c>
      <c r="P147">
        <v>1212</v>
      </c>
      <c r="R147">
        <v>147</v>
      </c>
      <c r="S147">
        <v>2</v>
      </c>
    </row>
    <row r="148" spans="1:19" ht="26.1" customHeight="1" x14ac:dyDescent="0.2">
      <c r="A148" s="4">
        <v>426</v>
      </c>
      <c r="B148" s="2" t="s">
        <v>11</v>
      </c>
      <c r="C148" s="2" t="s">
        <v>8</v>
      </c>
      <c r="D148" s="2" t="s">
        <v>9</v>
      </c>
      <c r="F148" s="3">
        <v>25688</v>
      </c>
      <c r="G148" s="4">
        <v>1014001</v>
      </c>
      <c r="H148">
        <f t="shared" si="6"/>
        <v>309.5</v>
      </c>
      <c r="I148">
        <f t="shared" si="7"/>
        <v>0.53333333333333333</v>
      </c>
      <c r="J148">
        <f t="shared" si="8"/>
        <v>165.06666666666666</v>
      </c>
      <c r="O148">
        <v>421</v>
      </c>
      <c r="P148">
        <v>921</v>
      </c>
      <c r="R148">
        <v>150</v>
      </c>
      <c r="S148">
        <v>0.66666666666666663</v>
      </c>
    </row>
    <row r="149" spans="1:19" ht="15" customHeight="1" x14ac:dyDescent="0.2">
      <c r="A149" s="4">
        <v>428</v>
      </c>
      <c r="B149" s="2" t="s">
        <v>7</v>
      </c>
      <c r="C149" s="2" t="s">
        <v>12</v>
      </c>
      <c r="D149" s="2" t="s">
        <v>10</v>
      </c>
      <c r="E149" s="2">
        <v>543</v>
      </c>
      <c r="F149" s="3">
        <v>25688</v>
      </c>
      <c r="G149" s="4">
        <v>193012000</v>
      </c>
      <c r="H149">
        <f t="shared" si="6"/>
        <v>1154</v>
      </c>
      <c r="I149">
        <f t="shared" si="7"/>
        <v>3</v>
      </c>
      <c r="J149">
        <f t="shared" si="8"/>
        <v>3462</v>
      </c>
      <c r="O149">
        <v>423</v>
      </c>
      <c r="P149">
        <v>309.5</v>
      </c>
      <c r="R149">
        <v>156</v>
      </c>
      <c r="S149">
        <v>0.66666666666666663</v>
      </c>
    </row>
    <row r="150" spans="1:19" ht="26.1" customHeight="1" x14ac:dyDescent="0.2">
      <c r="A150" s="4">
        <v>433</v>
      </c>
      <c r="B150" s="2" t="s">
        <v>7</v>
      </c>
      <c r="C150" s="2" t="s">
        <v>12</v>
      </c>
      <c r="D150" s="2" t="s">
        <v>10</v>
      </c>
      <c r="E150" s="2">
        <v>23456789</v>
      </c>
      <c r="F150" s="3">
        <v>25688</v>
      </c>
      <c r="G150" s="4">
        <v>2916001000</v>
      </c>
      <c r="H150">
        <f t="shared" si="6"/>
        <v>1154</v>
      </c>
      <c r="I150">
        <f t="shared" si="7"/>
        <v>0.42857142857142855</v>
      </c>
      <c r="J150">
        <f t="shared" si="8"/>
        <v>494.57142857142856</v>
      </c>
      <c r="O150">
        <v>426</v>
      </c>
      <c r="P150">
        <v>309.5</v>
      </c>
      <c r="R150">
        <v>161</v>
      </c>
      <c r="S150">
        <v>0.33333333333333331</v>
      </c>
    </row>
    <row r="151" spans="1:19" ht="15" customHeight="1" x14ac:dyDescent="0.2">
      <c r="A151" s="4">
        <v>435</v>
      </c>
      <c r="B151" s="2" t="s">
        <v>13</v>
      </c>
      <c r="C151" s="2" t="s">
        <v>8</v>
      </c>
      <c r="D151" s="2" t="s">
        <v>20</v>
      </c>
      <c r="F151" s="3">
        <v>25688</v>
      </c>
      <c r="G151" s="4">
        <v>3219002000</v>
      </c>
      <c r="H151">
        <f t="shared" si="6"/>
        <v>1212</v>
      </c>
      <c r="I151">
        <f t="shared" si="7"/>
        <v>0.5</v>
      </c>
      <c r="J151">
        <f t="shared" si="8"/>
        <v>606</v>
      </c>
      <c r="O151">
        <v>428</v>
      </c>
      <c r="P151">
        <v>1154</v>
      </c>
      <c r="R151">
        <v>165</v>
      </c>
      <c r="S151">
        <v>0.2857142857142857</v>
      </c>
    </row>
    <row r="152" spans="1:19" ht="15" customHeight="1" x14ac:dyDescent="0.2">
      <c r="A152" s="4">
        <v>436</v>
      </c>
      <c r="B152" s="2" t="s">
        <v>13</v>
      </c>
      <c r="C152" s="2" t="s">
        <v>12</v>
      </c>
      <c r="D152" s="2">
        <v>2812</v>
      </c>
      <c r="E152" s="2">
        <v>19490</v>
      </c>
      <c r="F152" s="3">
        <v>25688</v>
      </c>
      <c r="G152" s="4">
        <v>1165000000</v>
      </c>
      <c r="H152">
        <f t="shared" si="6"/>
        <v>921</v>
      </c>
      <c r="I152">
        <f t="shared" si="7"/>
        <v>0.42857142857142855</v>
      </c>
      <c r="J152">
        <f t="shared" si="8"/>
        <v>394.71428571428567</v>
      </c>
      <c r="O152">
        <v>433</v>
      </c>
      <c r="P152">
        <v>1154</v>
      </c>
      <c r="R152">
        <v>166</v>
      </c>
      <c r="S152">
        <v>0.4</v>
      </c>
    </row>
    <row r="153" spans="1:19" ht="15" customHeight="1" x14ac:dyDescent="0.2">
      <c r="A153" s="4">
        <v>437</v>
      </c>
      <c r="B153" s="2" t="s">
        <v>7</v>
      </c>
      <c r="C153" s="2" t="s">
        <v>8</v>
      </c>
      <c r="D153" s="2" t="s">
        <v>9</v>
      </c>
      <c r="E153" s="2">
        <v>673</v>
      </c>
      <c r="F153" s="3">
        <v>25688</v>
      </c>
      <c r="G153" s="4">
        <v>2514001000</v>
      </c>
      <c r="H153">
        <f t="shared" si="6"/>
        <v>309.5</v>
      </c>
      <c r="I153">
        <f t="shared" si="7"/>
        <v>0.42857142857142855</v>
      </c>
      <c r="J153">
        <f t="shared" si="8"/>
        <v>132.64285714285714</v>
      </c>
      <c r="O153">
        <v>435</v>
      </c>
      <c r="P153">
        <v>1212</v>
      </c>
      <c r="R153">
        <v>167</v>
      </c>
      <c r="S153">
        <v>0.13333333333333333</v>
      </c>
    </row>
    <row r="154" spans="1:19" ht="15" customHeight="1" x14ac:dyDescent="0.2">
      <c r="A154" s="4">
        <v>438</v>
      </c>
      <c r="B154" s="2" t="s">
        <v>13</v>
      </c>
      <c r="C154" s="2" t="s">
        <v>14</v>
      </c>
      <c r="D154" s="2" t="s">
        <v>15</v>
      </c>
      <c r="F154" s="3">
        <v>25688</v>
      </c>
      <c r="G154" s="4">
        <v>1014001</v>
      </c>
      <c r="H154">
        <f t="shared" si="6"/>
        <v>1091</v>
      </c>
      <c r="I154">
        <f t="shared" si="7"/>
        <v>0.2857142857142857</v>
      </c>
      <c r="J154">
        <f t="shared" si="8"/>
        <v>311.71428571428572</v>
      </c>
      <c r="O154">
        <v>436</v>
      </c>
      <c r="P154">
        <v>921</v>
      </c>
      <c r="R154">
        <v>170</v>
      </c>
      <c r="S154">
        <v>0.14285714285714285</v>
      </c>
    </row>
    <row r="155" spans="1:19" ht="15" customHeight="1" x14ac:dyDescent="0.2">
      <c r="A155" s="4">
        <v>440</v>
      </c>
      <c r="B155" s="2" t="s">
        <v>13</v>
      </c>
      <c r="C155" s="2" t="s">
        <v>12</v>
      </c>
      <c r="D155" s="2">
        <v>2812</v>
      </c>
      <c r="E155" s="2">
        <v>19449</v>
      </c>
      <c r="F155" s="3">
        <v>25688</v>
      </c>
      <c r="G155" s="4">
        <v>2173001000</v>
      </c>
      <c r="H155">
        <f t="shared" si="6"/>
        <v>921</v>
      </c>
      <c r="I155">
        <f t="shared" si="7"/>
        <v>0.53333333333333333</v>
      </c>
      <c r="J155">
        <f t="shared" si="8"/>
        <v>491.2</v>
      </c>
      <c r="O155">
        <v>437</v>
      </c>
      <c r="P155">
        <v>309.5</v>
      </c>
      <c r="R155">
        <v>178</v>
      </c>
      <c r="S155">
        <v>2</v>
      </c>
    </row>
    <row r="156" spans="1:19" ht="15" customHeight="1" x14ac:dyDescent="0.2">
      <c r="A156" s="4">
        <v>442</v>
      </c>
      <c r="B156" s="2" t="s">
        <v>7</v>
      </c>
      <c r="C156" s="2" t="s">
        <v>8</v>
      </c>
      <c r="D156" s="2" t="s">
        <v>9</v>
      </c>
      <c r="E156" s="2">
        <v>675</v>
      </c>
      <c r="F156" s="3">
        <v>25688</v>
      </c>
      <c r="G156" s="4">
        <v>157005000</v>
      </c>
      <c r="H156">
        <f t="shared" si="6"/>
        <v>309.5</v>
      </c>
      <c r="I156">
        <f t="shared" si="7"/>
        <v>0.05</v>
      </c>
      <c r="J156">
        <f t="shared" si="8"/>
        <v>15.475000000000001</v>
      </c>
      <c r="O156">
        <v>438</v>
      </c>
      <c r="P156">
        <v>1091</v>
      </c>
      <c r="R156">
        <v>186</v>
      </c>
      <c r="S156">
        <v>4.7619047619047616E-2</v>
      </c>
    </row>
    <row r="157" spans="1:19" ht="15" customHeight="1" x14ac:dyDescent="0.2">
      <c r="A157" s="4">
        <v>445</v>
      </c>
      <c r="B157" s="2" t="s">
        <v>13</v>
      </c>
      <c r="C157" s="2" t="s">
        <v>14</v>
      </c>
      <c r="D157" s="2" t="s">
        <v>15</v>
      </c>
      <c r="E157" s="2">
        <v>115328</v>
      </c>
      <c r="F157" s="3">
        <v>25688</v>
      </c>
      <c r="G157" s="4">
        <v>1014001</v>
      </c>
      <c r="H157">
        <f t="shared" si="6"/>
        <v>1091</v>
      </c>
      <c r="I157">
        <f t="shared" si="7"/>
        <v>9.5238095238095233E-2</v>
      </c>
      <c r="J157">
        <f t="shared" si="8"/>
        <v>103.9047619047619</v>
      </c>
      <c r="O157">
        <v>440</v>
      </c>
      <c r="P157">
        <v>921</v>
      </c>
      <c r="R157">
        <v>189</v>
      </c>
      <c r="S157">
        <v>0.5714285714285714</v>
      </c>
    </row>
    <row r="158" spans="1:19" ht="15" customHeight="1" x14ac:dyDescent="0.2">
      <c r="A158" s="4">
        <v>446</v>
      </c>
      <c r="B158" s="2" t="s">
        <v>13</v>
      </c>
      <c r="C158" s="2" t="s">
        <v>8</v>
      </c>
      <c r="D158" s="2" t="s">
        <v>20</v>
      </c>
      <c r="E158" s="2">
        <v>12191</v>
      </c>
      <c r="F158" s="3">
        <v>25688</v>
      </c>
      <c r="G158" s="4">
        <v>3042127004</v>
      </c>
      <c r="H158">
        <f t="shared" si="6"/>
        <v>1212</v>
      </c>
      <c r="I158">
        <f t="shared" si="7"/>
        <v>1</v>
      </c>
      <c r="J158">
        <f t="shared" si="8"/>
        <v>1212</v>
      </c>
      <c r="O158">
        <v>442</v>
      </c>
      <c r="P158">
        <v>309.5</v>
      </c>
      <c r="R158">
        <v>190</v>
      </c>
      <c r="S158">
        <v>0.14285714285714285</v>
      </c>
    </row>
    <row r="159" spans="1:19" ht="15" customHeight="1" x14ac:dyDescent="0.2">
      <c r="A159" s="4">
        <v>447</v>
      </c>
      <c r="B159" s="2" t="s">
        <v>7</v>
      </c>
      <c r="C159" s="2" t="s">
        <v>12</v>
      </c>
      <c r="D159" s="2" t="s">
        <v>10</v>
      </c>
      <c r="E159" s="2">
        <v>987654</v>
      </c>
      <c r="F159" s="3">
        <v>25688</v>
      </c>
      <c r="G159" s="4">
        <v>1014001</v>
      </c>
      <c r="H159">
        <f t="shared" si="6"/>
        <v>1154</v>
      </c>
      <c r="I159">
        <f t="shared" si="7"/>
        <v>0.26666666666666666</v>
      </c>
      <c r="J159">
        <f t="shared" si="8"/>
        <v>307.73333333333335</v>
      </c>
      <c r="O159">
        <v>445</v>
      </c>
      <c r="P159">
        <v>1091</v>
      </c>
      <c r="R159">
        <v>198</v>
      </c>
      <c r="S159">
        <v>0.5714285714285714</v>
      </c>
    </row>
    <row r="160" spans="1:19" ht="26.1" customHeight="1" x14ac:dyDescent="0.2">
      <c r="A160" s="4">
        <v>451</v>
      </c>
      <c r="B160" s="2" t="s">
        <v>11</v>
      </c>
      <c r="C160" s="2" t="s">
        <v>8</v>
      </c>
      <c r="D160" s="2" t="s">
        <v>9</v>
      </c>
      <c r="E160" s="2">
        <v>2175</v>
      </c>
      <c r="F160" s="3">
        <v>25688</v>
      </c>
      <c r="G160" s="4">
        <v>1817001000</v>
      </c>
      <c r="H160">
        <f t="shared" si="6"/>
        <v>309.5</v>
      </c>
      <c r="I160">
        <f t="shared" si="7"/>
        <v>0.13333333333333333</v>
      </c>
      <c r="J160">
        <f t="shared" si="8"/>
        <v>41.266666666666666</v>
      </c>
      <c r="O160">
        <v>446</v>
      </c>
      <c r="P160">
        <v>1212</v>
      </c>
      <c r="R160">
        <v>199</v>
      </c>
      <c r="S160">
        <v>9.5714285714285724E-2</v>
      </c>
    </row>
    <row r="161" spans="1:19" ht="15" customHeight="1" x14ac:dyDescent="0.2">
      <c r="A161" s="4">
        <v>452</v>
      </c>
      <c r="B161" s="2" t="s">
        <v>13</v>
      </c>
      <c r="C161" s="2" t="s">
        <v>40</v>
      </c>
      <c r="D161" s="2" t="s">
        <v>41</v>
      </c>
      <c r="E161" s="2">
        <v>415</v>
      </c>
      <c r="F161" s="3">
        <v>36770</v>
      </c>
      <c r="G161" s="4">
        <v>953011000</v>
      </c>
      <c r="H161">
        <f t="shared" si="6"/>
        <v>1107.5</v>
      </c>
      <c r="I161">
        <f t="shared" si="7"/>
        <v>1</v>
      </c>
      <c r="J161">
        <f t="shared" si="8"/>
        <v>1107.5</v>
      </c>
      <c r="O161">
        <v>447</v>
      </c>
      <c r="P161">
        <v>1154</v>
      </c>
      <c r="R161">
        <v>200</v>
      </c>
      <c r="S161">
        <v>0.2857142857142857</v>
      </c>
    </row>
    <row r="162" spans="1:19" ht="15" customHeight="1" x14ac:dyDescent="0.2">
      <c r="A162" s="4">
        <v>453</v>
      </c>
      <c r="B162" s="2" t="s">
        <v>13</v>
      </c>
      <c r="C162" s="2" t="s">
        <v>8</v>
      </c>
      <c r="D162" s="2" t="s">
        <v>20</v>
      </c>
      <c r="E162" s="2">
        <v>13741</v>
      </c>
      <c r="F162" s="3">
        <v>25688</v>
      </c>
      <c r="G162" s="4">
        <v>2126001000</v>
      </c>
      <c r="H162">
        <f t="shared" si="6"/>
        <v>1212</v>
      </c>
      <c r="I162">
        <f t="shared" si="7"/>
        <v>0.8571428571428571</v>
      </c>
      <c r="J162">
        <f t="shared" si="8"/>
        <v>1038.8571428571429</v>
      </c>
      <c r="O162">
        <v>451</v>
      </c>
      <c r="P162">
        <v>309.5</v>
      </c>
      <c r="R162">
        <v>203</v>
      </c>
      <c r="S162">
        <v>0.5714285714285714</v>
      </c>
    </row>
    <row r="163" spans="1:19" ht="15" customHeight="1" x14ac:dyDescent="0.2">
      <c r="A163" s="4">
        <v>456</v>
      </c>
      <c r="B163" s="2" t="s">
        <v>13</v>
      </c>
      <c r="C163" s="2" t="s">
        <v>14</v>
      </c>
      <c r="D163" s="2" t="s">
        <v>15</v>
      </c>
      <c r="F163" s="3">
        <v>25688</v>
      </c>
      <c r="G163" s="4">
        <v>193012000</v>
      </c>
      <c r="H163">
        <f t="shared" si="6"/>
        <v>1091</v>
      </c>
      <c r="I163">
        <f t="shared" si="7"/>
        <v>2</v>
      </c>
      <c r="J163">
        <f t="shared" si="8"/>
        <v>2182</v>
      </c>
      <c r="O163">
        <v>452</v>
      </c>
      <c r="P163">
        <v>1107.5</v>
      </c>
      <c r="R163">
        <v>211</v>
      </c>
      <c r="S163">
        <v>7.1428571428571425E-2</v>
      </c>
    </row>
    <row r="164" spans="1:19" ht="26.1" customHeight="1" x14ac:dyDescent="0.2">
      <c r="A164" s="4">
        <v>457</v>
      </c>
      <c r="B164" s="2" t="s">
        <v>11</v>
      </c>
      <c r="C164" s="2" t="s">
        <v>12</v>
      </c>
      <c r="D164" s="2" t="s">
        <v>10</v>
      </c>
      <c r="E164" s="2">
        <v>45678</v>
      </c>
      <c r="F164" s="3">
        <v>25688</v>
      </c>
      <c r="G164" s="4">
        <v>66011000</v>
      </c>
      <c r="H164">
        <f t="shared" si="6"/>
        <v>1154</v>
      </c>
      <c r="I164">
        <f t="shared" si="7"/>
        <v>2</v>
      </c>
      <c r="J164">
        <f t="shared" si="8"/>
        <v>2308</v>
      </c>
      <c r="O164">
        <v>453</v>
      </c>
      <c r="P164">
        <v>1212</v>
      </c>
      <c r="R164">
        <v>212</v>
      </c>
      <c r="S164">
        <v>0.4</v>
      </c>
    </row>
    <row r="165" spans="1:19" ht="26.1" customHeight="1" x14ac:dyDescent="0.2">
      <c r="A165" s="4">
        <v>460</v>
      </c>
      <c r="B165" s="2" t="s">
        <v>11</v>
      </c>
      <c r="C165" s="2" t="s">
        <v>8</v>
      </c>
      <c r="D165" s="2" t="s">
        <v>9</v>
      </c>
      <c r="E165" s="2">
        <v>10511</v>
      </c>
      <c r="F165" s="3">
        <v>25688</v>
      </c>
      <c r="G165" s="4">
        <v>1967012000</v>
      </c>
      <c r="H165">
        <f t="shared" si="6"/>
        <v>309.5</v>
      </c>
      <c r="I165">
        <f t="shared" si="7"/>
        <v>5.5555555555555552E-2</v>
      </c>
      <c r="J165">
        <f t="shared" si="8"/>
        <v>17.194444444444443</v>
      </c>
      <c r="O165">
        <v>456</v>
      </c>
      <c r="P165">
        <v>1091</v>
      </c>
      <c r="R165">
        <v>213</v>
      </c>
      <c r="S165">
        <v>0.5714285714285714</v>
      </c>
    </row>
    <row r="166" spans="1:19" ht="15" customHeight="1" x14ac:dyDescent="0.2">
      <c r="A166" s="4">
        <v>463</v>
      </c>
      <c r="B166" s="2" t="s">
        <v>7</v>
      </c>
      <c r="C166" s="2" t="s">
        <v>8</v>
      </c>
      <c r="D166" s="2" t="s">
        <v>9</v>
      </c>
      <c r="E166" s="2">
        <v>1087</v>
      </c>
      <c r="F166" s="3">
        <v>25688</v>
      </c>
      <c r="G166" s="4">
        <v>1068010000</v>
      </c>
      <c r="H166">
        <f t="shared" si="6"/>
        <v>309.5</v>
      </c>
      <c r="I166">
        <f t="shared" si="7"/>
        <v>0.2857142857142857</v>
      </c>
      <c r="J166">
        <f t="shared" si="8"/>
        <v>88.428571428571431</v>
      </c>
      <c r="O166">
        <v>457</v>
      </c>
      <c r="P166">
        <v>1154</v>
      </c>
      <c r="R166">
        <v>224</v>
      </c>
      <c r="S166">
        <v>1.3333333333333333</v>
      </c>
    </row>
    <row r="167" spans="1:19" ht="15" customHeight="1" x14ac:dyDescent="0.2">
      <c r="A167" s="4">
        <v>465</v>
      </c>
      <c r="B167" s="2" t="s">
        <v>13</v>
      </c>
      <c r="C167" s="2" t="s">
        <v>8</v>
      </c>
      <c r="D167" s="2" t="s">
        <v>20</v>
      </c>
      <c r="E167" s="2">
        <v>4093</v>
      </c>
      <c r="F167" s="3">
        <v>25688</v>
      </c>
      <c r="G167" s="4">
        <v>2886002000</v>
      </c>
      <c r="H167">
        <f t="shared" si="6"/>
        <v>1212</v>
      </c>
      <c r="I167">
        <f t="shared" si="7"/>
        <v>1.7142857142857142</v>
      </c>
      <c r="J167">
        <f t="shared" si="8"/>
        <v>2077.7142857142858</v>
      </c>
      <c r="O167">
        <v>460</v>
      </c>
      <c r="P167">
        <v>309.5</v>
      </c>
      <c r="R167">
        <v>228</v>
      </c>
      <c r="S167">
        <v>1.4285714285714286</v>
      </c>
    </row>
    <row r="168" spans="1:19" ht="15" customHeight="1" x14ac:dyDescent="0.2">
      <c r="A168" s="4">
        <v>469</v>
      </c>
      <c r="B168" s="2" t="s">
        <v>13</v>
      </c>
      <c r="C168" s="2" t="s">
        <v>21</v>
      </c>
      <c r="D168" s="2" t="s">
        <v>27</v>
      </c>
      <c r="F168" s="3">
        <v>25688</v>
      </c>
      <c r="G168" s="4">
        <v>1165066000</v>
      </c>
      <c r="H168">
        <f t="shared" si="6"/>
        <v>1202.5</v>
      </c>
      <c r="I168">
        <f t="shared" si="7"/>
        <v>0.2857142857142857</v>
      </c>
      <c r="J168">
        <f t="shared" si="8"/>
        <v>343.57142857142856</v>
      </c>
      <c r="O168">
        <v>463</v>
      </c>
      <c r="P168">
        <v>309.5</v>
      </c>
      <c r="R168">
        <v>231</v>
      </c>
      <c r="S168">
        <v>9.5238095238095233E-2</v>
      </c>
    </row>
    <row r="169" spans="1:19" ht="15" customHeight="1" x14ac:dyDescent="0.2">
      <c r="A169" s="4">
        <v>470</v>
      </c>
      <c r="B169" s="2" t="s">
        <v>7</v>
      </c>
      <c r="C169" s="2" t="s">
        <v>12</v>
      </c>
      <c r="D169" s="2" t="s">
        <v>10</v>
      </c>
      <c r="E169" s="2">
        <v>87654</v>
      </c>
      <c r="F169" s="3">
        <v>25688</v>
      </c>
      <c r="G169" s="4">
        <v>43001000</v>
      </c>
      <c r="H169">
        <f t="shared" si="6"/>
        <v>1154</v>
      </c>
      <c r="I169">
        <f t="shared" si="7"/>
        <v>2</v>
      </c>
      <c r="J169">
        <f t="shared" si="8"/>
        <v>2308</v>
      </c>
      <c r="O169">
        <v>465</v>
      </c>
      <c r="P169">
        <v>1212</v>
      </c>
      <c r="R169">
        <v>234</v>
      </c>
      <c r="S169">
        <v>0.5714285714285714</v>
      </c>
    </row>
    <row r="170" spans="1:19" ht="15" customHeight="1" x14ac:dyDescent="0.2">
      <c r="A170" s="4">
        <v>471</v>
      </c>
      <c r="B170" s="2" t="s">
        <v>13</v>
      </c>
      <c r="C170" s="2" t="s">
        <v>14</v>
      </c>
      <c r="D170" s="2" t="s">
        <v>15</v>
      </c>
      <c r="E170" s="2" t="s">
        <v>42</v>
      </c>
      <c r="F170" s="3">
        <v>25688</v>
      </c>
      <c r="G170" s="4">
        <v>1014001</v>
      </c>
      <c r="H170">
        <f t="shared" si="6"/>
        <v>1091</v>
      </c>
      <c r="I170">
        <f t="shared" si="7"/>
        <v>0.2</v>
      </c>
      <c r="J170">
        <f t="shared" si="8"/>
        <v>218.20000000000002</v>
      </c>
      <c r="O170">
        <v>469</v>
      </c>
      <c r="P170">
        <v>1202.5</v>
      </c>
      <c r="R170">
        <v>237</v>
      </c>
      <c r="S170">
        <v>3.3333333333333333E-2</v>
      </c>
    </row>
    <row r="171" spans="1:19" ht="15" customHeight="1" x14ac:dyDescent="0.2">
      <c r="A171" s="4">
        <v>474</v>
      </c>
      <c r="B171" s="2" t="s">
        <v>7</v>
      </c>
      <c r="C171" s="2" t="s">
        <v>8</v>
      </c>
      <c r="D171" s="2" t="s">
        <v>9</v>
      </c>
      <c r="E171" s="2">
        <v>7252</v>
      </c>
      <c r="F171" s="3">
        <v>28975</v>
      </c>
      <c r="G171" s="4">
        <v>3212001000</v>
      </c>
      <c r="H171">
        <f t="shared" si="6"/>
        <v>309.5</v>
      </c>
      <c r="I171">
        <f t="shared" si="7"/>
        <v>0.2857142857142857</v>
      </c>
      <c r="J171">
        <f t="shared" si="8"/>
        <v>88.428571428571431</v>
      </c>
      <c r="O171">
        <v>470</v>
      </c>
      <c r="P171">
        <v>1154</v>
      </c>
      <c r="R171">
        <v>242</v>
      </c>
      <c r="S171">
        <v>1.2857142857142858</v>
      </c>
    </row>
    <row r="172" spans="1:19" ht="15" customHeight="1" x14ac:dyDescent="0.2">
      <c r="A172" s="4">
        <v>485</v>
      </c>
      <c r="B172" s="2" t="s">
        <v>13</v>
      </c>
      <c r="C172" s="2" t="s">
        <v>14</v>
      </c>
      <c r="D172" s="2" t="s">
        <v>15</v>
      </c>
      <c r="E172" s="2">
        <v>117557</v>
      </c>
      <c r="F172" s="3">
        <v>25688</v>
      </c>
      <c r="G172" s="4">
        <v>193012000</v>
      </c>
      <c r="H172">
        <f t="shared" si="6"/>
        <v>1091</v>
      </c>
      <c r="I172">
        <f t="shared" si="7"/>
        <v>2</v>
      </c>
      <c r="J172">
        <f t="shared" si="8"/>
        <v>2182</v>
      </c>
      <c r="O172">
        <v>471</v>
      </c>
      <c r="P172">
        <v>1091</v>
      </c>
      <c r="R172">
        <v>246</v>
      </c>
      <c r="S172">
        <v>0.66666666666666663</v>
      </c>
    </row>
    <row r="173" spans="1:19" ht="15" customHeight="1" x14ac:dyDescent="0.2">
      <c r="A173" s="4">
        <v>488</v>
      </c>
      <c r="B173" s="2" t="s">
        <v>13</v>
      </c>
      <c r="C173" s="2" t="s">
        <v>8</v>
      </c>
      <c r="D173" s="2" t="s">
        <v>20</v>
      </c>
      <c r="E173" s="2">
        <v>8178</v>
      </c>
      <c r="F173" s="3">
        <v>25688</v>
      </c>
      <c r="G173" s="4">
        <v>2814003000</v>
      </c>
      <c r="H173">
        <f t="shared" si="6"/>
        <v>1212</v>
      </c>
      <c r="I173">
        <f t="shared" si="7"/>
        <v>0.5714285714285714</v>
      </c>
      <c r="J173">
        <f t="shared" si="8"/>
        <v>692.57142857142856</v>
      </c>
      <c r="O173">
        <v>474</v>
      </c>
      <c r="P173">
        <v>309.5</v>
      </c>
      <c r="R173">
        <v>247</v>
      </c>
      <c r="S173">
        <v>0.14285714285714285</v>
      </c>
    </row>
    <row r="174" spans="1:19" ht="15" customHeight="1" x14ac:dyDescent="0.2">
      <c r="A174" s="4">
        <v>489</v>
      </c>
      <c r="B174" s="2" t="s">
        <v>7</v>
      </c>
      <c r="C174" s="2" t="s">
        <v>12</v>
      </c>
      <c r="D174" s="2" t="s">
        <v>19</v>
      </c>
      <c r="F174" s="3">
        <v>25688</v>
      </c>
      <c r="G174" s="4">
        <v>153002000</v>
      </c>
      <c r="H174">
        <f t="shared" si="6"/>
        <v>532</v>
      </c>
      <c r="I174">
        <f t="shared" si="7"/>
        <v>0.5714285714285714</v>
      </c>
      <c r="J174">
        <f t="shared" si="8"/>
        <v>304</v>
      </c>
      <c r="O174">
        <v>485</v>
      </c>
      <c r="P174">
        <v>1091</v>
      </c>
      <c r="R174">
        <v>253</v>
      </c>
      <c r="S174">
        <v>0.2857142857142857</v>
      </c>
    </row>
    <row r="175" spans="1:19" ht="15" customHeight="1" x14ac:dyDescent="0.2">
      <c r="A175" s="4">
        <v>493</v>
      </c>
      <c r="B175" s="2" t="s">
        <v>7</v>
      </c>
      <c r="C175" s="2" t="s">
        <v>8</v>
      </c>
      <c r="D175" s="2" t="s">
        <v>17</v>
      </c>
      <c r="E175" s="2">
        <v>10138</v>
      </c>
      <c r="F175" s="3">
        <v>25688</v>
      </c>
      <c r="G175" s="4">
        <v>1014001</v>
      </c>
      <c r="H175">
        <f t="shared" si="6"/>
        <v>461</v>
      </c>
      <c r="I175">
        <f t="shared" si="7"/>
        <v>0.5714285714285714</v>
      </c>
      <c r="J175">
        <f t="shared" si="8"/>
        <v>263.42857142857139</v>
      </c>
      <c r="O175">
        <v>488</v>
      </c>
      <c r="P175">
        <v>1212</v>
      </c>
      <c r="R175">
        <v>255</v>
      </c>
      <c r="S175">
        <v>0.33333333333333331</v>
      </c>
    </row>
    <row r="176" spans="1:19" ht="15" customHeight="1" x14ac:dyDescent="0.2">
      <c r="A176" s="4">
        <v>494</v>
      </c>
      <c r="B176" s="2" t="s">
        <v>13</v>
      </c>
      <c r="C176" s="2" t="s">
        <v>8</v>
      </c>
      <c r="D176" s="2" t="s">
        <v>18</v>
      </c>
      <c r="E176" s="2">
        <v>8203</v>
      </c>
      <c r="F176" s="3">
        <v>25688</v>
      </c>
      <c r="G176" s="4">
        <v>1967012000</v>
      </c>
      <c r="H176">
        <f t="shared" si="6"/>
        <v>1212</v>
      </c>
      <c r="I176">
        <f t="shared" si="7"/>
        <v>3</v>
      </c>
      <c r="J176">
        <f t="shared" si="8"/>
        <v>3636</v>
      </c>
      <c r="O176">
        <v>489</v>
      </c>
      <c r="P176">
        <v>532</v>
      </c>
      <c r="R176">
        <v>257</v>
      </c>
      <c r="S176">
        <v>0.66666666666666663</v>
      </c>
    </row>
    <row r="177" spans="1:19" ht="26.1" customHeight="1" x14ac:dyDescent="0.2">
      <c r="A177" s="4">
        <v>497</v>
      </c>
      <c r="B177" s="2" t="s">
        <v>11</v>
      </c>
      <c r="C177" s="2" t="s">
        <v>12</v>
      </c>
      <c r="D177" s="2" t="s">
        <v>10</v>
      </c>
      <c r="E177" s="2">
        <v>18395</v>
      </c>
      <c r="F177" s="3">
        <v>25688</v>
      </c>
      <c r="G177" s="4">
        <v>3119003000</v>
      </c>
      <c r="H177">
        <f t="shared" si="6"/>
        <v>1154</v>
      </c>
      <c r="I177">
        <f t="shared" si="7"/>
        <v>0.53333333333333333</v>
      </c>
      <c r="J177">
        <f t="shared" si="8"/>
        <v>615.4666666666667</v>
      </c>
      <c r="O177">
        <v>493</v>
      </c>
      <c r="P177">
        <v>461</v>
      </c>
      <c r="R177">
        <v>259</v>
      </c>
      <c r="S177">
        <v>0.33333333333333331</v>
      </c>
    </row>
    <row r="178" spans="1:19" ht="15" customHeight="1" x14ac:dyDescent="0.2">
      <c r="A178" s="4">
        <v>498</v>
      </c>
      <c r="B178" s="2" t="s">
        <v>7</v>
      </c>
      <c r="C178" s="2" t="s">
        <v>8</v>
      </c>
      <c r="D178" s="2" t="s">
        <v>9</v>
      </c>
      <c r="E178" s="2">
        <v>3</v>
      </c>
      <c r="F178" s="3">
        <v>25688</v>
      </c>
      <c r="G178" s="4">
        <v>165001000</v>
      </c>
      <c r="H178">
        <f t="shared" si="6"/>
        <v>309.5</v>
      </c>
      <c r="I178">
        <f t="shared" si="7"/>
        <v>1.4285714285714286</v>
      </c>
      <c r="J178">
        <f t="shared" si="8"/>
        <v>442.14285714285717</v>
      </c>
      <c r="O178">
        <v>494</v>
      </c>
      <c r="P178">
        <v>1212</v>
      </c>
      <c r="R178">
        <v>262</v>
      </c>
      <c r="S178">
        <v>0.16666666666666666</v>
      </c>
    </row>
    <row r="179" spans="1:19" ht="15" customHeight="1" x14ac:dyDescent="0.2">
      <c r="A179" s="4">
        <v>507</v>
      </c>
      <c r="B179" s="2" t="s">
        <v>7</v>
      </c>
      <c r="C179" s="2" t="s">
        <v>8</v>
      </c>
      <c r="D179" s="2" t="s">
        <v>9</v>
      </c>
      <c r="E179" s="2">
        <v>1375</v>
      </c>
      <c r="F179" s="3">
        <v>25688</v>
      </c>
      <c r="G179" s="4">
        <v>1014001</v>
      </c>
      <c r="H179">
        <f t="shared" si="6"/>
        <v>309.5</v>
      </c>
      <c r="I179">
        <f t="shared" si="7"/>
        <v>2</v>
      </c>
      <c r="J179">
        <f t="shared" si="8"/>
        <v>619</v>
      </c>
      <c r="O179">
        <v>497</v>
      </c>
      <c r="P179">
        <v>1154</v>
      </c>
      <c r="R179">
        <v>265</v>
      </c>
      <c r="S179">
        <v>0.26666666666666666</v>
      </c>
    </row>
    <row r="180" spans="1:19" ht="15" customHeight="1" x14ac:dyDescent="0.2">
      <c r="A180" s="4">
        <v>509</v>
      </c>
      <c r="B180" s="2" t="s">
        <v>7</v>
      </c>
      <c r="C180" s="2" t="s">
        <v>12</v>
      </c>
      <c r="D180" s="2" t="s">
        <v>10</v>
      </c>
      <c r="E180" s="2">
        <v>12345</v>
      </c>
      <c r="F180" s="3">
        <v>25688</v>
      </c>
      <c r="G180" s="4">
        <v>2995001000</v>
      </c>
      <c r="H180">
        <f t="shared" si="6"/>
        <v>1154</v>
      </c>
      <c r="I180">
        <f t="shared" si="7"/>
        <v>0.2857142857142857</v>
      </c>
      <c r="J180">
        <f t="shared" si="8"/>
        <v>329.71428571428572</v>
      </c>
      <c r="O180">
        <v>498</v>
      </c>
      <c r="P180">
        <v>309.5</v>
      </c>
      <c r="R180">
        <v>267</v>
      </c>
      <c r="S180">
        <v>1</v>
      </c>
    </row>
    <row r="181" spans="1:19" ht="15" customHeight="1" x14ac:dyDescent="0.2">
      <c r="A181" s="4">
        <v>511</v>
      </c>
      <c r="B181" s="2" t="s">
        <v>13</v>
      </c>
      <c r="C181" s="2" t="s">
        <v>21</v>
      </c>
      <c r="D181" s="2" t="s">
        <v>27</v>
      </c>
      <c r="F181" s="3">
        <v>25688</v>
      </c>
      <c r="G181" s="4">
        <v>3319002000</v>
      </c>
      <c r="H181">
        <f t="shared" si="6"/>
        <v>1202.5</v>
      </c>
      <c r="I181">
        <f t="shared" si="7"/>
        <v>0.66666666666666663</v>
      </c>
      <c r="J181">
        <f t="shared" si="8"/>
        <v>801.66666666666663</v>
      </c>
      <c r="O181">
        <v>507</v>
      </c>
      <c r="P181">
        <v>309.5</v>
      </c>
      <c r="R181">
        <v>272</v>
      </c>
      <c r="S181">
        <v>0.66666666666666663</v>
      </c>
    </row>
    <row r="182" spans="1:19" ht="26.1" customHeight="1" x14ac:dyDescent="0.2">
      <c r="A182" s="4">
        <v>512</v>
      </c>
      <c r="B182" s="2" t="s">
        <v>11</v>
      </c>
      <c r="C182" s="2" t="s">
        <v>8</v>
      </c>
      <c r="D182" s="2" t="s">
        <v>9</v>
      </c>
      <c r="E182" s="2">
        <v>7483</v>
      </c>
      <c r="F182" s="3">
        <v>25688</v>
      </c>
      <c r="G182" s="4">
        <v>1967007000</v>
      </c>
      <c r="H182">
        <f t="shared" si="6"/>
        <v>309.5</v>
      </c>
      <c r="I182">
        <f t="shared" si="7"/>
        <v>6.6666666666666666E-2</v>
      </c>
      <c r="J182">
        <f t="shared" si="8"/>
        <v>20.633333333333333</v>
      </c>
      <c r="O182">
        <v>509</v>
      </c>
      <c r="P182">
        <v>1154</v>
      </c>
      <c r="R182">
        <v>276</v>
      </c>
      <c r="S182">
        <v>0.2857142857142857</v>
      </c>
    </row>
    <row r="183" spans="1:19" ht="15" customHeight="1" x14ac:dyDescent="0.2">
      <c r="A183" s="4">
        <v>515</v>
      </c>
      <c r="B183" s="2" t="s">
        <v>7</v>
      </c>
      <c r="C183" s="2" t="s">
        <v>8</v>
      </c>
      <c r="D183" s="2" t="s">
        <v>9</v>
      </c>
      <c r="E183" s="2">
        <v>5</v>
      </c>
      <c r="F183" s="3">
        <v>25688</v>
      </c>
      <c r="G183" s="4">
        <v>3178003000</v>
      </c>
      <c r="H183">
        <f t="shared" si="6"/>
        <v>309.5</v>
      </c>
      <c r="I183">
        <f t="shared" si="7"/>
        <v>0.1</v>
      </c>
      <c r="J183">
        <f t="shared" si="8"/>
        <v>30.950000000000003</v>
      </c>
      <c r="O183">
        <v>511</v>
      </c>
      <c r="P183">
        <v>1202.5</v>
      </c>
      <c r="R183">
        <v>279</v>
      </c>
      <c r="S183">
        <v>0.66666666666666663</v>
      </c>
    </row>
    <row r="184" spans="1:19" ht="15" customHeight="1" x14ac:dyDescent="0.2">
      <c r="A184" s="4">
        <v>516</v>
      </c>
      <c r="B184" s="2" t="s">
        <v>13</v>
      </c>
      <c r="C184" s="2" t="s">
        <v>8</v>
      </c>
      <c r="D184" s="2" t="s">
        <v>18</v>
      </c>
      <c r="E184" s="2">
        <v>13683</v>
      </c>
      <c r="F184" s="3">
        <v>25688</v>
      </c>
      <c r="G184" s="4">
        <v>1014001</v>
      </c>
      <c r="H184">
        <f t="shared" si="6"/>
        <v>1212</v>
      </c>
      <c r="I184">
        <f t="shared" si="7"/>
        <v>0.1</v>
      </c>
      <c r="J184">
        <f t="shared" si="8"/>
        <v>121.2</v>
      </c>
      <c r="O184">
        <v>512</v>
      </c>
      <c r="P184">
        <v>309.5</v>
      </c>
      <c r="R184">
        <v>280</v>
      </c>
      <c r="S184">
        <v>0.14285714285714285</v>
      </c>
    </row>
    <row r="185" spans="1:19" ht="15" customHeight="1" x14ac:dyDescent="0.2">
      <c r="A185" s="4">
        <v>518</v>
      </c>
      <c r="B185" s="2" t="s">
        <v>7</v>
      </c>
      <c r="C185" s="2" t="s">
        <v>12</v>
      </c>
      <c r="D185" s="2" t="s">
        <v>43</v>
      </c>
      <c r="F185" s="3">
        <v>25688</v>
      </c>
      <c r="G185" s="4">
        <v>2994001000</v>
      </c>
      <c r="H185">
        <f t="shared" si="6"/>
        <v>318.5</v>
      </c>
      <c r="I185">
        <f t="shared" si="7"/>
        <v>1.6666666666666667</v>
      </c>
      <c r="J185">
        <f t="shared" si="8"/>
        <v>530.83333333333337</v>
      </c>
      <c r="O185">
        <v>515</v>
      </c>
      <c r="P185">
        <v>309.5</v>
      </c>
      <c r="R185">
        <v>281</v>
      </c>
      <c r="S185">
        <v>3</v>
      </c>
    </row>
    <row r="186" spans="1:19" ht="15" customHeight="1" x14ac:dyDescent="0.2">
      <c r="A186" s="4">
        <v>519</v>
      </c>
      <c r="B186" s="2" t="s">
        <v>13</v>
      </c>
      <c r="C186" s="2" t="s">
        <v>8</v>
      </c>
      <c r="D186" s="2" t="s">
        <v>20</v>
      </c>
      <c r="E186" s="2">
        <v>13737</v>
      </c>
      <c r="F186" s="3">
        <v>25688</v>
      </c>
      <c r="G186" s="4">
        <v>2126010000</v>
      </c>
      <c r="H186">
        <f t="shared" si="6"/>
        <v>1212</v>
      </c>
      <c r="I186">
        <f t="shared" si="7"/>
        <v>1.6666666666666667</v>
      </c>
      <c r="J186">
        <f t="shared" si="8"/>
        <v>2020</v>
      </c>
      <c r="O186">
        <v>516</v>
      </c>
      <c r="P186">
        <v>1212</v>
      </c>
      <c r="R186">
        <v>285</v>
      </c>
      <c r="S186">
        <v>0.2857142857142857</v>
      </c>
    </row>
    <row r="187" spans="1:19" ht="15" customHeight="1" x14ac:dyDescent="0.2">
      <c r="A187" s="4">
        <v>520</v>
      </c>
      <c r="B187" s="2" t="s">
        <v>7</v>
      </c>
      <c r="C187" s="2" t="s">
        <v>14</v>
      </c>
      <c r="D187" s="2" t="s">
        <v>23</v>
      </c>
      <c r="F187" s="3">
        <v>25688</v>
      </c>
      <c r="G187" s="4">
        <v>1014001</v>
      </c>
      <c r="H187">
        <f t="shared" si="6"/>
        <v>629</v>
      </c>
      <c r="I187">
        <f t="shared" si="7"/>
        <v>0.5714285714285714</v>
      </c>
      <c r="J187">
        <f t="shared" si="8"/>
        <v>359.42857142857139</v>
      </c>
      <c r="O187">
        <v>518</v>
      </c>
      <c r="P187">
        <v>318.5</v>
      </c>
      <c r="R187">
        <v>286</v>
      </c>
      <c r="S187">
        <v>0.7142857142857143</v>
      </c>
    </row>
    <row r="188" spans="1:19" ht="15" customHeight="1" x14ac:dyDescent="0.2">
      <c r="A188" s="4">
        <v>522</v>
      </c>
      <c r="B188" s="2" t="s">
        <v>13</v>
      </c>
      <c r="C188" s="2" t="s">
        <v>8</v>
      </c>
      <c r="D188" s="2" t="s">
        <v>20</v>
      </c>
      <c r="E188" s="2">
        <v>8173</v>
      </c>
      <c r="F188" s="3">
        <v>25688</v>
      </c>
      <c r="G188" s="4">
        <v>2548068000</v>
      </c>
      <c r="H188">
        <f t="shared" si="6"/>
        <v>1212</v>
      </c>
      <c r="I188">
        <f t="shared" si="7"/>
        <v>0.14285714285714285</v>
      </c>
      <c r="J188">
        <f t="shared" si="8"/>
        <v>173.14285714285714</v>
      </c>
      <c r="O188">
        <v>519</v>
      </c>
      <c r="P188">
        <v>1212</v>
      </c>
      <c r="R188">
        <v>287</v>
      </c>
      <c r="S188">
        <v>0.2857142857142857</v>
      </c>
    </row>
    <row r="189" spans="1:19" ht="15" customHeight="1" x14ac:dyDescent="0.2">
      <c r="A189" s="4">
        <v>528</v>
      </c>
      <c r="B189" s="2" t="s">
        <v>7</v>
      </c>
      <c r="C189" s="2" t="s">
        <v>8</v>
      </c>
      <c r="D189" s="2" t="s">
        <v>17</v>
      </c>
      <c r="E189" s="2">
        <v>10124</v>
      </c>
      <c r="F189" s="3">
        <v>25688</v>
      </c>
      <c r="G189" s="4">
        <v>2554001000</v>
      </c>
      <c r="H189">
        <f t="shared" si="6"/>
        <v>461</v>
      </c>
      <c r="I189">
        <f t="shared" si="7"/>
        <v>0.8571428571428571</v>
      </c>
      <c r="J189">
        <f t="shared" si="8"/>
        <v>395.14285714285711</v>
      </c>
      <c r="O189">
        <v>520</v>
      </c>
      <c r="P189">
        <v>629</v>
      </c>
      <c r="R189">
        <v>290</v>
      </c>
      <c r="S189">
        <v>7.1428571428571425E-2</v>
      </c>
    </row>
    <row r="190" spans="1:19" ht="15" customHeight="1" x14ac:dyDescent="0.2">
      <c r="A190" s="4">
        <v>530</v>
      </c>
      <c r="B190" s="2" t="s">
        <v>7</v>
      </c>
      <c r="C190" s="2" t="s">
        <v>8</v>
      </c>
      <c r="D190" s="2" t="s">
        <v>17</v>
      </c>
      <c r="E190" s="2">
        <v>13615</v>
      </c>
      <c r="F190" s="3">
        <v>25688</v>
      </c>
      <c r="G190" s="4">
        <v>2548010000</v>
      </c>
      <c r="H190">
        <f t="shared" si="6"/>
        <v>461</v>
      </c>
      <c r="I190">
        <f t="shared" si="7"/>
        <v>0.14285714285714285</v>
      </c>
      <c r="J190">
        <f t="shared" si="8"/>
        <v>65.857142857142847</v>
      </c>
      <c r="O190">
        <v>522</v>
      </c>
      <c r="P190">
        <v>1212</v>
      </c>
      <c r="R190">
        <v>292</v>
      </c>
      <c r="S190">
        <v>2</v>
      </c>
    </row>
    <row r="191" spans="1:19" ht="15" customHeight="1" x14ac:dyDescent="0.2">
      <c r="A191" s="4">
        <v>531</v>
      </c>
      <c r="B191" s="2" t="s">
        <v>7</v>
      </c>
      <c r="C191" s="2" t="s">
        <v>8</v>
      </c>
      <c r="D191" s="2" t="s">
        <v>9</v>
      </c>
      <c r="E191" s="2">
        <v>600</v>
      </c>
      <c r="F191" s="3">
        <v>25688</v>
      </c>
      <c r="G191" s="4">
        <v>2514001000</v>
      </c>
      <c r="H191">
        <f t="shared" si="6"/>
        <v>309.5</v>
      </c>
      <c r="I191">
        <f t="shared" si="7"/>
        <v>0.14285714285714285</v>
      </c>
      <c r="J191">
        <f t="shared" si="8"/>
        <v>44.214285714285715</v>
      </c>
      <c r="O191">
        <v>528</v>
      </c>
      <c r="P191">
        <v>461</v>
      </c>
      <c r="R191">
        <v>297</v>
      </c>
      <c r="S191">
        <v>0.42857142857142855</v>
      </c>
    </row>
    <row r="192" spans="1:19" ht="15" customHeight="1" x14ac:dyDescent="0.2">
      <c r="A192" s="4">
        <v>536</v>
      </c>
      <c r="B192" s="2" t="s">
        <v>13</v>
      </c>
      <c r="C192" s="2" t="s">
        <v>12</v>
      </c>
      <c r="D192" s="2">
        <v>2815</v>
      </c>
      <c r="E192" s="2">
        <v>20298</v>
      </c>
      <c r="F192" s="3">
        <v>25688</v>
      </c>
      <c r="G192" s="4">
        <v>1925001000</v>
      </c>
      <c r="H192">
        <f t="shared" si="6"/>
        <v>1154</v>
      </c>
      <c r="I192">
        <f t="shared" si="7"/>
        <v>0.1</v>
      </c>
      <c r="J192">
        <f t="shared" si="8"/>
        <v>115.4</v>
      </c>
      <c r="O192">
        <v>530</v>
      </c>
      <c r="P192">
        <v>461</v>
      </c>
      <c r="R192">
        <v>302</v>
      </c>
      <c r="S192">
        <v>0.2857142857142857</v>
      </c>
    </row>
    <row r="193" spans="1:19" ht="15" customHeight="1" x14ac:dyDescent="0.2">
      <c r="A193" s="4">
        <v>537</v>
      </c>
      <c r="B193" s="2" t="s">
        <v>13</v>
      </c>
      <c r="C193" s="2" t="s">
        <v>14</v>
      </c>
      <c r="D193" s="2" t="s">
        <v>44</v>
      </c>
      <c r="F193" s="3">
        <v>25688</v>
      </c>
      <c r="G193" s="4">
        <v>61007000</v>
      </c>
      <c r="H193">
        <f t="shared" si="6"/>
        <v>1176</v>
      </c>
      <c r="I193">
        <f t="shared" si="7"/>
        <v>0.2857142857142857</v>
      </c>
      <c r="J193">
        <f t="shared" si="8"/>
        <v>336</v>
      </c>
      <c r="O193">
        <v>531</v>
      </c>
      <c r="P193">
        <v>309.5</v>
      </c>
      <c r="R193">
        <v>313</v>
      </c>
      <c r="S193">
        <v>0.5714285714285714</v>
      </c>
    </row>
    <row r="194" spans="1:19" ht="15" customHeight="1" x14ac:dyDescent="0.2">
      <c r="A194" s="4">
        <v>539</v>
      </c>
      <c r="B194" s="2" t="s">
        <v>13</v>
      </c>
      <c r="C194" s="2" t="s">
        <v>8</v>
      </c>
      <c r="D194" s="2" t="s">
        <v>18</v>
      </c>
      <c r="E194" s="2">
        <v>4100</v>
      </c>
      <c r="F194" s="3">
        <v>25688</v>
      </c>
      <c r="G194" s="4">
        <v>157004000</v>
      </c>
      <c r="H194">
        <f t="shared" ref="H194:H257" si="9">VLOOKUP(A194,O:P,2)</f>
        <v>1212</v>
      </c>
      <c r="I194">
        <f t="shared" ref="I194:I257" si="10">VLOOKUP(A194,R:S,2)</f>
        <v>0.2857142857142857</v>
      </c>
      <c r="J194">
        <f t="shared" ref="J194:J257" si="11">H194*I194</f>
        <v>346.28571428571428</v>
      </c>
      <c r="O194">
        <v>536</v>
      </c>
      <c r="P194">
        <v>1154</v>
      </c>
      <c r="R194">
        <v>315</v>
      </c>
      <c r="S194">
        <v>0.5714285714285714</v>
      </c>
    </row>
    <row r="195" spans="1:19" ht="15" customHeight="1" x14ac:dyDescent="0.2">
      <c r="A195" s="4">
        <v>540</v>
      </c>
      <c r="B195" s="2" t="s">
        <v>7</v>
      </c>
      <c r="C195" s="2" t="s">
        <v>8</v>
      </c>
      <c r="D195" s="2" t="s">
        <v>17</v>
      </c>
      <c r="F195" s="3">
        <v>25688</v>
      </c>
      <c r="G195" s="4">
        <v>43001000</v>
      </c>
      <c r="H195">
        <f t="shared" si="9"/>
        <v>461</v>
      </c>
      <c r="I195">
        <f t="shared" si="10"/>
        <v>2</v>
      </c>
      <c r="J195">
        <f t="shared" si="11"/>
        <v>922</v>
      </c>
      <c r="O195">
        <v>537</v>
      </c>
      <c r="P195">
        <v>1176</v>
      </c>
      <c r="R195">
        <v>316</v>
      </c>
      <c r="S195">
        <v>0.2</v>
      </c>
    </row>
    <row r="196" spans="1:19" ht="15" customHeight="1" x14ac:dyDescent="0.2">
      <c r="A196" s="4">
        <v>542</v>
      </c>
      <c r="B196" s="2" t="s">
        <v>7</v>
      </c>
      <c r="C196" s="2" t="s">
        <v>8</v>
      </c>
      <c r="D196" s="2" t="s">
        <v>9</v>
      </c>
      <c r="E196" s="2">
        <v>1429</v>
      </c>
      <c r="F196" s="3">
        <v>25688</v>
      </c>
      <c r="G196" s="4">
        <v>193012000</v>
      </c>
      <c r="H196">
        <f t="shared" si="9"/>
        <v>309.5</v>
      </c>
      <c r="I196">
        <f t="shared" si="10"/>
        <v>3</v>
      </c>
      <c r="J196">
        <f t="shared" si="11"/>
        <v>928.5</v>
      </c>
      <c r="O196">
        <v>539</v>
      </c>
      <c r="P196">
        <v>1212</v>
      </c>
      <c r="R196">
        <v>318</v>
      </c>
      <c r="S196">
        <v>2</v>
      </c>
    </row>
    <row r="197" spans="1:19" ht="26.1" customHeight="1" x14ac:dyDescent="0.2">
      <c r="A197" s="4">
        <v>544</v>
      </c>
      <c r="B197" s="2" t="s">
        <v>7</v>
      </c>
      <c r="C197" s="2" t="s">
        <v>12</v>
      </c>
      <c r="D197" s="2" t="s">
        <v>10</v>
      </c>
      <c r="E197" s="2">
        <v>1042656</v>
      </c>
      <c r="F197" s="3">
        <v>25688</v>
      </c>
      <c r="G197" s="4">
        <v>1014002</v>
      </c>
      <c r="H197">
        <f t="shared" si="9"/>
        <v>1154</v>
      </c>
      <c r="I197">
        <f t="shared" si="10"/>
        <v>0.14285714285714285</v>
      </c>
      <c r="J197">
        <f t="shared" si="11"/>
        <v>164.85714285714286</v>
      </c>
      <c r="O197">
        <v>540</v>
      </c>
      <c r="P197">
        <v>461</v>
      </c>
      <c r="R197">
        <v>324</v>
      </c>
      <c r="S197">
        <v>0.14285714285714285</v>
      </c>
    </row>
    <row r="198" spans="1:19" ht="15" customHeight="1" x14ac:dyDescent="0.2">
      <c r="A198" s="4">
        <v>545</v>
      </c>
      <c r="B198" s="2" t="s">
        <v>7</v>
      </c>
      <c r="C198" s="2" t="s">
        <v>8</v>
      </c>
      <c r="D198" s="2" t="s">
        <v>9</v>
      </c>
      <c r="E198" s="2">
        <v>6769</v>
      </c>
      <c r="F198" s="3">
        <v>25688</v>
      </c>
      <c r="G198" s="4">
        <v>3319002000</v>
      </c>
      <c r="H198">
        <f t="shared" si="9"/>
        <v>309.5</v>
      </c>
      <c r="I198">
        <f t="shared" si="10"/>
        <v>0.33333333333333331</v>
      </c>
      <c r="J198">
        <f t="shared" si="11"/>
        <v>103.16666666666666</v>
      </c>
      <c r="O198">
        <v>542</v>
      </c>
      <c r="P198">
        <v>309.5</v>
      </c>
      <c r="R198">
        <v>330</v>
      </c>
      <c r="S198">
        <v>0.2857142857142857</v>
      </c>
    </row>
    <row r="199" spans="1:19" ht="15" customHeight="1" x14ac:dyDescent="0.2">
      <c r="A199" s="4">
        <v>549</v>
      </c>
      <c r="B199" s="2" t="s">
        <v>7</v>
      </c>
      <c r="C199" s="2" t="s">
        <v>8</v>
      </c>
      <c r="D199" s="2" t="s">
        <v>9</v>
      </c>
      <c r="E199" s="2">
        <v>1853</v>
      </c>
      <c r="F199" s="3">
        <v>25688</v>
      </c>
      <c r="G199" s="4">
        <v>2514001000</v>
      </c>
      <c r="H199">
        <f t="shared" si="9"/>
        <v>309.5</v>
      </c>
      <c r="I199">
        <f t="shared" si="10"/>
        <v>0.14285714285714285</v>
      </c>
      <c r="J199">
        <f t="shared" si="11"/>
        <v>44.214285714285715</v>
      </c>
      <c r="O199">
        <v>544</v>
      </c>
      <c r="P199">
        <v>1154</v>
      </c>
      <c r="R199">
        <v>332</v>
      </c>
      <c r="S199">
        <v>0.66666666666666663</v>
      </c>
    </row>
    <row r="200" spans="1:19" ht="26.1" customHeight="1" x14ac:dyDescent="0.2">
      <c r="A200" s="4">
        <v>550</v>
      </c>
      <c r="B200" s="2" t="s">
        <v>7</v>
      </c>
      <c r="C200" s="2" t="s">
        <v>12</v>
      </c>
      <c r="D200" s="2" t="s">
        <v>10</v>
      </c>
      <c r="E200" s="2">
        <v>987654</v>
      </c>
      <c r="F200" s="3">
        <v>25688</v>
      </c>
      <c r="G200" s="4">
        <v>2641001000</v>
      </c>
      <c r="H200">
        <f t="shared" si="9"/>
        <v>1154</v>
      </c>
      <c r="I200">
        <f t="shared" si="10"/>
        <v>0.42857142857142855</v>
      </c>
      <c r="J200">
        <f t="shared" si="11"/>
        <v>494.57142857142856</v>
      </c>
      <c r="O200">
        <v>545</v>
      </c>
      <c r="P200">
        <v>309.5</v>
      </c>
      <c r="R200">
        <v>336</v>
      </c>
      <c r="S200">
        <v>1.3333333333333333</v>
      </c>
    </row>
    <row r="201" spans="1:19" ht="15" customHeight="1" x14ac:dyDescent="0.2">
      <c r="A201" s="4">
        <v>553</v>
      </c>
      <c r="B201" s="2" t="s">
        <v>13</v>
      </c>
      <c r="C201" s="2" t="s">
        <v>21</v>
      </c>
      <c r="D201" s="2" t="s">
        <v>27</v>
      </c>
      <c r="F201" s="3">
        <v>25688</v>
      </c>
      <c r="G201" s="4">
        <v>1014001</v>
      </c>
      <c r="H201">
        <f t="shared" si="9"/>
        <v>1202.5</v>
      </c>
      <c r="I201">
        <f t="shared" si="10"/>
        <v>0.42857142857142855</v>
      </c>
      <c r="J201">
        <f t="shared" si="11"/>
        <v>515.35714285714278</v>
      </c>
      <c r="O201">
        <v>549</v>
      </c>
      <c r="P201">
        <v>309.5</v>
      </c>
      <c r="R201">
        <v>339</v>
      </c>
      <c r="S201">
        <v>2.1428571428571428</v>
      </c>
    </row>
    <row r="202" spans="1:19" ht="15" customHeight="1" x14ac:dyDescent="0.2">
      <c r="A202" s="4">
        <v>555</v>
      </c>
      <c r="B202" s="2" t="s">
        <v>13</v>
      </c>
      <c r="C202" s="2" t="s">
        <v>21</v>
      </c>
      <c r="D202" s="2" t="s">
        <v>27</v>
      </c>
      <c r="F202" s="3">
        <v>25688</v>
      </c>
      <c r="G202" s="4">
        <v>2558002000</v>
      </c>
      <c r="H202">
        <f t="shared" si="9"/>
        <v>1202.5</v>
      </c>
      <c r="I202">
        <f t="shared" si="10"/>
        <v>0.66666666666666663</v>
      </c>
      <c r="J202">
        <f t="shared" si="11"/>
        <v>801.66666666666663</v>
      </c>
      <c r="O202">
        <v>550</v>
      </c>
      <c r="P202">
        <v>1154</v>
      </c>
      <c r="R202">
        <v>360</v>
      </c>
      <c r="S202">
        <v>0.33333333333333331</v>
      </c>
    </row>
    <row r="203" spans="1:19" ht="26.1" customHeight="1" x14ac:dyDescent="0.2">
      <c r="A203" s="4">
        <v>561</v>
      </c>
      <c r="B203" s="2" t="s">
        <v>11</v>
      </c>
      <c r="C203" s="2" t="s">
        <v>8</v>
      </c>
      <c r="D203" s="2" t="s">
        <v>9</v>
      </c>
      <c r="E203" s="2">
        <v>1984</v>
      </c>
      <c r="F203" s="3">
        <v>25688</v>
      </c>
      <c r="G203" s="4">
        <v>1023000</v>
      </c>
      <c r="H203">
        <f t="shared" si="9"/>
        <v>309.5</v>
      </c>
      <c r="I203">
        <f t="shared" si="10"/>
        <v>0.2857142857142857</v>
      </c>
      <c r="J203">
        <f t="shared" si="11"/>
        <v>88.428571428571431</v>
      </c>
      <c r="O203">
        <v>553</v>
      </c>
      <c r="P203">
        <v>1202.5</v>
      </c>
      <c r="R203">
        <v>366</v>
      </c>
      <c r="S203">
        <v>0.5714285714285714</v>
      </c>
    </row>
    <row r="204" spans="1:19" ht="15" customHeight="1" x14ac:dyDescent="0.2">
      <c r="A204" s="4">
        <v>563</v>
      </c>
      <c r="B204" s="2" t="s">
        <v>7</v>
      </c>
      <c r="C204" s="2" t="s">
        <v>8</v>
      </c>
      <c r="D204" s="2" t="s">
        <v>17</v>
      </c>
      <c r="E204" s="2">
        <v>13625</v>
      </c>
      <c r="F204" s="3">
        <v>25688</v>
      </c>
      <c r="G204" s="4">
        <v>3042074001</v>
      </c>
      <c r="H204">
        <f t="shared" si="9"/>
        <v>461</v>
      </c>
      <c r="I204">
        <f t="shared" si="10"/>
        <v>0.2857142857142857</v>
      </c>
      <c r="J204">
        <f t="shared" si="11"/>
        <v>131.71428571428569</v>
      </c>
      <c r="O204">
        <v>555</v>
      </c>
      <c r="P204">
        <v>1202.5</v>
      </c>
      <c r="R204">
        <v>368</v>
      </c>
      <c r="S204">
        <v>1</v>
      </c>
    </row>
    <row r="205" spans="1:19" ht="26.1" customHeight="1" x14ac:dyDescent="0.2">
      <c r="A205" s="4">
        <v>564</v>
      </c>
      <c r="B205" s="2" t="s">
        <v>11</v>
      </c>
      <c r="C205" s="2" t="s">
        <v>8</v>
      </c>
      <c r="D205" s="2" t="s">
        <v>9</v>
      </c>
      <c r="E205" s="2">
        <v>7402</v>
      </c>
      <c r="F205" s="3">
        <v>25688</v>
      </c>
      <c r="G205" s="4">
        <v>2994001000</v>
      </c>
      <c r="H205">
        <f t="shared" si="9"/>
        <v>309.5</v>
      </c>
      <c r="I205">
        <f t="shared" si="10"/>
        <v>0.5</v>
      </c>
      <c r="J205">
        <f t="shared" si="11"/>
        <v>154.75</v>
      </c>
      <c r="O205">
        <v>561</v>
      </c>
      <c r="P205">
        <v>309.5</v>
      </c>
      <c r="R205">
        <v>369</v>
      </c>
      <c r="S205">
        <v>0.5714285714285714</v>
      </c>
    </row>
    <row r="206" spans="1:19" ht="15" customHeight="1" x14ac:dyDescent="0.2">
      <c r="A206" s="4">
        <v>568</v>
      </c>
      <c r="B206" s="2" t="s">
        <v>13</v>
      </c>
      <c r="C206" s="2" t="s">
        <v>8</v>
      </c>
      <c r="D206" s="2" t="s">
        <v>20</v>
      </c>
      <c r="E206" s="2">
        <v>14208</v>
      </c>
      <c r="F206" s="3">
        <v>25688</v>
      </c>
      <c r="G206" s="4">
        <v>2126001000</v>
      </c>
      <c r="H206">
        <f t="shared" si="9"/>
        <v>1212</v>
      </c>
      <c r="I206">
        <f t="shared" si="10"/>
        <v>1</v>
      </c>
      <c r="J206">
        <f t="shared" si="11"/>
        <v>1212</v>
      </c>
      <c r="O206">
        <v>563</v>
      </c>
      <c r="P206">
        <v>461</v>
      </c>
      <c r="R206">
        <v>374</v>
      </c>
      <c r="S206">
        <v>0.66666666666666663</v>
      </c>
    </row>
    <row r="207" spans="1:19" ht="15" customHeight="1" x14ac:dyDescent="0.2">
      <c r="A207" s="4">
        <v>570</v>
      </c>
      <c r="B207" s="2" t="s">
        <v>13</v>
      </c>
      <c r="C207" s="2" t="s">
        <v>8</v>
      </c>
      <c r="D207" s="2" t="s">
        <v>20</v>
      </c>
      <c r="E207" s="2">
        <v>14190</v>
      </c>
      <c r="F207" s="3">
        <v>25688</v>
      </c>
      <c r="G207" s="4">
        <v>1023000</v>
      </c>
      <c r="H207">
        <f t="shared" si="9"/>
        <v>1212</v>
      </c>
      <c r="I207">
        <f t="shared" si="10"/>
        <v>0.2857142857142857</v>
      </c>
      <c r="J207">
        <f t="shared" si="11"/>
        <v>346.28571428571428</v>
      </c>
      <c r="O207">
        <v>564</v>
      </c>
      <c r="P207">
        <v>309.5</v>
      </c>
      <c r="R207">
        <v>376</v>
      </c>
      <c r="S207">
        <v>0.2857142857142857</v>
      </c>
    </row>
    <row r="208" spans="1:19" ht="15" customHeight="1" x14ac:dyDescent="0.2">
      <c r="A208" s="4">
        <v>571</v>
      </c>
      <c r="B208" s="2" t="s">
        <v>13</v>
      </c>
      <c r="C208" s="2" t="s">
        <v>8</v>
      </c>
      <c r="D208" s="2" t="s">
        <v>18</v>
      </c>
      <c r="E208" s="2">
        <v>14189</v>
      </c>
      <c r="F208" s="3">
        <v>25688</v>
      </c>
      <c r="G208" s="4">
        <v>3042058002</v>
      </c>
      <c r="H208">
        <f t="shared" si="9"/>
        <v>1212</v>
      </c>
      <c r="I208">
        <f t="shared" si="10"/>
        <v>1.2857142857142858</v>
      </c>
      <c r="J208">
        <f t="shared" si="11"/>
        <v>1558.2857142857144</v>
      </c>
      <c r="O208">
        <v>568</v>
      </c>
      <c r="P208">
        <v>1212</v>
      </c>
      <c r="R208">
        <v>379</v>
      </c>
      <c r="S208">
        <v>9.5238095238095233E-2</v>
      </c>
    </row>
    <row r="209" spans="1:19" ht="15" customHeight="1" x14ac:dyDescent="0.2">
      <c r="A209" s="4">
        <v>572</v>
      </c>
      <c r="B209" s="2" t="s">
        <v>13</v>
      </c>
      <c r="C209" s="2" t="s">
        <v>8</v>
      </c>
      <c r="D209" s="2" t="s">
        <v>20</v>
      </c>
      <c r="E209" s="2">
        <v>14188</v>
      </c>
      <c r="F209" s="3">
        <v>25688</v>
      </c>
      <c r="G209" s="4">
        <v>3370005000</v>
      </c>
      <c r="H209">
        <f t="shared" si="9"/>
        <v>1212</v>
      </c>
      <c r="I209">
        <f t="shared" si="10"/>
        <v>1.2857142857142858</v>
      </c>
      <c r="J209">
        <f t="shared" si="11"/>
        <v>1558.2857142857144</v>
      </c>
      <c r="O209">
        <v>570</v>
      </c>
      <c r="P209">
        <v>1212</v>
      </c>
      <c r="R209">
        <v>381</v>
      </c>
      <c r="S209">
        <v>1</v>
      </c>
    </row>
    <row r="210" spans="1:19" ht="15" customHeight="1" x14ac:dyDescent="0.2">
      <c r="A210" s="4">
        <v>573</v>
      </c>
      <c r="B210" s="2" t="s">
        <v>13</v>
      </c>
      <c r="C210" s="2" t="s">
        <v>8</v>
      </c>
      <c r="D210" s="2" t="s">
        <v>20</v>
      </c>
      <c r="E210" s="2">
        <v>14185</v>
      </c>
      <c r="F210" s="3">
        <v>25688</v>
      </c>
      <c r="G210" s="4">
        <v>1068019000</v>
      </c>
      <c r="H210">
        <f t="shared" si="9"/>
        <v>1212</v>
      </c>
      <c r="I210">
        <f t="shared" si="10"/>
        <v>0.2857142857142857</v>
      </c>
      <c r="J210">
        <f t="shared" si="11"/>
        <v>346.28571428571428</v>
      </c>
      <c r="O210">
        <v>571</v>
      </c>
      <c r="P210">
        <v>1212</v>
      </c>
      <c r="R210">
        <v>382</v>
      </c>
      <c r="S210">
        <v>0.2857142857142857</v>
      </c>
    </row>
    <row r="211" spans="1:19" ht="15" customHeight="1" x14ac:dyDescent="0.2">
      <c r="A211" s="4">
        <v>575</v>
      </c>
      <c r="B211" s="2" t="s">
        <v>13</v>
      </c>
      <c r="C211" s="2" t="s">
        <v>8</v>
      </c>
      <c r="D211" s="2" t="s">
        <v>20</v>
      </c>
      <c r="E211" s="2">
        <v>14203</v>
      </c>
      <c r="F211" s="3">
        <v>25688</v>
      </c>
      <c r="G211" s="4">
        <v>2548063000</v>
      </c>
      <c r="H211">
        <f t="shared" si="9"/>
        <v>1212</v>
      </c>
      <c r="I211">
        <f t="shared" si="10"/>
        <v>0.19047619047619047</v>
      </c>
      <c r="J211">
        <f t="shared" si="11"/>
        <v>230.85714285714283</v>
      </c>
      <c r="O211">
        <v>572</v>
      </c>
      <c r="P211">
        <v>1212</v>
      </c>
      <c r="R211">
        <v>385</v>
      </c>
      <c r="S211">
        <v>0.2857142857142857</v>
      </c>
    </row>
    <row r="212" spans="1:19" ht="15" customHeight="1" x14ac:dyDescent="0.2">
      <c r="A212" s="4">
        <v>576</v>
      </c>
      <c r="B212" s="2" t="s">
        <v>13</v>
      </c>
      <c r="C212" s="2" t="s">
        <v>8</v>
      </c>
      <c r="D212" s="2" t="s">
        <v>18</v>
      </c>
      <c r="E212" s="2">
        <v>14195</v>
      </c>
      <c r="F212" s="3">
        <v>25688</v>
      </c>
      <c r="G212" s="4">
        <v>61007000</v>
      </c>
      <c r="H212">
        <f t="shared" si="9"/>
        <v>1212</v>
      </c>
      <c r="I212">
        <f t="shared" si="10"/>
        <v>0.14285714285714285</v>
      </c>
      <c r="J212">
        <f t="shared" si="11"/>
        <v>173.14285714285714</v>
      </c>
      <c r="O212">
        <v>573</v>
      </c>
      <c r="P212">
        <v>1212</v>
      </c>
      <c r="R212">
        <v>395</v>
      </c>
      <c r="S212">
        <v>0.2</v>
      </c>
    </row>
    <row r="213" spans="1:19" ht="15" customHeight="1" x14ac:dyDescent="0.2">
      <c r="A213" s="4">
        <v>577</v>
      </c>
      <c r="B213" s="2" t="s">
        <v>13</v>
      </c>
      <c r="C213" s="2" t="s">
        <v>8</v>
      </c>
      <c r="D213" s="2" t="s">
        <v>20</v>
      </c>
      <c r="E213" s="2">
        <v>14193</v>
      </c>
      <c r="F213" s="3">
        <v>25688</v>
      </c>
      <c r="G213" s="4">
        <v>3042004002</v>
      </c>
      <c r="H213">
        <f t="shared" si="9"/>
        <v>1212</v>
      </c>
      <c r="I213">
        <f t="shared" si="10"/>
        <v>0.14285714285714285</v>
      </c>
      <c r="J213">
        <f t="shared" si="11"/>
        <v>173.14285714285714</v>
      </c>
      <c r="O213">
        <v>575</v>
      </c>
      <c r="P213">
        <v>1212</v>
      </c>
      <c r="R213">
        <v>397</v>
      </c>
      <c r="S213">
        <v>0.2</v>
      </c>
    </row>
    <row r="214" spans="1:19" ht="15" customHeight="1" x14ac:dyDescent="0.2">
      <c r="A214" s="4">
        <v>579</v>
      </c>
      <c r="B214" s="2" t="s">
        <v>13</v>
      </c>
      <c r="C214" s="2" t="s">
        <v>14</v>
      </c>
      <c r="D214" s="2" t="s">
        <v>15</v>
      </c>
      <c r="E214" s="2">
        <v>117412</v>
      </c>
      <c r="F214" s="3">
        <v>25688</v>
      </c>
      <c r="G214" s="4">
        <v>1068009000</v>
      </c>
      <c r="H214">
        <f t="shared" si="9"/>
        <v>1091</v>
      </c>
      <c r="I214">
        <f t="shared" si="10"/>
        <v>0.14285714285714285</v>
      </c>
      <c r="J214">
        <f t="shared" si="11"/>
        <v>155.85714285714286</v>
      </c>
      <c r="O214">
        <v>576</v>
      </c>
      <c r="P214">
        <v>1212</v>
      </c>
      <c r="R214">
        <v>398</v>
      </c>
      <c r="S214">
        <v>0.33333333333333331</v>
      </c>
    </row>
    <row r="215" spans="1:19" ht="15" customHeight="1" x14ac:dyDescent="0.2">
      <c r="A215" s="4">
        <v>585</v>
      </c>
      <c r="B215" s="2" t="s">
        <v>13</v>
      </c>
      <c r="C215" s="2" t="s">
        <v>14</v>
      </c>
      <c r="D215" s="2" t="s">
        <v>45</v>
      </c>
      <c r="E215" s="2">
        <v>158</v>
      </c>
      <c r="F215" s="3">
        <v>25688</v>
      </c>
      <c r="G215" s="4">
        <v>2053001000</v>
      </c>
      <c r="H215">
        <f t="shared" si="9"/>
        <v>0</v>
      </c>
      <c r="I215">
        <f t="shared" si="10"/>
        <v>0.14285714285714285</v>
      </c>
      <c r="J215">
        <f t="shared" si="11"/>
        <v>0</v>
      </c>
      <c r="O215">
        <v>577</v>
      </c>
      <c r="P215">
        <v>1212</v>
      </c>
      <c r="R215">
        <v>399</v>
      </c>
      <c r="S215">
        <v>0.2857142857142857</v>
      </c>
    </row>
    <row r="216" spans="1:19" ht="15" customHeight="1" x14ac:dyDescent="0.2">
      <c r="A216" s="4">
        <v>587</v>
      </c>
      <c r="B216" s="2" t="s">
        <v>13</v>
      </c>
      <c r="C216" s="2" t="s">
        <v>14</v>
      </c>
      <c r="D216" s="2" t="s">
        <v>46</v>
      </c>
      <c r="E216" s="2">
        <v>3838</v>
      </c>
      <c r="F216" s="3">
        <v>35765</v>
      </c>
      <c r="G216" s="4">
        <v>1014001</v>
      </c>
      <c r="H216">
        <f t="shared" si="9"/>
        <v>1243.5</v>
      </c>
      <c r="I216">
        <f t="shared" si="10"/>
        <v>0.2857142857142857</v>
      </c>
      <c r="J216">
        <f t="shared" si="11"/>
        <v>355.28571428571428</v>
      </c>
      <c r="O216">
        <v>579</v>
      </c>
      <c r="P216">
        <v>1091</v>
      </c>
      <c r="R216">
        <v>404</v>
      </c>
      <c r="S216">
        <v>9.5238095238095233E-2</v>
      </c>
    </row>
    <row r="217" spans="1:19" ht="15" customHeight="1" x14ac:dyDescent="0.2">
      <c r="A217" s="4">
        <v>589</v>
      </c>
      <c r="B217" s="2" t="s">
        <v>13</v>
      </c>
      <c r="C217" s="2" t="s">
        <v>12</v>
      </c>
      <c r="D217" s="2">
        <v>2815</v>
      </c>
      <c r="F217" s="3">
        <v>25688</v>
      </c>
      <c r="G217" s="4">
        <v>1068016000</v>
      </c>
      <c r="H217">
        <f t="shared" si="9"/>
        <v>1154</v>
      </c>
      <c r="I217">
        <f t="shared" si="10"/>
        <v>0.2857142857142857</v>
      </c>
      <c r="J217">
        <f t="shared" si="11"/>
        <v>329.71428571428572</v>
      </c>
      <c r="O217">
        <v>585</v>
      </c>
      <c r="P217">
        <v>0</v>
      </c>
      <c r="R217">
        <v>408</v>
      </c>
      <c r="S217">
        <v>0.33333333333333331</v>
      </c>
    </row>
    <row r="218" spans="1:19" ht="15" customHeight="1" x14ac:dyDescent="0.2">
      <c r="A218" s="4">
        <v>590</v>
      </c>
      <c r="B218" s="2" t="s">
        <v>13</v>
      </c>
      <c r="C218" s="2" t="s">
        <v>14</v>
      </c>
      <c r="D218" s="2" t="s">
        <v>15</v>
      </c>
      <c r="E218" s="2">
        <v>117618</v>
      </c>
      <c r="F218" s="3">
        <v>25688</v>
      </c>
      <c r="G218" s="4">
        <v>193012000</v>
      </c>
      <c r="H218">
        <f t="shared" si="9"/>
        <v>1091</v>
      </c>
      <c r="I218">
        <f t="shared" si="10"/>
        <v>2</v>
      </c>
      <c r="J218">
        <f t="shared" si="11"/>
        <v>2182</v>
      </c>
      <c r="O218">
        <v>587</v>
      </c>
      <c r="P218">
        <v>1243.5</v>
      </c>
      <c r="R218">
        <v>410</v>
      </c>
      <c r="S218">
        <v>2</v>
      </c>
    </row>
    <row r="219" spans="1:19" ht="15" customHeight="1" x14ac:dyDescent="0.2">
      <c r="A219" s="4">
        <v>595</v>
      </c>
      <c r="B219" s="2" t="s">
        <v>7</v>
      </c>
      <c r="C219" s="2" t="s">
        <v>8</v>
      </c>
      <c r="D219" s="2" t="s">
        <v>17</v>
      </c>
      <c r="E219" s="2">
        <v>8732</v>
      </c>
      <c r="F219" s="3">
        <v>25688</v>
      </c>
      <c r="G219" s="4">
        <v>193012000</v>
      </c>
      <c r="H219">
        <f t="shared" si="9"/>
        <v>461</v>
      </c>
      <c r="I219">
        <f t="shared" si="10"/>
        <v>3</v>
      </c>
      <c r="J219">
        <f t="shared" si="11"/>
        <v>1383</v>
      </c>
      <c r="O219">
        <v>589</v>
      </c>
      <c r="P219">
        <v>1154</v>
      </c>
      <c r="R219">
        <v>411</v>
      </c>
      <c r="S219">
        <v>0.14285714285714285</v>
      </c>
    </row>
    <row r="220" spans="1:19" ht="15" customHeight="1" x14ac:dyDescent="0.2">
      <c r="A220" s="4">
        <v>596</v>
      </c>
      <c r="B220" s="2" t="s">
        <v>13</v>
      </c>
      <c r="C220" s="2" t="s">
        <v>14</v>
      </c>
      <c r="D220" s="2" t="s">
        <v>15</v>
      </c>
      <c r="E220" s="2">
        <v>115722</v>
      </c>
      <c r="F220" s="3">
        <v>25688</v>
      </c>
      <c r="G220" s="4">
        <v>1747001000</v>
      </c>
      <c r="H220">
        <f t="shared" si="9"/>
        <v>1091</v>
      </c>
      <c r="I220">
        <f t="shared" si="10"/>
        <v>0.14285714285714285</v>
      </c>
      <c r="J220">
        <f t="shared" si="11"/>
        <v>155.85714285714286</v>
      </c>
      <c r="O220">
        <v>590</v>
      </c>
      <c r="P220">
        <v>1091</v>
      </c>
      <c r="R220">
        <v>412</v>
      </c>
      <c r="S220">
        <v>0.4</v>
      </c>
    </row>
    <row r="221" spans="1:19" ht="15" customHeight="1" x14ac:dyDescent="0.2">
      <c r="A221" s="4">
        <v>597</v>
      </c>
      <c r="B221" s="2" t="s">
        <v>7</v>
      </c>
      <c r="C221" s="2" t="s">
        <v>8</v>
      </c>
      <c r="D221" s="2" t="s">
        <v>9</v>
      </c>
      <c r="E221" s="2">
        <v>6949</v>
      </c>
      <c r="F221" s="3">
        <v>25688</v>
      </c>
      <c r="G221" s="4">
        <v>3178010000</v>
      </c>
      <c r="H221">
        <f t="shared" si="9"/>
        <v>309.5</v>
      </c>
      <c r="I221">
        <f t="shared" si="10"/>
        <v>0.5714285714285714</v>
      </c>
      <c r="J221">
        <f t="shared" si="11"/>
        <v>176.85714285714286</v>
      </c>
      <c r="O221">
        <v>595</v>
      </c>
      <c r="P221">
        <v>461</v>
      </c>
      <c r="R221">
        <v>413</v>
      </c>
      <c r="S221">
        <v>1</v>
      </c>
    </row>
    <row r="222" spans="1:19" ht="15" customHeight="1" x14ac:dyDescent="0.2">
      <c r="A222" s="4">
        <v>598</v>
      </c>
      <c r="B222" s="2" t="s">
        <v>7</v>
      </c>
      <c r="C222" s="2" t="s">
        <v>47</v>
      </c>
      <c r="D222" s="2" t="s">
        <v>48</v>
      </c>
      <c r="F222" s="3">
        <v>25688</v>
      </c>
      <c r="G222" s="4">
        <v>1014001</v>
      </c>
      <c r="H222">
        <f t="shared" si="9"/>
        <v>1091</v>
      </c>
      <c r="I222">
        <f t="shared" si="10"/>
        <v>0.5714285714285714</v>
      </c>
      <c r="J222">
        <f t="shared" si="11"/>
        <v>623.42857142857144</v>
      </c>
      <c r="O222">
        <v>596</v>
      </c>
      <c r="P222">
        <v>1091</v>
      </c>
      <c r="R222">
        <v>415</v>
      </c>
      <c r="S222">
        <v>0.33333333333333331</v>
      </c>
    </row>
    <row r="223" spans="1:19" ht="15" customHeight="1" x14ac:dyDescent="0.2">
      <c r="A223" s="4">
        <v>606</v>
      </c>
      <c r="B223" s="2" t="s">
        <v>13</v>
      </c>
      <c r="C223" s="2" t="s">
        <v>8</v>
      </c>
      <c r="D223" s="2" t="s">
        <v>20</v>
      </c>
      <c r="E223" s="2">
        <v>8184</v>
      </c>
      <c r="F223" s="3">
        <v>25688</v>
      </c>
      <c r="G223" s="4">
        <v>1550001000</v>
      </c>
      <c r="H223">
        <f t="shared" si="9"/>
        <v>1212</v>
      </c>
      <c r="I223">
        <f t="shared" si="10"/>
        <v>6.6666666666666666E-2</v>
      </c>
      <c r="J223">
        <f t="shared" si="11"/>
        <v>80.8</v>
      </c>
      <c r="O223">
        <v>597</v>
      </c>
      <c r="P223">
        <v>309.5</v>
      </c>
      <c r="R223">
        <v>416</v>
      </c>
      <c r="S223">
        <v>0.2857142857142857</v>
      </c>
    </row>
    <row r="224" spans="1:19" ht="15" customHeight="1" x14ac:dyDescent="0.2">
      <c r="A224" s="4">
        <v>607</v>
      </c>
      <c r="B224" s="2" t="s">
        <v>7</v>
      </c>
      <c r="C224" s="2" t="s">
        <v>12</v>
      </c>
      <c r="D224" s="2" t="s">
        <v>10</v>
      </c>
      <c r="F224" s="3">
        <v>25688</v>
      </c>
      <c r="G224" s="4">
        <v>1023000</v>
      </c>
      <c r="H224">
        <f t="shared" si="9"/>
        <v>1154</v>
      </c>
      <c r="I224">
        <f t="shared" si="10"/>
        <v>0.14285714285714285</v>
      </c>
      <c r="J224">
        <f t="shared" si="11"/>
        <v>164.85714285714286</v>
      </c>
      <c r="O224">
        <v>598</v>
      </c>
      <c r="P224">
        <v>1091</v>
      </c>
      <c r="R224">
        <v>420</v>
      </c>
      <c r="S224">
        <v>0.19047619047619047</v>
      </c>
    </row>
    <row r="225" spans="1:19" ht="15" customHeight="1" x14ac:dyDescent="0.2">
      <c r="A225" s="4">
        <v>609</v>
      </c>
      <c r="B225" s="2" t="s">
        <v>13</v>
      </c>
      <c r="C225" s="2" t="s">
        <v>12</v>
      </c>
      <c r="D225" s="2">
        <v>2815</v>
      </c>
      <c r="E225" s="2">
        <v>19703</v>
      </c>
      <c r="F225" s="3">
        <v>25688</v>
      </c>
      <c r="G225" s="4">
        <v>1014001</v>
      </c>
      <c r="H225">
        <f t="shared" si="9"/>
        <v>1154</v>
      </c>
      <c r="I225">
        <f t="shared" si="10"/>
        <v>0.14285714285714285</v>
      </c>
      <c r="J225">
        <f t="shared" si="11"/>
        <v>164.85714285714286</v>
      </c>
      <c r="O225">
        <v>606</v>
      </c>
      <c r="P225">
        <v>1212</v>
      </c>
      <c r="R225">
        <v>421</v>
      </c>
      <c r="S225">
        <v>3.3333333333333333E-2</v>
      </c>
    </row>
    <row r="226" spans="1:19" ht="15" customHeight="1" x14ac:dyDescent="0.2">
      <c r="A226" s="4">
        <v>620</v>
      </c>
      <c r="B226" s="2" t="s">
        <v>7</v>
      </c>
      <c r="C226" s="2" t="s">
        <v>12</v>
      </c>
      <c r="D226" s="2" t="s">
        <v>10</v>
      </c>
      <c r="F226" s="3">
        <v>25688</v>
      </c>
      <c r="G226" s="4">
        <v>1550001000</v>
      </c>
      <c r="H226">
        <f t="shared" si="9"/>
        <v>1154</v>
      </c>
      <c r="I226">
        <f t="shared" si="10"/>
        <v>0.2857142857142857</v>
      </c>
      <c r="J226">
        <f t="shared" si="11"/>
        <v>329.71428571428572</v>
      </c>
      <c r="O226">
        <v>607</v>
      </c>
      <c r="P226">
        <v>1154</v>
      </c>
      <c r="R226">
        <v>421</v>
      </c>
      <c r="S226">
        <v>1</v>
      </c>
    </row>
    <row r="227" spans="1:19" ht="26.1" customHeight="1" x14ac:dyDescent="0.2">
      <c r="A227" s="4">
        <v>622</v>
      </c>
      <c r="B227" s="2" t="s">
        <v>11</v>
      </c>
      <c r="C227" s="2" t="s">
        <v>8</v>
      </c>
      <c r="D227" s="2" t="s">
        <v>9</v>
      </c>
      <c r="E227" s="2">
        <v>1224</v>
      </c>
      <c r="F227" s="3">
        <v>25688</v>
      </c>
      <c r="G227" s="4">
        <v>1614002000</v>
      </c>
      <c r="H227">
        <f t="shared" si="9"/>
        <v>309.5</v>
      </c>
      <c r="I227">
        <f t="shared" si="10"/>
        <v>0.33333333333333331</v>
      </c>
      <c r="J227">
        <f t="shared" si="11"/>
        <v>103.16666666666666</v>
      </c>
      <c r="O227">
        <v>609</v>
      </c>
      <c r="P227">
        <v>1154</v>
      </c>
      <c r="R227">
        <v>423</v>
      </c>
      <c r="S227">
        <v>0.5714285714285714</v>
      </c>
    </row>
    <row r="228" spans="1:19" ht="15" customHeight="1" x14ac:dyDescent="0.2">
      <c r="A228" s="4">
        <v>625</v>
      </c>
      <c r="B228" s="2" t="s">
        <v>13</v>
      </c>
      <c r="C228" s="2" t="s">
        <v>14</v>
      </c>
      <c r="D228" s="2" t="s">
        <v>15</v>
      </c>
      <c r="E228" s="2">
        <v>117595</v>
      </c>
      <c r="F228" s="3">
        <v>25688</v>
      </c>
      <c r="G228" s="4">
        <v>1014001</v>
      </c>
      <c r="H228">
        <f t="shared" si="9"/>
        <v>1091</v>
      </c>
      <c r="I228">
        <f t="shared" si="10"/>
        <v>0.33333333333333331</v>
      </c>
      <c r="J228">
        <f t="shared" si="11"/>
        <v>363.66666666666663</v>
      </c>
      <c r="O228">
        <v>620</v>
      </c>
      <c r="P228">
        <v>1154</v>
      </c>
      <c r="R228">
        <v>426</v>
      </c>
      <c r="S228">
        <v>0.53333333333333333</v>
      </c>
    </row>
    <row r="229" spans="1:19" ht="15" customHeight="1" x14ac:dyDescent="0.2">
      <c r="A229" s="4">
        <v>626</v>
      </c>
      <c r="B229" s="2" t="s">
        <v>7</v>
      </c>
      <c r="C229" s="2" t="s">
        <v>8</v>
      </c>
      <c r="D229" s="2" t="s">
        <v>9</v>
      </c>
      <c r="E229" s="2">
        <v>7236</v>
      </c>
      <c r="F229" s="3">
        <v>25688</v>
      </c>
      <c r="G229" s="4">
        <v>953011000</v>
      </c>
      <c r="H229">
        <f t="shared" si="9"/>
        <v>309.5</v>
      </c>
      <c r="I229">
        <f t="shared" si="10"/>
        <v>0.5</v>
      </c>
      <c r="J229">
        <f t="shared" si="11"/>
        <v>154.75</v>
      </c>
      <c r="O229">
        <v>622</v>
      </c>
      <c r="P229">
        <v>309.5</v>
      </c>
      <c r="R229">
        <v>428</v>
      </c>
      <c r="S229">
        <v>3</v>
      </c>
    </row>
    <row r="230" spans="1:19" ht="15" customHeight="1" x14ac:dyDescent="0.2">
      <c r="A230" s="4">
        <v>628</v>
      </c>
      <c r="B230" s="2" t="s">
        <v>13</v>
      </c>
      <c r="C230" s="2" t="s">
        <v>14</v>
      </c>
      <c r="D230" s="2" t="s">
        <v>15</v>
      </c>
      <c r="E230" s="2">
        <v>116864</v>
      </c>
      <c r="F230" s="3">
        <v>25688</v>
      </c>
      <c r="G230" s="4">
        <v>66011000</v>
      </c>
      <c r="H230">
        <f t="shared" si="9"/>
        <v>1091</v>
      </c>
      <c r="I230">
        <f t="shared" si="10"/>
        <v>0.14285714285714285</v>
      </c>
      <c r="J230">
        <f t="shared" si="11"/>
        <v>155.85714285714286</v>
      </c>
      <c r="O230">
        <v>625</v>
      </c>
      <c r="P230">
        <v>1091</v>
      </c>
      <c r="R230">
        <v>433</v>
      </c>
      <c r="S230">
        <v>0.42857142857142855</v>
      </c>
    </row>
    <row r="231" spans="1:19" ht="15" customHeight="1" x14ac:dyDescent="0.2">
      <c r="A231" s="4">
        <v>629</v>
      </c>
      <c r="B231" s="2" t="s">
        <v>49</v>
      </c>
      <c r="C231" s="2" t="s">
        <v>50</v>
      </c>
      <c r="D231" s="2" t="s">
        <v>10</v>
      </c>
      <c r="E231" s="2">
        <v>7707</v>
      </c>
      <c r="F231" s="3">
        <v>25688</v>
      </c>
      <c r="G231" s="4">
        <v>1014001</v>
      </c>
      <c r="H231">
        <f t="shared" si="9"/>
        <v>2854</v>
      </c>
      <c r="I231">
        <f t="shared" si="10"/>
        <v>0.14285714285714285</v>
      </c>
      <c r="J231">
        <f t="shared" si="11"/>
        <v>407.71428571428567</v>
      </c>
      <c r="O231">
        <v>626</v>
      </c>
      <c r="P231">
        <v>309.5</v>
      </c>
      <c r="R231">
        <v>435</v>
      </c>
      <c r="S231">
        <v>0.5</v>
      </c>
    </row>
    <row r="232" spans="1:19" ht="15" customHeight="1" x14ac:dyDescent="0.2">
      <c r="A232" s="4">
        <v>649</v>
      </c>
      <c r="B232" s="2" t="s">
        <v>51</v>
      </c>
      <c r="C232" s="2" t="s">
        <v>14</v>
      </c>
      <c r="D232" s="2" t="s">
        <v>52</v>
      </c>
      <c r="E232" s="2">
        <v>22560</v>
      </c>
      <c r="F232" s="3">
        <v>25688</v>
      </c>
      <c r="G232" s="4">
        <v>3073001000</v>
      </c>
      <c r="H232">
        <f t="shared" si="9"/>
        <v>512</v>
      </c>
      <c r="I232">
        <f t="shared" si="10"/>
        <v>0.42857142857142855</v>
      </c>
      <c r="J232">
        <f t="shared" si="11"/>
        <v>219.42857142857142</v>
      </c>
      <c r="O232">
        <v>628</v>
      </c>
      <c r="P232">
        <v>1091</v>
      </c>
      <c r="R232">
        <v>436</v>
      </c>
      <c r="S232">
        <v>0.42857142857142855</v>
      </c>
    </row>
    <row r="233" spans="1:19" ht="15" customHeight="1" x14ac:dyDescent="0.2">
      <c r="A233" s="4">
        <v>651</v>
      </c>
      <c r="B233" s="2" t="s">
        <v>7</v>
      </c>
      <c r="C233" s="2" t="s">
        <v>14</v>
      </c>
      <c r="D233" s="2" t="s">
        <v>23</v>
      </c>
      <c r="E233" s="2">
        <v>22984</v>
      </c>
      <c r="F233" s="3">
        <v>25688</v>
      </c>
      <c r="G233" s="4">
        <v>3135003000</v>
      </c>
      <c r="H233">
        <f t="shared" si="9"/>
        <v>629</v>
      </c>
      <c r="I233">
        <f t="shared" si="10"/>
        <v>0.14285714285714285</v>
      </c>
      <c r="J233">
        <f t="shared" si="11"/>
        <v>89.857142857142847</v>
      </c>
      <c r="O233">
        <v>629</v>
      </c>
      <c r="P233">
        <v>2854</v>
      </c>
      <c r="R233">
        <v>438</v>
      </c>
      <c r="S233">
        <v>0.2857142857142857</v>
      </c>
    </row>
    <row r="234" spans="1:19" ht="26.1" customHeight="1" x14ac:dyDescent="0.2">
      <c r="A234" s="4">
        <v>652</v>
      </c>
      <c r="B234" s="2" t="s">
        <v>11</v>
      </c>
      <c r="C234" s="2" t="s">
        <v>12</v>
      </c>
      <c r="D234" s="2" t="s">
        <v>10</v>
      </c>
      <c r="E234" s="2">
        <v>56789</v>
      </c>
      <c r="F234" s="3">
        <v>25688</v>
      </c>
      <c r="G234" s="4">
        <v>1165000000</v>
      </c>
      <c r="H234">
        <f t="shared" si="9"/>
        <v>1154</v>
      </c>
      <c r="I234">
        <f t="shared" si="10"/>
        <v>0.5714285714285714</v>
      </c>
      <c r="J234">
        <f t="shared" si="11"/>
        <v>659.42857142857144</v>
      </c>
      <c r="O234">
        <v>649</v>
      </c>
      <c r="P234">
        <v>512</v>
      </c>
      <c r="R234">
        <v>440</v>
      </c>
      <c r="S234">
        <v>0.53333333333333333</v>
      </c>
    </row>
    <row r="235" spans="1:19" ht="15" customHeight="1" x14ac:dyDescent="0.2">
      <c r="A235" s="4">
        <v>654</v>
      </c>
      <c r="B235" s="2" t="s">
        <v>7</v>
      </c>
      <c r="C235" s="2" t="s">
        <v>8</v>
      </c>
      <c r="D235" s="2" t="s">
        <v>9</v>
      </c>
      <c r="E235" s="2">
        <v>1072</v>
      </c>
      <c r="F235" s="3">
        <v>25688</v>
      </c>
      <c r="G235" s="4">
        <v>3288001000</v>
      </c>
      <c r="H235">
        <f t="shared" si="9"/>
        <v>309.5</v>
      </c>
      <c r="I235">
        <f t="shared" si="10"/>
        <v>0.33333333333333331</v>
      </c>
      <c r="J235">
        <f t="shared" si="11"/>
        <v>103.16666666666666</v>
      </c>
      <c r="O235">
        <v>651</v>
      </c>
      <c r="P235">
        <v>629</v>
      </c>
      <c r="R235">
        <v>442</v>
      </c>
      <c r="S235">
        <v>0.05</v>
      </c>
    </row>
    <row r="236" spans="1:19" ht="15" customHeight="1" x14ac:dyDescent="0.2">
      <c r="A236" s="4">
        <v>655</v>
      </c>
      <c r="B236" s="2" t="s">
        <v>7</v>
      </c>
      <c r="C236" s="2" t="s">
        <v>8</v>
      </c>
      <c r="D236" s="2" t="s">
        <v>9</v>
      </c>
      <c r="E236" s="2">
        <v>7946</v>
      </c>
      <c r="F236" s="3">
        <v>25688</v>
      </c>
      <c r="G236" s="4">
        <v>3178005000</v>
      </c>
      <c r="H236">
        <f t="shared" si="9"/>
        <v>309.5</v>
      </c>
      <c r="I236">
        <f t="shared" si="10"/>
        <v>0.21428571428571427</v>
      </c>
      <c r="J236">
        <f t="shared" si="11"/>
        <v>66.321428571428569</v>
      </c>
      <c r="O236">
        <v>652</v>
      </c>
      <c r="P236">
        <v>1154</v>
      </c>
      <c r="R236">
        <v>445</v>
      </c>
      <c r="S236">
        <v>9.5238095238095233E-2</v>
      </c>
    </row>
    <row r="237" spans="1:19" ht="15" customHeight="1" x14ac:dyDescent="0.2">
      <c r="A237" s="4">
        <v>658</v>
      </c>
      <c r="B237" s="2" t="s">
        <v>7</v>
      </c>
      <c r="C237" s="2" t="s">
        <v>8</v>
      </c>
      <c r="D237" s="2" t="s">
        <v>9</v>
      </c>
      <c r="E237" s="2">
        <v>11290</v>
      </c>
      <c r="F237" s="3">
        <v>25688</v>
      </c>
      <c r="G237" s="4">
        <v>1532001000</v>
      </c>
      <c r="H237">
        <f t="shared" si="9"/>
        <v>309.5</v>
      </c>
      <c r="I237">
        <f t="shared" si="10"/>
        <v>0.21428571428571427</v>
      </c>
      <c r="J237">
        <f t="shared" si="11"/>
        <v>66.321428571428569</v>
      </c>
      <c r="O237">
        <v>654</v>
      </c>
      <c r="P237">
        <v>309.5</v>
      </c>
      <c r="R237">
        <v>446</v>
      </c>
      <c r="S237">
        <v>1</v>
      </c>
    </row>
    <row r="238" spans="1:19" ht="15" customHeight="1" x14ac:dyDescent="0.2">
      <c r="A238" s="4">
        <v>666</v>
      </c>
      <c r="B238" s="2" t="s">
        <v>7</v>
      </c>
      <c r="C238" s="2" t="s">
        <v>8</v>
      </c>
      <c r="D238" s="2" t="s">
        <v>9</v>
      </c>
      <c r="E238" s="2">
        <v>832</v>
      </c>
      <c r="F238" s="3">
        <v>25688</v>
      </c>
      <c r="G238" s="4">
        <v>3042127001</v>
      </c>
      <c r="H238">
        <f t="shared" si="9"/>
        <v>309.5</v>
      </c>
      <c r="I238">
        <f t="shared" si="10"/>
        <v>0.2857142857142857</v>
      </c>
      <c r="J238">
        <f t="shared" si="11"/>
        <v>88.428571428571431</v>
      </c>
      <c r="O238">
        <v>655</v>
      </c>
      <c r="P238">
        <v>309.5</v>
      </c>
      <c r="R238">
        <v>447</v>
      </c>
      <c r="S238">
        <v>0.26666666666666666</v>
      </c>
    </row>
    <row r="239" spans="1:19" ht="26.1" customHeight="1" x14ac:dyDescent="0.2">
      <c r="A239" s="4">
        <v>670</v>
      </c>
      <c r="B239" s="2" t="s">
        <v>11</v>
      </c>
      <c r="C239" s="2" t="s">
        <v>12</v>
      </c>
      <c r="D239" s="2" t="s">
        <v>10</v>
      </c>
      <c r="E239" s="2">
        <v>34567890</v>
      </c>
      <c r="F239" s="3">
        <v>25688</v>
      </c>
      <c r="G239" s="4">
        <v>1165000000</v>
      </c>
      <c r="H239">
        <f t="shared" si="9"/>
        <v>1154</v>
      </c>
      <c r="I239">
        <f t="shared" si="10"/>
        <v>0.5714285714285714</v>
      </c>
      <c r="J239">
        <f t="shared" si="11"/>
        <v>659.42857142857144</v>
      </c>
      <c r="O239">
        <v>658</v>
      </c>
      <c r="P239">
        <v>309.5</v>
      </c>
      <c r="R239">
        <v>451</v>
      </c>
      <c r="S239">
        <v>0.13333333333333333</v>
      </c>
    </row>
    <row r="240" spans="1:19" ht="15" customHeight="1" x14ac:dyDescent="0.2">
      <c r="A240" s="4">
        <v>674</v>
      </c>
      <c r="B240" s="2" t="s">
        <v>7</v>
      </c>
      <c r="C240" s="2" t="s">
        <v>14</v>
      </c>
      <c r="D240" s="2" t="s">
        <v>53</v>
      </c>
      <c r="E240" s="2" t="s">
        <v>54</v>
      </c>
      <c r="F240" s="3">
        <v>25688</v>
      </c>
      <c r="G240" s="4">
        <v>953017000</v>
      </c>
      <c r="H240">
        <f t="shared" si="9"/>
        <v>629</v>
      </c>
      <c r="I240">
        <f t="shared" si="10"/>
        <v>0.5714285714285714</v>
      </c>
      <c r="J240">
        <f t="shared" si="11"/>
        <v>359.42857142857139</v>
      </c>
      <c r="O240">
        <v>666</v>
      </c>
      <c r="P240">
        <v>309.5</v>
      </c>
      <c r="R240">
        <v>452</v>
      </c>
      <c r="S240">
        <v>1</v>
      </c>
    </row>
    <row r="241" spans="1:19" ht="26.1" customHeight="1" x14ac:dyDescent="0.2">
      <c r="A241" s="4">
        <v>675</v>
      </c>
      <c r="B241" s="2" t="s">
        <v>55</v>
      </c>
      <c r="C241" s="2" t="s">
        <v>56</v>
      </c>
      <c r="D241" s="2" t="s">
        <v>10</v>
      </c>
      <c r="E241" s="2">
        <v>62940</v>
      </c>
      <c r="F241" s="3">
        <v>25688</v>
      </c>
      <c r="G241" s="4">
        <v>1000012</v>
      </c>
      <c r="H241">
        <f t="shared" si="9"/>
        <v>629</v>
      </c>
      <c r="I241">
        <f t="shared" si="10"/>
        <v>0.5714285714285714</v>
      </c>
      <c r="J241">
        <f t="shared" si="11"/>
        <v>359.42857142857139</v>
      </c>
      <c r="O241">
        <v>670</v>
      </c>
      <c r="P241">
        <v>1154</v>
      </c>
      <c r="R241">
        <v>453</v>
      </c>
      <c r="S241">
        <v>0.8571428571428571</v>
      </c>
    </row>
    <row r="242" spans="1:19" ht="15" customHeight="1" x14ac:dyDescent="0.2">
      <c r="A242" s="4">
        <v>678</v>
      </c>
      <c r="B242" s="2" t="s">
        <v>7</v>
      </c>
      <c r="C242" s="2" t="s">
        <v>8</v>
      </c>
      <c r="D242" s="2" t="s">
        <v>9</v>
      </c>
      <c r="E242" s="2">
        <v>854</v>
      </c>
      <c r="F242" s="3">
        <v>25688</v>
      </c>
      <c r="G242" s="4">
        <v>1165000000</v>
      </c>
      <c r="H242">
        <f t="shared" si="9"/>
        <v>309.5</v>
      </c>
      <c r="I242">
        <f t="shared" si="10"/>
        <v>0.5714285714285714</v>
      </c>
      <c r="J242">
        <f t="shared" si="11"/>
        <v>176.85714285714286</v>
      </c>
      <c r="O242">
        <v>674</v>
      </c>
      <c r="P242">
        <v>629</v>
      </c>
      <c r="R242">
        <v>456</v>
      </c>
      <c r="S242">
        <v>2</v>
      </c>
    </row>
    <row r="243" spans="1:19" ht="15" customHeight="1" x14ac:dyDescent="0.2">
      <c r="A243" s="4">
        <v>679</v>
      </c>
      <c r="B243" s="2" t="s">
        <v>7</v>
      </c>
      <c r="C243" s="2" t="s">
        <v>12</v>
      </c>
      <c r="D243" s="2" t="s">
        <v>10</v>
      </c>
      <c r="E243" s="2">
        <v>18411</v>
      </c>
      <c r="F243" s="3">
        <v>25688</v>
      </c>
      <c r="G243" s="4">
        <v>3134001000</v>
      </c>
      <c r="H243">
        <f t="shared" si="9"/>
        <v>1154</v>
      </c>
      <c r="I243">
        <f t="shared" si="10"/>
        <v>0.66666666666666663</v>
      </c>
      <c r="J243">
        <f t="shared" si="11"/>
        <v>769.33333333333326</v>
      </c>
      <c r="O243">
        <v>678</v>
      </c>
      <c r="P243">
        <v>309.5</v>
      </c>
      <c r="R243">
        <v>460</v>
      </c>
      <c r="S243">
        <v>5.5555555555555552E-2</v>
      </c>
    </row>
    <row r="244" spans="1:19" ht="15" customHeight="1" x14ac:dyDescent="0.2">
      <c r="A244" s="4">
        <v>680</v>
      </c>
      <c r="B244" s="2" t="s">
        <v>13</v>
      </c>
      <c r="C244" s="2" t="s">
        <v>14</v>
      </c>
      <c r="D244" s="2" t="s">
        <v>15</v>
      </c>
      <c r="E244" s="2" t="s">
        <v>57</v>
      </c>
      <c r="F244" s="3">
        <v>25688</v>
      </c>
      <c r="G244" s="4">
        <v>1014001</v>
      </c>
      <c r="H244">
        <f t="shared" si="9"/>
        <v>1091</v>
      </c>
      <c r="I244">
        <f t="shared" si="10"/>
        <v>0.66666666666666663</v>
      </c>
      <c r="J244">
        <f t="shared" si="11"/>
        <v>727.33333333333326</v>
      </c>
      <c r="O244">
        <v>679</v>
      </c>
      <c r="P244">
        <v>1154</v>
      </c>
      <c r="R244">
        <v>463</v>
      </c>
      <c r="S244">
        <v>0.2857142857142857</v>
      </c>
    </row>
    <row r="245" spans="1:19" ht="15" customHeight="1" x14ac:dyDescent="0.2">
      <c r="A245" s="4">
        <v>683</v>
      </c>
      <c r="B245" s="2" t="s">
        <v>13</v>
      </c>
      <c r="C245" s="2" t="s">
        <v>8</v>
      </c>
      <c r="D245" s="2" t="s">
        <v>20</v>
      </c>
      <c r="F245" s="3">
        <v>25688</v>
      </c>
      <c r="G245" s="4">
        <v>1165000000</v>
      </c>
      <c r="H245">
        <f t="shared" si="9"/>
        <v>1212</v>
      </c>
      <c r="I245">
        <f t="shared" si="10"/>
        <v>0.2857142857142857</v>
      </c>
      <c r="J245">
        <f t="shared" si="11"/>
        <v>346.28571428571428</v>
      </c>
      <c r="O245">
        <v>680</v>
      </c>
      <c r="P245">
        <v>1091</v>
      </c>
      <c r="R245">
        <v>465</v>
      </c>
      <c r="S245">
        <v>1.7142857142857142</v>
      </c>
    </row>
    <row r="246" spans="1:19" ht="15" customHeight="1" x14ac:dyDescent="0.2">
      <c r="A246" s="4">
        <v>684</v>
      </c>
      <c r="B246" s="2" t="s">
        <v>13</v>
      </c>
      <c r="C246" s="2" t="s">
        <v>8</v>
      </c>
      <c r="D246" s="2" t="s">
        <v>20</v>
      </c>
      <c r="E246" s="2">
        <v>8177</v>
      </c>
      <c r="F246" s="3">
        <v>25688</v>
      </c>
      <c r="G246" s="4">
        <v>3127001000</v>
      </c>
      <c r="H246">
        <f t="shared" si="9"/>
        <v>1212</v>
      </c>
      <c r="I246">
        <f t="shared" si="10"/>
        <v>0.2857142857142857</v>
      </c>
      <c r="J246">
        <f t="shared" si="11"/>
        <v>346.28571428571428</v>
      </c>
      <c r="O246">
        <v>683</v>
      </c>
      <c r="P246">
        <v>1212</v>
      </c>
      <c r="R246">
        <v>469</v>
      </c>
      <c r="S246">
        <v>0.2857142857142857</v>
      </c>
    </row>
    <row r="247" spans="1:19" ht="26.1" customHeight="1" x14ac:dyDescent="0.2">
      <c r="A247" s="4">
        <v>688</v>
      </c>
      <c r="B247" s="2" t="s">
        <v>11</v>
      </c>
      <c r="C247" s="2" t="s">
        <v>12</v>
      </c>
      <c r="D247" s="2" t="s">
        <v>19</v>
      </c>
      <c r="E247" s="2">
        <v>2345</v>
      </c>
      <c r="F247" s="3">
        <v>25688</v>
      </c>
      <c r="G247" s="4">
        <v>2995001000</v>
      </c>
      <c r="H247">
        <f t="shared" si="9"/>
        <v>532</v>
      </c>
      <c r="I247">
        <f t="shared" si="10"/>
        <v>2.5</v>
      </c>
      <c r="J247">
        <f t="shared" si="11"/>
        <v>1330</v>
      </c>
      <c r="O247">
        <v>684</v>
      </c>
      <c r="P247">
        <v>1212</v>
      </c>
      <c r="R247">
        <v>470</v>
      </c>
      <c r="S247">
        <v>2</v>
      </c>
    </row>
    <row r="248" spans="1:19" ht="15" customHeight="1" x14ac:dyDescent="0.2">
      <c r="A248" s="4">
        <v>693</v>
      </c>
      <c r="B248" s="2" t="s">
        <v>13</v>
      </c>
      <c r="C248" s="2" t="s">
        <v>14</v>
      </c>
      <c r="D248" s="2" t="s">
        <v>15</v>
      </c>
      <c r="E248" s="2" t="s">
        <v>58</v>
      </c>
      <c r="F248" s="3">
        <v>25688</v>
      </c>
      <c r="G248" s="4">
        <v>43002000</v>
      </c>
      <c r="H248">
        <f t="shared" si="9"/>
        <v>1091</v>
      </c>
      <c r="I248">
        <f t="shared" si="10"/>
        <v>2</v>
      </c>
      <c r="J248">
        <f t="shared" si="11"/>
        <v>2182</v>
      </c>
      <c r="O248">
        <v>688</v>
      </c>
      <c r="P248">
        <v>532</v>
      </c>
      <c r="R248">
        <v>471</v>
      </c>
      <c r="S248">
        <v>0.2</v>
      </c>
    </row>
    <row r="249" spans="1:19" ht="15" customHeight="1" x14ac:dyDescent="0.2">
      <c r="A249" s="4">
        <v>695</v>
      </c>
      <c r="B249" s="2" t="s">
        <v>7</v>
      </c>
      <c r="C249" s="2" t="s">
        <v>8</v>
      </c>
      <c r="D249" s="2" t="s">
        <v>9</v>
      </c>
      <c r="E249" s="2">
        <v>10140</v>
      </c>
      <c r="F249" s="3">
        <v>25688</v>
      </c>
      <c r="G249" s="4">
        <v>1014001</v>
      </c>
      <c r="H249">
        <f t="shared" si="9"/>
        <v>309.5</v>
      </c>
      <c r="I249">
        <f t="shared" si="10"/>
        <v>2</v>
      </c>
      <c r="J249">
        <f t="shared" si="11"/>
        <v>619</v>
      </c>
      <c r="O249">
        <v>693</v>
      </c>
      <c r="P249">
        <v>1091</v>
      </c>
      <c r="R249">
        <v>474</v>
      </c>
      <c r="S249">
        <v>0.2857142857142857</v>
      </c>
    </row>
    <row r="250" spans="1:19" ht="15" customHeight="1" x14ac:dyDescent="0.2">
      <c r="A250" s="4">
        <v>698</v>
      </c>
      <c r="B250" s="2" t="s">
        <v>13</v>
      </c>
      <c r="C250" s="2" t="s">
        <v>14</v>
      </c>
      <c r="D250" s="2" t="s">
        <v>59</v>
      </c>
      <c r="E250" s="2">
        <v>674</v>
      </c>
      <c r="F250" s="3">
        <v>25688</v>
      </c>
      <c r="G250" s="4">
        <v>1014001</v>
      </c>
      <c r="H250">
        <f t="shared" si="9"/>
        <v>0</v>
      </c>
      <c r="I250">
        <f t="shared" si="10"/>
        <v>2</v>
      </c>
      <c r="J250">
        <f t="shared" si="11"/>
        <v>0</v>
      </c>
      <c r="O250">
        <v>695</v>
      </c>
      <c r="P250">
        <v>309.5</v>
      </c>
      <c r="R250">
        <v>485</v>
      </c>
      <c r="S250">
        <v>2</v>
      </c>
    </row>
    <row r="251" spans="1:19" ht="15" customHeight="1" x14ac:dyDescent="0.2">
      <c r="A251" s="4">
        <v>701</v>
      </c>
      <c r="B251" s="2" t="s">
        <v>7</v>
      </c>
      <c r="C251" s="2" t="s">
        <v>14</v>
      </c>
      <c r="D251" s="2" t="s">
        <v>53</v>
      </c>
      <c r="E251" s="2">
        <v>5846</v>
      </c>
      <c r="F251" s="3">
        <v>25688</v>
      </c>
      <c r="G251" s="4">
        <v>3207016000</v>
      </c>
      <c r="H251">
        <f t="shared" si="9"/>
        <v>629</v>
      </c>
      <c r="I251">
        <f t="shared" si="10"/>
        <v>0.5714285714285714</v>
      </c>
      <c r="J251">
        <f t="shared" si="11"/>
        <v>359.42857142857139</v>
      </c>
      <c r="O251">
        <v>698</v>
      </c>
      <c r="P251">
        <v>0</v>
      </c>
      <c r="R251">
        <v>488</v>
      </c>
      <c r="S251">
        <v>0.5714285714285714</v>
      </c>
    </row>
    <row r="252" spans="1:19" ht="26.1" customHeight="1" x14ac:dyDescent="0.2">
      <c r="A252" s="4">
        <v>711</v>
      </c>
      <c r="B252" s="2" t="s">
        <v>11</v>
      </c>
      <c r="C252" s="2" t="s">
        <v>12</v>
      </c>
      <c r="D252" s="2" t="s">
        <v>10</v>
      </c>
      <c r="F252" s="3">
        <v>25688</v>
      </c>
      <c r="G252" s="4">
        <v>2548013000</v>
      </c>
      <c r="H252">
        <f t="shared" si="9"/>
        <v>1154</v>
      </c>
      <c r="I252">
        <f t="shared" si="10"/>
        <v>2</v>
      </c>
      <c r="J252">
        <f t="shared" si="11"/>
        <v>2308</v>
      </c>
      <c r="O252">
        <v>701</v>
      </c>
      <c r="P252">
        <v>629</v>
      </c>
      <c r="R252">
        <v>494</v>
      </c>
      <c r="S252">
        <v>3</v>
      </c>
    </row>
    <row r="253" spans="1:19" ht="15" customHeight="1" x14ac:dyDescent="0.2">
      <c r="A253" s="4">
        <v>712</v>
      </c>
      <c r="B253" s="2" t="s">
        <v>7</v>
      </c>
      <c r="C253" s="2" t="s">
        <v>8</v>
      </c>
      <c r="D253" s="2" t="s">
        <v>9</v>
      </c>
      <c r="E253" s="2">
        <v>7241</v>
      </c>
      <c r="F253" s="3">
        <v>25688</v>
      </c>
      <c r="G253" s="4">
        <v>193012000</v>
      </c>
      <c r="H253">
        <f t="shared" si="9"/>
        <v>309.5</v>
      </c>
      <c r="I253">
        <f t="shared" si="10"/>
        <v>3</v>
      </c>
      <c r="J253">
        <f t="shared" si="11"/>
        <v>928.5</v>
      </c>
      <c r="O253">
        <v>711</v>
      </c>
      <c r="P253">
        <v>1154</v>
      </c>
      <c r="R253">
        <v>497</v>
      </c>
      <c r="S253">
        <v>0.53333333333333333</v>
      </c>
    </row>
    <row r="254" spans="1:19" ht="15" customHeight="1" x14ac:dyDescent="0.2">
      <c r="A254" s="4">
        <v>714</v>
      </c>
      <c r="B254" s="2" t="s">
        <v>13</v>
      </c>
      <c r="C254" s="2" t="s">
        <v>21</v>
      </c>
      <c r="D254" s="2" t="s">
        <v>27</v>
      </c>
      <c r="F254" s="3">
        <v>25688</v>
      </c>
      <c r="G254" s="4">
        <v>1022000</v>
      </c>
      <c r="H254">
        <f t="shared" si="9"/>
        <v>1202.5</v>
      </c>
      <c r="I254">
        <f t="shared" si="10"/>
        <v>3</v>
      </c>
      <c r="J254">
        <f t="shared" si="11"/>
        <v>3607.5</v>
      </c>
      <c r="O254">
        <v>712</v>
      </c>
      <c r="P254">
        <v>309.5</v>
      </c>
      <c r="R254">
        <v>498</v>
      </c>
      <c r="S254">
        <v>1.4285714285714286</v>
      </c>
    </row>
    <row r="255" spans="1:19" ht="15" customHeight="1" x14ac:dyDescent="0.2">
      <c r="A255" s="4">
        <v>719</v>
      </c>
      <c r="B255" s="2" t="s">
        <v>7</v>
      </c>
      <c r="C255" s="2" t="s">
        <v>12</v>
      </c>
      <c r="D255" s="2" t="s">
        <v>10</v>
      </c>
      <c r="F255" s="3">
        <v>25688</v>
      </c>
      <c r="G255" s="4">
        <v>3178002000</v>
      </c>
      <c r="H255">
        <f t="shared" si="9"/>
        <v>1154</v>
      </c>
      <c r="I255">
        <f t="shared" si="10"/>
        <v>0.14285714285714285</v>
      </c>
      <c r="J255">
        <f t="shared" si="11"/>
        <v>164.85714285714286</v>
      </c>
      <c r="O255">
        <v>714</v>
      </c>
      <c r="P255">
        <v>1202.5</v>
      </c>
      <c r="R255">
        <v>507</v>
      </c>
      <c r="S255">
        <v>2</v>
      </c>
    </row>
    <row r="256" spans="1:19" ht="15" customHeight="1" x14ac:dyDescent="0.2">
      <c r="A256" s="4">
        <v>721</v>
      </c>
      <c r="B256" s="2" t="s">
        <v>13</v>
      </c>
      <c r="C256" s="2" t="s">
        <v>8</v>
      </c>
      <c r="D256" s="2" t="s">
        <v>20</v>
      </c>
      <c r="F256" s="3">
        <v>25688</v>
      </c>
      <c r="G256" s="4">
        <v>1165113000</v>
      </c>
      <c r="H256">
        <f t="shared" si="9"/>
        <v>1212</v>
      </c>
      <c r="I256">
        <f t="shared" si="10"/>
        <v>0.2857142857142857</v>
      </c>
      <c r="J256">
        <f t="shared" si="11"/>
        <v>346.28571428571428</v>
      </c>
      <c r="O256">
        <v>719</v>
      </c>
      <c r="P256">
        <v>1154</v>
      </c>
      <c r="R256">
        <v>509</v>
      </c>
      <c r="S256">
        <v>0.2857142857142857</v>
      </c>
    </row>
    <row r="257" spans="1:19" ht="15" customHeight="1" x14ac:dyDescent="0.2">
      <c r="A257" s="4">
        <v>722</v>
      </c>
      <c r="B257" s="2" t="s">
        <v>7</v>
      </c>
      <c r="C257" s="2" t="s">
        <v>8</v>
      </c>
      <c r="D257" s="2" t="s">
        <v>17</v>
      </c>
      <c r="E257" s="2">
        <v>11353</v>
      </c>
      <c r="F257" s="3">
        <v>25688</v>
      </c>
      <c r="G257" s="4">
        <v>1014001</v>
      </c>
      <c r="H257">
        <f t="shared" si="9"/>
        <v>461</v>
      </c>
      <c r="I257">
        <f t="shared" si="10"/>
        <v>0.2857142857142857</v>
      </c>
      <c r="J257">
        <f t="shared" si="11"/>
        <v>131.71428571428569</v>
      </c>
      <c r="O257">
        <v>721</v>
      </c>
      <c r="P257">
        <v>1212</v>
      </c>
      <c r="R257">
        <v>511</v>
      </c>
      <c r="S257">
        <v>0.66666666666666663</v>
      </c>
    </row>
    <row r="258" spans="1:19" ht="15" customHeight="1" x14ac:dyDescent="0.2">
      <c r="A258" s="4">
        <v>724</v>
      </c>
      <c r="B258" s="2" t="s">
        <v>7</v>
      </c>
      <c r="C258" s="2" t="s">
        <v>8</v>
      </c>
      <c r="D258" s="2" t="s">
        <v>17</v>
      </c>
      <c r="E258" s="2">
        <v>7943</v>
      </c>
      <c r="F258" s="3">
        <v>25688</v>
      </c>
      <c r="G258" s="4">
        <v>193012000</v>
      </c>
      <c r="H258">
        <f t="shared" ref="H258:H321" si="12">VLOOKUP(A258,O:P,2)</f>
        <v>461</v>
      </c>
      <c r="I258">
        <f t="shared" ref="I258:I321" si="13">VLOOKUP(A258,R:S,2)</f>
        <v>3</v>
      </c>
      <c r="J258">
        <f t="shared" ref="J258:J321" si="14">H258*I258</f>
        <v>1383</v>
      </c>
      <c r="O258">
        <v>722</v>
      </c>
      <c r="P258">
        <v>461</v>
      </c>
      <c r="R258">
        <v>512</v>
      </c>
      <c r="S258">
        <v>6.6666666666666666E-2</v>
      </c>
    </row>
    <row r="259" spans="1:19" ht="15" customHeight="1" x14ac:dyDescent="0.2">
      <c r="A259" s="4">
        <v>727</v>
      </c>
      <c r="B259" s="2" t="s">
        <v>7</v>
      </c>
      <c r="C259" s="2" t="s">
        <v>8</v>
      </c>
      <c r="D259" s="2" t="s">
        <v>9</v>
      </c>
      <c r="E259" s="2">
        <v>994</v>
      </c>
      <c r="F259" s="3">
        <v>25688</v>
      </c>
      <c r="G259" s="4">
        <v>2789001000</v>
      </c>
      <c r="H259">
        <f t="shared" si="12"/>
        <v>309.5</v>
      </c>
      <c r="I259">
        <f t="shared" si="13"/>
        <v>0.19047619047619047</v>
      </c>
      <c r="J259">
        <f t="shared" si="14"/>
        <v>58.952380952380949</v>
      </c>
      <c r="O259">
        <v>724</v>
      </c>
      <c r="P259">
        <v>461</v>
      </c>
      <c r="R259">
        <v>515</v>
      </c>
      <c r="S259">
        <v>0.1</v>
      </c>
    </row>
    <row r="260" spans="1:19" ht="15" customHeight="1" x14ac:dyDescent="0.2">
      <c r="A260" s="4">
        <v>732</v>
      </c>
      <c r="B260" s="2" t="s">
        <v>7</v>
      </c>
      <c r="C260" s="2" t="s">
        <v>8</v>
      </c>
      <c r="D260" s="2" t="s">
        <v>9</v>
      </c>
      <c r="E260" s="2">
        <v>3226</v>
      </c>
      <c r="F260" s="3">
        <v>25688</v>
      </c>
      <c r="G260" s="4">
        <v>2924001000</v>
      </c>
      <c r="H260">
        <f t="shared" si="12"/>
        <v>309.5</v>
      </c>
      <c r="I260">
        <f t="shared" si="13"/>
        <v>0.26666666666666666</v>
      </c>
      <c r="J260">
        <f t="shared" si="14"/>
        <v>82.533333333333331</v>
      </c>
      <c r="O260">
        <v>727</v>
      </c>
      <c r="P260">
        <v>309.5</v>
      </c>
      <c r="R260">
        <v>518</v>
      </c>
      <c r="S260">
        <v>1.6666666666666667</v>
      </c>
    </row>
    <row r="261" spans="1:19" ht="15" customHeight="1" x14ac:dyDescent="0.2">
      <c r="A261" s="4">
        <v>735</v>
      </c>
      <c r="B261" s="2" t="s">
        <v>13</v>
      </c>
      <c r="C261" s="2" t="s">
        <v>21</v>
      </c>
      <c r="D261" s="2" t="s">
        <v>27</v>
      </c>
      <c r="F261" s="3">
        <v>25688</v>
      </c>
      <c r="G261" s="4">
        <v>1014001</v>
      </c>
      <c r="H261">
        <f t="shared" si="12"/>
        <v>1202.5</v>
      </c>
      <c r="I261">
        <f t="shared" si="13"/>
        <v>0.26666666666666666</v>
      </c>
      <c r="J261">
        <f t="shared" si="14"/>
        <v>320.66666666666669</v>
      </c>
      <c r="O261">
        <v>732</v>
      </c>
      <c r="P261">
        <v>309.5</v>
      </c>
      <c r="R261">
        <v>520</v>
      </c>
      <c r="S261">
        <v>0.5714285714285714</v>
      </c>
    </row>
    <row r="262" spans="1:19" ht="15" customHeight="1" x14ac:dyDescent="0.2">
      <c r="A262" s="4">
        <v>738</v>
      </c>
      <c r="B262" s="2" t="s">
        <v>13</v>
      </c>
      <c r="C262" s="2" t="s">
        <v>14</v>
      </c>
      <c r="D262" s="2" t="s">
        <v>15</v>
      </c>
      <c r="F262" s="3">
        <v>25688</v>
      </c>
      <c r="G262" s="4">
        <v>1406001000</v>
      </c>
      <c r="H262">
        <f t="shared" si="12"/>
        <v>1091</v>
      </c>
      <c r="I262">
        <f t="shared" si="13"/>
        <v>0.21428571428571427</v>
      </c>
      <c r="J262">
        <f t="shared" si="14"/>
        <v>233.78571428571428</v>
      </c>
      <c r="O262">
        <v>735</v>
      </c>
      <c r="P262">
        <v>1202.5</v>
      </c>
      <c r="R262">
        <v>522</v>
      </c>
      <c r="S262">
        <v>0.14285714285714285</v>
      </c>
    </row>
    <row r="263" spans="1:19" ht="15" customHeight="1" x14ac:dyDescent="0.2">
      <c r="A263" s="4">
        <v>743</v>
      </c>
      <c r="B263" s="2" t="s">
        <v>7</v>
      </c>
      <c r="C263" s="2" t="s">
        <v>14</v>
      </c>
      <c r="D263" s="2" t="s">
        <v>23</v>
      </c>
      <c r="F263" s="3">
        <v>25688</v>
      </c>
      <c r="G263" s="4">
        <v>2548098000</v>
      </c>
      <c r="H263">
        <f t="shared" si="12"/>
        <v>629</v>
      </c>
      <c r="I263">
        <f t="shared" si="13"/>
        <v>0.21428571428571427</v>
      </c>
      <c r="J263">
        <f t="shared" si="14"/>
        <v>134.78571428571428</v>
      </c>
      <c r="O263">
        <v>738</v>
      </c>
      <c r="P263">
        <v>1091</v>
      </c>
      <c r="R263">
        <v>528</v>
      </c>
      <c r="S263">
        <v>0.8571428571428571</v>
      </c>
    </row>
    <row r="264" spans="1:19" ht="15" customHeight="1" x14ac:dyDescent="0.2">
      <c r="A264" s="4">
        <v>746</v>
      </c>
      <c r="B264" s="2" t="s">
        <v>51</v>
      </c>
      <c r="C264" s="2" t="s">
        <v>14</v>
      </c>
      <c r="D264" s="2" t="s">
        <v>60</v>
      </c>
      <c r="F264" s="3">
        <v>35796</v>
      </c>
      <c r="G264" s="4">
        <v>1000012</v>
      </c>
      <c r="H264">
        <f t="shared" si="12"/>
        <v>512</v>
      </c>
      <c r="I264">
        <f t="shared" si="13"/>
        <v>0.21428571428571427</v>
      </c>
      <c r="J264">
        <f t="shared" si="14"/>
        <v>109.71428571428571</v>
      </c>
      <c r="O264">
        <v>743</v>
      </c>
      <c r="P264">
        <v>629</v>
      </c>
      <c r="R264">
        <v>530</v>
      </c>
      <c r="S264">
        <v>0.14285714285714285</v>
      </c>
    </row>
    <row r="265" spans="1:19" ht="15" customHeight="1" x14ac:dyDescent="0.2">
      <c r="A265" s="4">
        <v>748</v>
      </c>
      <c r="B265" s="2" t="s">
        <v>7</v>
      </c>
      <c r="C265" s="2" t="s">
        <v>8</v>
      </c>
      <c r="D265" s="2" t="s">
        <v>9</v>
      </c>
      <c r="E265" s="2">
        <v>1525</v>
      </c>
      <c r="F265" s="3">
        <v>25688</v>
      </c>
      <c r="G265" s="4">
        <v>1068013000</v>
      </c>
      <c r="H265">
        <f t="shared" si="12"/>
        <v>309.5</v>
      </c>
      <c r="I265">
        <f t="shared" si="13"/>
        <v>0.21428571428571427</v>
      </c>
      <c r="J265">
        <f t="shared" si="14"/>
        <v>66.321428571428569</v>
      </c>
      <c r="O265">
        <v>746</v>
      </c>
      <c r="P265">
        <v>512</v>
      </c>
      <c r="R265">
        <v>531</v>
      </c>
      <c r="S265">
        <v>0.14285714285714285</v>
      </c>
    </row>
    <row r="266" spans="1:19" ht="15" customHeight="1" x14ac:dyDescent="0.2">
      <c r="A266" s="4">
        <v>750</v>
      </c>
      <c r="B266" s="2" t="s">
        <v>7</v>
      </c>
      <c r="C266" s="2" t="s">
        <v>8</v>
      </c>
      <c r="D266" s="2" t="s">
        <v>9</v>
      </c>
      <c r="E266" s="2">
        <v>975</v>
      </c>
      <c r="F266" s="3">
        <v>25688</v>
      </c>
      <c r="G266" s="4">
        <v>3300202000</v>
      </c>
      <c r="H266">
        <f t="shared" si="12"/>
        <v>309.5</v>
      </c>
      <c r="I266">
        <f t="shared" si="13"/>
        <v>0.21428571428571427</v>
      </c>
      <c r="J266">
        <f t="shared" si="14"/>
        <v>66.321428571428569</v>
      </c>
      <c r="O266">
        <v>748</v>
      </c>
      <c r="P266">
        <v>309.5</v>
      </c>
      <c r="R266">
        <v>536</v>
      </c>
      <c r="S266">
        <v>0.1</v>
      </c>
    </row>
    <row r="267" spans="1:19" ht="15" customHeight="1" x14ac:dyDescent="0.2">
      <c r="A267" s="4">
        <v>752</v>
      </c>
      <c r="B267" s="2" t="s">
        <v>13</v>
      </c>
      <c r="C267" s="2" t="s">
        <v>8</v>
      </c>
      <c r="D267" s="2" t="s">
        <v>20</v>
      </c>
      <c r="E267" s="2">
        <v>12161</v>
      </c>
      <c r="F267" s="3">
        <v>25688</v>
      </c>
      <c r="G267" s="4">
        <v>1165112000</v>
      </c>
      <c r="H267">
        <f t="shared" si="12"/>
        <v>1212</v>
      </c>
      <c r="I267">
        <f t="shared" si="13"/>
        <v>0.21428571428571427</v>
      </c>
      <c r="J267">
        <f t="shared" si="14"/>
        <v>259.71428571428572</v>
      </c>
      <c r="O267">
        <v>750</v>
      </c>
      <c r="P267">
        <v>309.5</v>
      </c>
      <c r="R267">
        <v>537</v>
      </c>
      <c r="S267">
        <v>0.2857142857142857</v>
      </c>
    </row>
    <row r="268" spans="1:19" ht="15" customHeight="1" x14ac:dyDescent="0.2">
      <c r="A268" s="4">
        <v>753</v>
      </c>
      <c r="B268" s="2" t="s">
        <v>7</v>
      </c>
      <c r="C268" s="2" t="s">
        <v>8</v>
      </c>
      <c r="D268" s="2" t="s">
        <v>9</v>
      </c>
      <c r="E268" s="2">
        <v>1552</v>
      </c>
      <c r="F268" s="3">
        <v>25688</v>
      </c>
      <c r="G268" s="4">
        <v>2126001000</v>
      </c>
      <c r="H268">
        <f t="shared" si="12"/>
        <v>309.5</v>
      </c>
      <c r="I268">
        <f t="shared" si="13"/>
        <v>2</v>
      </c>
      <c r="J268">
        <f t="shared" si="14"/>
        <v>619</v>
      </c>
      <c r="O268">
        <v>752</v>
      </c>
      <c r="P268">
        <v>1212</v>
      </c>
      <c r="R268">
        <v>540</v>
      </c>
      <c r="S268">
        <v>2</v>
      </c>
    </row>
    <row r="269" spans="1:19" ht="15" customHeight="1" x14ac:dyDescent="0.2">
      <c r="A269" s="4">
        <v>757</v>
      </c>
      <c r="B269" s="2" t="s">
        <v>13</v>
      </c>
      <c r="C269" s="2" t="s">
        <v>8</v>
      </c>
      <c r="D269" s="2" t="s">
        <v>18</v>
      </c>
      <c r="E269" s="2">
        <v>12244</v>
      </c>
      <c r="F269" s="3">
        <v>25688</v>
      </c>
      <c r="G269" s="4">
        <v>165001000</v>
      </c>
      <c r="H269">
        <f t="shared" si="12"/>
        <v>1212</v>
      </c>
      <c r="I269">
        <f t="shared" si="13"/>
        <v>2</v>
      </c>
      <c r="J269">
        <f t="shared" si="14"/>
        <v>2424</v>
      </c>
      <c r="O269">
        <v>753</v>
      </c>
      <c r="P269">
        <v>309.5</v>
      </c>
      <c r="R269">
        <v>542</v>
      </c>
      <c r="S269">
        <v>3</v>
      </c>
    </row>
    <row r="270" spans="1:19" ht="26.1" customHeight="1" x14ac:dyDescent="0.2">
      <c r="A270" s="4">
        <v>760</v>
      </c>
      <c r="B270" s="2" t="s">
        <v>11</v>
      </c>
      <c r="C270" s="2" t="s">
        <v>12</v>
      </c>
      <c r="D270" s="2" t="s">
        <v>19</v>
      </c>
      <c r="F270" s="3">
        <v>25688</v>
      </c>
      <c r="G270" s="4">
        <v>2514002000</v>
      </c>
      <c r="H270">
        <f t="shared" si="12"/>
        <v>532</v>
      </c>
      <c r="I270">
        <f t="shared" si="13"/>
        <v>1.5</v>
      </c>
      <c r="J270">
        <f t="shared" si="14"/>
        <v>798</v>
      </c>
      <c r="O270">
        <v>757</v>
      </c>
      <c r="P270">
        <v>1212</v>
      </c>
      <c r="R270">
        <v>544</v>
      </c>
      <c r="S270">
        <v>0.14285714285714285</v>
      </c>
    </row>
    <row r="271" spans="1:19" ht="15" customHeight="1" x14ac:dyDescent="0.2">
      <c r="A271" s="4">
        <v>761</v>
      </c>
      <c r="B271" s="2" t="s">
        <v>13</v>
      </c>
      <c r="C271" s="2" t="s">
        <v>14</v>
      </c>
      <c r="D271" s="2" t="s">
        <v>15</v>
      </c>
      <c r="E271" s="2">
        <v>117549</v>
      </c>
      <c r="F271" s="3">
        <v>25688</v>
      </c>
      <c r="G271" s="4">
        <v>1014001</v>
      </c>
      <c r="H271">
        <f t="shared" si="12"/>
        <v>1091</v>
      </c>
      <c r="I271">
        <f t="shared" si="13"/>
        <v>1.5</v>
      </c>
      <c r="J271">
        <f t="shared" si="14"/>
        <v>1636.5</v>
      </c>
      <c r="O271">
        <v>760</v>
      </c>
      <c r="P271">
        <v>532</v>
      </c>
      <c r="R271">
        <v>545</v>
      </c>
      <c r="S271">
        <v>0.33333333333333331</v>
      </c>
    </row>
    <row r="272" spans="1:19" ht="15" customHeight="1" x14ac:dyDescent="0.2">
      <c r="A272" s="4">
        <v>762</v>
      </c>
      <c r="B272" s="2" t="s">
        <v>13</v>
      </c>
      <c r="C272" s="2" t="s">
        <v>14</v>
      </c>
      <c r="D272" s="2" t="s">
        <v>15</v>
      </c>
      <c r="E272" s="2">
        <v>117509</v>
      </c>
      <c r="F272" s="3">
        <v>25688</v>
      </c>
      <c r="G272" s="4">
        <v>1014001</v>
      </c>
      <c r="H272">
        <f t="shared" si="12"/>
        <v>1091</v>
      </c>
      <c r="I272">
        <f t="shared" si="13"/>
        <v>1.5</v>
      </c>
      <c r="J272">
        <f t="shared" si="14"/>
        <v>1636.5</v>
      </c>
      <c r="O272">
        <v>761</v>
      </c>
      <c r="P272">
        <v>1091</v>
      </c>
      <c r="R272">
        <v>549</v>
      </c>
      <c r="S272">
        <v>0.14285714285714285</v>
      </c>
    </row>
    <row r="273" spans="1:19" ht="15" customHeight="1" x14ac:dyDescent="0.2">
      <c r="A273" s="4">
        <v>763</v>
      </c>
      <c r="B273" s="2" t="s">
        <v>13</v>
      </c>
      <c r="C273" s="2" t="s">
        <v>40</v>
      </c>
      <c r="D273" s="2" t="s">
        <v>61</v>
      </c>
      <c r="E273" s="2">
        <v>629</v>
      </c>
      <c r="F273" s="3">
        <v>36770</v>
      </c>
      <c r="G273" s="4">
        <v>2905001000</v>
      </c>
      <c r="H273">
        <f t="shared" si="12"/>
        <v>0</v>
      </c>
      <c r="I273">
        <f t="shared" si="13"/>
        <v>0.5714285714285714</v>
      </c>
      <c r="J273">
        <f t="shared" si="14"/>
        <v>0</v>
      </c>
      <c r="O273">
        <v>762</v>
      </c>
      <c r="P273">
        <v>1091</v>
      </c>
      <c r="R273">
        <v>550</v>
      </c>
      <c r="S273">
        <v>0.42857142857142855</v>
      </c>
    </row>
    <row r="274" spans="1:19" ht="15" customHeight="1" x14ac:dyDescent="0.2">
      <c r="A274" s="4">
        <v>764</v>
      </c>
      <c r="B274" s="2" t="s">
        <v>7</v>
      </c>
      <c r="C274" s="2" t="s">
        <v>8</v>
      </c>
      <c r="D274" s="2" t="s">
        <v>9</v>
      </c>
      <c r="F274" s="3">
        <v>25688</v>
      </c>
      <c r="G274" s="4">
        <v>1817001000</v>
      </c>
      <c r="H274">
        <f t="shared" si="12"/>
        <v>309.5</v>
      </c>
      <c r="I274">
        <f t="shared" si="13"/>
        <v>1</v>
      </c>
      <c r="J274">
        <f t="shared" si="14"/>
        <v>309.5</v>
      </c>
      <c r="O274">
        <v>763</v>
      </c>
      <c r="P274">
        <v>0</v>
      </c>
      <c r="R274">
        <v>555</v>
      </c>
      <c r="S274">
        <v>0.66666666666666663</v>
      </c>
    </row>
    <row r="275" spans="1:19" ht="26.1" customHeight="1" x14ac:dyDescent="0.2">
      <c r="A275" s="4">
        <v>774</v>
      </c>
      <c r="B275" s="2" t="s">
        <v>24</v>
      </c>
      <c r="C275" s="2" t="s">
        <v>62</v>
      </c>
      <c r="D275" s="2" t="s">
        <v>10</v>
      </c>
      <c r="E275" s="2" t="s">
        <v>63</v>
      </c>
      <c r="F275" s="3">
        <v>25688</v>
      </c>
      <c r="G275" s="4">
        <v>1014001</v>
      </c>
      <c r="H275">
        <f t="shared" si="12"/>
        <v>0</v>
      </c>
      <c r="I275">
        <f t="shared" si="13"/>
        <v>1</v>
      </c>
      <c r="J275">
        <f t="shared" si="14"/>
        <v>0</v>
      </c>
      <c r="O275">
        <v>764</v>
      </c>
      <c r="P275">
        <v>309.5</v>
      </c>
      <c r="R275">
        <v>561</v>
      </c>
      <c r="S275">
        <v>0.2857142857142857</v>
      </c>
    </row>
    <row r="276" spans="1:19" ht="26.1" customHeight="1" x14ac:dyDescent="0.2">
      <c r="A276" s="4">
        <v>775</v>
      </c>
      <c r="B276" s="2" t="s">
        <v>11</v>
      </c>
      <c r="C276" s="2" t="s">
        <v>8</v>
      </c>
      <c r="D276" s="2" t="s">
        <v>9</v>
      </c>
      <c r="E276" s="2">
        <v>777</v>
      </c>
      <c r="F276" s="3">
        <v>25688</v>
      </c>
      <c r="G276" s="4">
        <v>3319002000</v>
      </c>
      <c r="H276">
        <f t="shared" si="12"/>
        <v>309.5</v>
      </c>
      <c r="I276">
        <f t="shared" si="13"/>
        <v>0.33333333333333331</v>
      </c>
      <c r="J276">
        <f t="shared" si="14"/>
        <v>103.16666666666666</v>
      </c>
      <c r="O276">
        <v>774</v>
      </c>
      <c r="P276">
        <v>0</v>
      </c>
      <c r="R276">
        <v>564</v>
      </c>
      <c r="S276">
        <v>0.5</v>
      </c>
    </row>
    <row r="277" spans="1:19" ht="15" customHeight="1" x14ac:dyDescent="0.2">
      <c r="A277" s="4">
        <v>776</v>
      </c>
      <c r="B277" s="2" t="s">
        <v>13</v>
      </c>
      <c r="C277" s="2" t="s">
        <v>8</v>
      </c>
      <c r="D277" s="2" t="s">
        <v>18</v>
      </c>
      <c r="E277" s="2">
        <v>8179</v>
      </c>
      <c r="F277" s="3">
        <v>25688</v>
      </c>
      <c r="G277" s="4">
        <v>3042116001</v>
      </c>
      <c r="H277">
        <f t="shared" si="12"/>
        <v>1212</v>
      </c>
      <c r="I277">
        <f t="shared" si="13"/>
        <v>0.14285714285714285</v>
      </c>
      <c r="J277">
        <f t="shared" si="14"/>
        <v>173.14285714285714</v>
      </c>
      <c r="O277">
        <v>775</v>
      </c>
      <c r="P277">
        <v>309.5</v>
      </c>
      <c r="R277">
        <v>568</v>
      </c>
      <c r="S277">
        <v>1</v>
      </c>
    </row>
    <row r="278" spans="1:19" ht="26.1" customHeight="1" x14ac:dyDescent="0.2">
      <c r="A278" s="4">
        <v>780</v>
      </c>
      <c r="B278" s="2" t="s">
        <v>11</v>
      </c>
      <c r="C278" s="2" t="s">
        <v>12</v>
      </c>
      <c r="D278" s="2" t="s">
        <v>10</v>
      </c>
      <c r="F278" s="3">
        <v>25688</v>
      </c>
      <c r="G278" s="4">
        <v>1967003000</v>
      </c>
      <c r="H278">
        <f t="shared" si="12"/>
        <v>1154</v>
      </c>
      <c r="I278">
        <f t="shared" si="13"/>
        <v>0.33333333333333331</v>
      </c>
      <c r="J278">
        <f t="shared" si="14"/>
        <v>384.66666666666663</v>
      </c>
      <c r="O278">
        <v>776</v>
      </c>
      <c r="P278">
        <v>1212</v>
      </c>
      <c r="R278">
        <v>570</v>
      </c>
      <c r="S278">
        <v>0.2857142857142857</v>
      </c>
    </row>
    <row r="279" spans="1:19" ht="15" customHeight="1" x14ac:dyDescent="0.2">
      <c r="A279" s="4">
        <v>786</v>
      </c>
      <c r="B279" s="2" t="s">
        <v>13</v>
      </c>
      <c r="C279" s="2" t="s">
        <v>8</v>
      </c>
      <c r="D279" s="2" t="s">
        <v>18</v>
      </c>
      <c r="E279" s="2">
        <v>8210</v>
      </c>
      <c r="F279" s="3">
        <v>25688</v>
      </c>
      <c r="G279" s="4">
        <v>2548092000</v>
      </c>
      <c r="H279">
        <f t="shared" si="12"/>
        <v>1212</v>
      </c>
      <c r="I279">
        <f t="shared" si="13"/>
        <v>0.42857142857142855</v>
      </c>
      <c r="J279">
        <f t="shared" si="14"/>
        <v>519.42857142857144</v>
      </c>
      <c r="O279">
        <v>780</v>
      </c>
      <c r="P279">
        <v>1154</v>
      </c>
      <c r="R279">
        <v>571</v>
      </c>
      <c r="S279">
        <v>1.2857142857142858</v>
      </c>
    </row>
    <row r="280" spans="1:19" ht="26.1" customHeight="1" x14ac:dyDescent="0.2">
      <c r="A280" s="4">
        <v>795</v>
      </c>
      <c r="B280" s="2" t="s">
        <v>11</v>
      </c>
      <c r="C280" s="2" t="s">
        <v>8</v>
      </c>
      <c r="D280" s="2" t="s">
        <v>9</v>
      </c>
      <c r="E280" s="2">
        <v>7369</v>
      </c>
      <c r="F280" s="3">
        <v>25688</v>
      </c>
      <c r="G280" s="4">
        <v>1023000</v>
      </c>
      <c r="H280">
        <f t="shared" si="12"/>
        <v>309.5</v>
      </c>
      <c r="I280">
        <f t="shared" si="13"/>
        <v>7.1428571428571425E-2</v>
      </c>
      <c r="J280">
        <f t="shared" si="14"/>
        <v>22.107142857142858</v>
      </c>
      <c r="O280">
        <v>786</v>
      </c>
      <c r="P280">
        <v>1212</v>
      </c>
      <c r="R280">
        <v>573</v>
      </c>
      <c r="S280">
        <v>0.2857142857142857</v>
      </c>
    </row>
    <row r="281" spans="1:19" ht="15" customHeight="1" x14ac:dyDescent="0.2">
      <c r="A281" s="4">
        <v>796</v>
      </c>
      <c r="B281" s="2" t="s">
        <v>7</v>
      </c>
      <c r="C281" s="2" t="s">
        <v>8</v>
      </c>
      <c r="D281" s="2" t="s">
        <v>9</v>
      </c>
      <c r="E281" s="2">
        <v>1429</v>
      </c>
      <c r="F281" s="3">
        <v>25688</v>
      </c>
      <c r="G281" s="4">
        <v>3042127002</v>
      </c>
      <c r="H281">
        <f t="shared" si="12"/>
        <v>309.5</v>
      </c>
      <c r="I281">
        <f t="shared" si="13"/>
        <v>0.2857142857142857</v>
      </c>
      <c r="J281">
        <f t="shared" si="14"/>
        <v>88.428571428571431</v>
      </c>
      <c r="O281">
        <v>795</v>
      </c>
      <c r="P281">
        <v>309.5</v>
      </c>
      <c r="R281">
        <v>575</v>
      </c>
      <c r="S281">
        <v>0.19047619047619047</v>
      </c>
    </row>
    <row r="282" spans="1:19" ht="15" customHeight="1" x14ac:dyDescent="0.2">
      <c r="A282" s="4">
        <v>805</v>
      </c>
      <c r="B282" s="2" t="s">
        <v>7</v>
      </c>
      <c r="C282" s="2" t="s">
        <v>14</v>
      </c>
      <c r="D282" s="2" t="s">
        <v>64</v>
      </c>
      <c r="E282" s="2">
        <v>22753</v>
      </c>
      <c r="F282" s="3">
        <v>25688</v>
      </c>
      <c r="G282" s="4">
        <v>1014001</v>
      </c>
      <c r="H282">
        <f t="shared" si="12"/>
        <v>822</v>
      </c>
      <c r="I282">
        <f t="shared" si="13"/>
        <v>0.2857142857142857</v>
      </c>
      <c r="J282">
        <f t="shared" si="14"/>
        <v>234.85714285714283</v>
      </c>
      <c r="O282">
        <v>796</v>
      </c>
      <c r="P282">
        <v>309.5</v>
      </c>
      <c r="R282">
        <v>576</v>
      </c>
      <c r="S282">
        <v>0.14285714285714285</v>
      </c>
    </row>
    <row r="283" spans="1:19" ht="15" customHeight="1" x14ac:dyDescent="0.2">
      <c r="A283" s="4">
        <v>814</v>
      </c>
      <c r="B283" s="2" t="s">
        <v>65</v>
      </c>
      <c r="C283" s="2" t="s">
        <v>66</v>
      </c>
      <c r="D283" s="2" t="s">
        <v>67</v>
      </c>
      <c r="F283" s="3">
        <v>25688</v>
      </c>
      <c r="G283" s="4">
        <v>1000003</v>
      </c>
      <c r="H283">
        <f t="shared" si="12"/>
        <v>822</v>
      </c>
      <c r="I283">
        <f t="shared" si="13"/>
        <v>0.2857142857142857</v>
      </c>
      <c r="J283">
        <f t="shared" si="14"/>
        <v>234.85714285714283</v>
      </c>
      <c r="O283">
        <v>805</v>
      </c>
      <c r="P283">
        <v>822</v>
      </c>
      <c r="R283">
        <v>579</v>
      </c>
      <c r="S283">
        <v>0.14285714285714285</v>
      </c>
    </row>
    <row r="284" spans="1:19" ht="15" customHeight="1" x14ac:dyDescent="0.2">
      <c r="A284" s="4">
        <v>825</v>
      </c>
      <c r="B284" s="2" t="s">
        <v>7</v>
      </c>
      <c r="C284" s="2" t="s">
        <v>8</v>
      </c>
      <c r="D284" s="2" t="s">
        <v>9</v>
      </c>
      <c r="E284" s="2">
        <v>6763</v>
      </c>
      <c r="F284" s="3">
        <v>25688</v>
      </c>
      <c r="G284" s="4">
        <v>1978003000</v>
      </c>
      <c r="H284">
        <f t="shared" si="12"/>
        <v>309.5</v>
      </c>
      <c r="I284">
        <f t="shared" si="13"/>
        <v>0.2857142857142857</v>
      </c>
      <c r="J284">
        <f t="shared" si="14"/>
        <v>88.428571428571431</v>
      </c>
      <c r="O284">
        <v>825</v>
      </c>
      <c r="P284">
        <v>309.5</v>
      </c>
      <c r="R284">
        <v>587</v>
      </c>
      <c r="S284">
        <v>0.2857142857142857</v>
      </c>
    </row>
    <row r="285" spans="1:19" ht="15" customHeight="1" x14ac:dyDescent="0.2">
      <c r="A285" s="4">
        <v>830</v>
      </c>
      <c r="B285" s="2" t="s">
        <v>68</v>
      </c>
      <c r="C285" s="2" t="s">
        <v>69</v>
      </c>
      <c r="D285" s="2" t="s">
        <v>10</v>
      </c>
      <c r="F285" s="3">
        <v>25688</v>
      </c>
      <c r="G285" s="4">
        <v>1925001000</v>
      </c>
      <c r="H285">
        <f t="shared" si="12"/>
        <v>309.5</v>
      </c>
      <c r="I285">
        <f t="shared" si="13"/>
        <v>0.2857142857142857</v>
      </c>
      <c r="J285">
        <f t="shared" si="14"/>
        <v>88.428571428571431</v>
      </c>
      <c r="O285">
        <v>832</v>
      </c>
      <c r="P285">
        <v>309.5</v>
      </c>
      <c r="R285">
        <v>590</v>
      </c>
      <c r="S285">
        <v>2</v>
      </c>
    </row>
    <row r="286" spans="1:19" ht="26.1" customHeight="1" x14ac:dyDescent="0.2">
      <c r="A286" s="4">
        <v>832</v>
      </c>
      <c r="B286" s="2" t="s">
        <v>11</v>
      </c>
      <c r="C286" s="2" t="s">
        <v>8</v>
      </c>
      <c r="D286" s="2" t="s">
        <v>9</v>
      </c>
      <c r="E286" s="2">
        <v>6968</v>
      </c>
      <c r="F286" s="3">
        <v>25688</v>
      </c>
      <c r="G286" s="4">
        <v>2126001000</v>
      </c>
      <c r="H286">
        <f t="shared" si="12"/>
        <v>309.5</v>
      </c>
      <c r="I286">
        <f t="shared" si="13"/>
        <v>0.8571428571428571</v>
      </c>
      <c r="J286">
        <f t="shared" si="14"/>
        <v>265.28571428571428</v>
      </c>
      <c r="O286">
        <v>833</v>
      </c>
      <c r="P286">
        <v>822</v>
      </c>
      <c r="R286">
        <v>595</v>
      </c>
      <c r="S286">
        <v>3</v>
      </c>
    </row>
    <row r="287" spans="1:19" ht="15" customHeight="1" x14ac:dyDescent="0.2">
      <c r="A287" s="4">
        <v>833</v>
      </c>
      <c r="B287" s="2" t="s">
        <v>7</v>
      </c>
      <c r="C287" s="2" t="s">
        <v>14</v>
      </c>
      <c r="D287" s="2" t="s">
        <v>64</v>
      </c>
      <c r="E287" s="2">
        <v>23487</v>
      </c>
      <c r="F287" s="3">
        <v>25688</v>
      </c>
      <c r="G287" s="4">
        <v>3319002000</v>
      </c>
      <c r="H287">
        <f t="shared" si="12"/>
        <v>822</v>
      </c>
      <c r="I287">
        <f t="shared" si="13"/>
        <v>0.8571428571428571</v>
      </c>
      <c r="J287">
        <f t="shared" si="14"/>
        <v>704.57142857142856</v>
      </c>
      <c r="O287">
        <v>840</v>
      </c>
      <c r="P287">
        <v>1091</v>
      </c>
      <c r="R287">
        <v>596</v>
      </c>
      <c r="S287">
        <v>0.14285714285714285</v>
      </c>
    </row>
    <row r="288" spans="1:19" ht="15" customHeight="1" x14ac:dyDescent="0.2">
      <c r="A288" s="4">
        <v>840</v>
      </c>
      <c r="B288" s="2" t="s">
        <v>13</v>
      </c>
      <c r="C288" s="2" t="s">
        <v>14</v>
      </c>
      <c r="D288" s="2" t="s">
        <v>15</v>
      </c>
      <c r="E288" s="2">
        <v>115301</v>
      </c>
      <c r="F288" s="3">
        <v>25688</v>
      </c>
      <c r="G288" s="4">
        <v>1014001</v>
      </c>
      <c r="H288">
        <f t="shared" si="12"/>
        <v>1091</v>
      </c>
      <c r="I288">
        <f t="shared" si="13"/>
        <v>0.2857142857142857</v>
      </c>
      <c r="J288">
        <f t="shared" si="14"/>
        <v>311.71428571428572</v>
      </c>
      <c r="O288">
        <v>844</v>
      </c>
      <c r="P288">
        <v>309.5</v>
      </c>
      <c r="R288">
        <v>597</v>
      </c>
      <c r="S288">
        <v>0.5714285714285714</v>
      </c>
    </row>
    <row r="289" spans="1:19" ht="15" customHeight="1" x14ac:dyDescent="0.2">
      <c r="A289" s="4">
        <v>844</v>
      </c>
      <c r="B289" s="2" t="s">
        <v>7</v>
      </c>
      <c r="C289" s="2" t="s">
        <v>8</v>
      </c>
      <c r="D289" s="2" t="s">
        <v>9</v>
      </c>
      <c r="E289" s="2">
        <v>6985</v>
      </c>
      <c r="F289" s="3">
        <v>25688</v>
      </c>
      <c r="G289" s="4">
        <v>165001000</v>
      </c>
      <c r="H289">
        <f t="shared" si="12"/>
        <v>309.5</v>
      </c>
      <c r="I289">
        <f t="shared" si="13"/>
        <v>3.7142857142857144</v>
      </c>
      <c r="J289">
        <f t="shared" si="14"/>
        <v>1149.5714285714287</v>
      </c>
      <c r="O289">
        <v>846</v>
      </c>
      <c r="P289">
        <v>1212</v>
      </c>
      <c r="R289">
        <v>606</v>
      </c>
      <c r="S289">
        <v>6.6666666666666666E-2</v>
      </c>
    </row>
    <row r="290" spans="1:19" ht="15" customHeight="1" x14ac:dyDescent="0.2">
      <c r="A290" s="4">
        <v>846</v>
      </c>
      <c r="B290" s="2" t="s">
        <v>13</v>
      </c>
      <c r="C290" s="2" t="s">
        <v>8</v>
      </c>
      <c r="D290" s="2" t="s">
        <v>18</v>
      </c>
      <c r="E290" s="2">
        <v>13700</v>
      </c>
      <c r="F290" s="3">
        <v>25688</v>
      </c>
      <c r="G290" s="4">
        <v>2548051000</v>
      </c>
      <c r="H290">
        <f t="shared" si="12"/>
        <v>1212</v>
      </c>
      <c r="I290">
        <f t="shared" si="13"/>
        <v>6.6666666666666666E-2</v>
      </c>
      <c r="J290">
        <f t="shared" si="14"/>
        <v>80.8</v>
      </c>
      <c r="O290">
        <v>847</v>
      </c>
      <c r="P290">
        <v>309.5</v>
      </c>
      <c r="R290">
        <v>607</v>
      </c>
      <c r="S290">
        <v>0.14285714285714285</v>
      </c>
    </row>
    <row r="291" spans="1:19" ht="15" customHeight="1" x14ac:dyDescent="0.2">
      <c r="A291" s="4">
        <v>847</v>
      </c>
      <c r="B291" s="2" t="s">
        <v>7</v>
      </c>
      <c r="C291" s="2" t="s">
        <v>8</v>
      </c>
      <c r="D291" s="2" t="s">
        <v>9</v>
      </c>
      <c r="E291" s="2">
        <v>6993</v>
      </c>
      <c r="F291" s="3">
        <v>25688</v>
      </c>
      <c r="G291" s="4">
        <v>2936002000</v>
      </c>
      <c r="H291">
        <f t="shared" si="12"/>
        <v>309.5</v>
      </c>
      <c r="I291">
        <f t="shared" si="13"/>
        <v>6.6666666666666666E-2</v>
      </c>
      <c r="J291">
        <f t="shared" si="14"/>
        <v>20.633333333333333</v>
      </c>
      <c r="O291">
        <v>848</v>
      </c>
      <c r="P291">
        <v>1212</v>
      </c>
      <c r="R291">
        <v>620</v>
      </c>
      <c r="S291">
        <v>0.2857142857142857</v>
      </c>
    </row>
    <row r="292" spans="1:19" ht="15" customHeight="1" x14ac:dyDescent="0.2">
      <c r="A292" s="4">
        <v>848</v>
      </c>
      <c r="B292" s="2" t="s">
        <v>13</v>
      </c>
      <c r="C292" s="2" t="s">
        <v>8</v>
      </c>
      <c r="D292" s="2" t="s">
        <v>20</v>
      </c>
      <c r="E292" s="2">
        <v>13696</v>
      </c>
      <c r="F292" s="3">
        <v>25688</v>
      </c>
      <c r="G292" s="4">
        <v>66011000</v>
      </c>
      <c r="H292">
        <f t="shared" si="12"/>
        <v>1212</v>
      </c>
      <c r="I292">
        <f t="shared" si="13"/>
        <v>0.14285714285714285</v>
      </c>
      <c r="J292">
        <f t="shared" si="14"/>
        <v>173.14285714285714</v>
      </c>
      <c r="O292">
        <v>849</v>
      </c>
      <c r="P292">
        <v>1212</v>
      </c>
      <c r="R292">
        <v>622</v>
      </c>
      <c r="S292">
        <v>0.33333333333333331</v>
      </c>
    </row>
    <row r="293" spans="1:19" ht="15" customHeight="1" x14ac:dyDescent="0.2">
      <c r="A293" s="4">
        <v>849</v>
      </c>
      <c r="B293" s="2" t="s">
        <v>13</v>
      </c>
      <c r="C293" s="2" t="s">
        <v>8</v>
      </c>
      <c r="D293" s="2" t="s">
        <v>20</v>
      </c>
      <c r="E293" s="2">
        <v>13733</v>
      </c>
      <c r="F293" s="3">
        <v>25688</v>
      </c>
      <c r="G293" s="4">
        <v>3372001000</v>
      </c>
      <c r="H293">
        <f t="shared" si="12"/>
        <v>1212</v>
      </c>
      <c r="I293">
        <f t="shared" si="13"/>
        <v>0.14285714285714285</v>
      </c>
      <c r="J293">
        <f t="shared" si="14"/>
        <v>173.14285714285714</v>
      </c>
      <c r="O293">
        <v>851</v>
      </c>
      <c r="P293">
        <v>309.5</v>
      </c>
      <c r="R293">
        <v>626</v>
      </c>
      <c r="S293">
        <v>0.5</v>
      </c>
    </row>
    <row r="294" spans="1:19" ht="15" customHeight="1" x14ac:dyDescent="0.2">
      <c r="A294" s="4">
        <v>851</v>
      </c>
      <c r="B294" s="2" t="s">
        <v>7</v>
      </c>
      <c r="C294" s="2" t="s">
        <v>8</v>
      </c>
      <c r="D294" s="2" t="s">
        <v>9</v>
      </c>
      <c r="E294" s="2">
        <v>2125</v>
      </c>
      <c r="F294" s="3">
        <v>25688</v>
      </c>
      <c r="G294" s="4">
        <v>3370003000</v>
      </c>
      <c r="H294">
        <f t="shared" si="12"/>
        <v>309.5</v>
      </c>
      <c r="I294">
        <f t="shared" si="13"/>
        <v>0.4</v>
      </c>
      <c r="J294">
        <f t="shared" si="14"/>
        <v>123.80000000000001</v>
      </c>
      <c r="O294">
        <v>852</v>
      </c>
      <c r="P294">
        <v>309.5</v>
      </c>
      <c r="R294">
        <v>628</v>
      </c>
      <c r="S294">
        <v>0.14285714285714285</v>
      </c>
    </row>
    <row r="295" spans="1:19" ht="15" customHeight="1" x14ac:dyDescent="0.2">
      <c r="A295" s="4">
        <v>852</v>
      </c>
      <c r="B295" s="2" t="s">
        <v>7</v>
      </c>
      <c r="C295" s="2" t="s">
        <v>8</v>
      </c>
      <c r="D295" s="2" t="s">
        <v>9</v>
      </c>
      <c r="E295" s="2">
        <v>21712</v>
      </c>
      <c r="F295" s="3">
        <v>25688</v>
      </c>
      <c r="G295" s="4">
        <v>1165113000</v>
      </c>
      <c r="H295">
        <f t="shared" si="12"/>
        <v>309.5</v>
      </c>
      <c r="I295">
        <f t="shared" si="13"/>
        <v>0.5714285714285714</v>
      </c>
      <c r="J295">
        <f t="shared" si="14"/>
        <v>176.85714285714286</v>
      </c>
      <c r="O295">
        <v>853</v>
      </c>
      <c r="P295">
        <v>532</v>
      </c>
      <c r="R295">
        <v>649</v>
      </c>
      <c r="S295">
        <v>0.42857142857142855</v>
      </c>
    </row>
    <row r="296" spans="1:19" ht="15" customHeight="1" x14ac:dyDescent="0.2">
      <c r="A296" s="4">
        <v>853</v>
      </c>
      <c r="B296" s="2" t="s">
        <v>7</v>
      </c>
      <c r="C296" s="2" t="s">
        <v>12</v>
      </c>
      <c r="D296" s="2" t="s">
        <v>19</v>
      </c>
      <c r="F296" s="3">
        <v>25688</v>
      </c>
      <c r="G296" s="4">
        <v>1014001</v>
      </c>
      <c r="H296">
        <f t="shared" si="12"/>
        <v>532</v>
      </c>
      <c r="I296">
        <f t="shared" si="13"/>
        <v>0.5714285714285714</v>
      </c>
      <c r="J296">
        <f t="shared" si="14"/>
        <v>304</v>
      </c>
      <c r="O296">
        <v>863</v>
      </c>
      <c r="P296">
        <v>309.5</v>
      </c>
      <c r="R296">
        <v>651</v>
      </c>
      <c r="S296">
        <v>0.14285714285714285</v>
      </c>
    </row>
    <row r="297" spans="1:19" ht="15" customHeight="1" x14ac:dyDescent="0.2">
      <c r="A297" s="4">
        <v>863</v>
      </c>
      <c r="B297" s="2" t="s">
        <v>7</v>
      </c>
      <c r="C297" s="2" t="s">
        <v>8</v>
      </c>
      <c r="D297" s="2" t="s">
        <v>9</v>
      </c>
      <c r="E297" s="2">
        <v>1378</v>
      </c>
      <c r="F297" s="3">
        <v>25688</v>
      </c>
      <c r="G297" s="4">
        <v>1748001000</v>
      </c>
      <c r="H297">
        <f t="shared" si="12"/>
        <v>309.5</v>
      </c>
      <c r="I297">
        <f t="shared" si="13"/>
        <v>1.3333333333333333</v>
      </c>
      <c r="J297">
        <f t="shared" si="14"/>
        <v>412.66666666666663</v>
      </c>
      <c r="O297">
        <v>866</v>
      </c>
      <c r="P297">
        <v>1212</v>
      </c>
      <c r="R297">
        <v>652</v>
      </c>
      <c r="S297">
        <v>0.5714285714285714</v>
      </c>
    </row>
    <row r="298" spans="1:19" ht="15" customHeight="1" x14ac:dyDescent="0.2">
      <c r="A298" s="4">
        <v>866</v>
      </c>
      <c r="B298" s="2" t="s">
        <v>13</v>
      </c>
      <c r="C298" s="2" t="s">
        <v>8</v>
      </c>
      <c r="D298" s="2" t="s">
        <v>20</v>
      </c>
      <c r="E298" s="2">
        <v>16000</v>
      </c>
      <c r="F298" s="3">
        <v>25688</v>
      </c>
      <c r="G298" s="4">
        <v>3370002000</v>
      </c>
      <c r="H298">
        <f t="shared" si="12"/>
        <v>1212</v>
      </c>
      <c r="I298">
        <f t="shared" si="13"/>
        <v>2</v>
      </c>
      <c r="J298">
        <f t="shared" si="14"/>
        <v>2424</v>
      </c>
      <c r="O298">
        <v>868</v>
      </c>
      <c r="P298">
        <v>992.5</v>
      </c>
      <c r="R298">
        <v>654</v>
      </c>
      <c r="S298">
        <v>0.33333333333333331</v>
      </c>
    </row>
    <row r="299" spans="1:19" ht="15" customHeight="1" x14ac:dyDescent="0.2">
      <c r="A299" s="4">
        <v>868</v>
      </c>
      <c r="B299" s="2" t="s">
        <v>13</v>
      </c>
      <c r="C299" s="2" t="s">
        <v>14</v>
      </c>
      <c r="D299" s="2" t="s">
        <v>70</v>
      </c>
      <c r="E299" s="2">
        <v>223</v>
      </c>
      <c r="F299" s="3">
        <v>35797</v>
      </c>
      <c r="G299" s="4">
        <v>2126001000</v>
      </c>
      <c r="H299">
        <f t="shared" si="12"/>
        <v>992.5</v>
      </c>
      <c r="I299">
        <f t="shared" si="13"/>
        <v>0.7142857142857143</v>
      </c>
      <c r="J299">
        <f t="shared" si="14"/>
        <v>708.92857142857144</v>
      </c>
      <c r="O299">
        <v>869</v>
      </c>
      <c r="P299">
        <v>532</v>
      </c>
      <c r="R299">
        <v>655</v>
      </c>
      <c r="S299">
        <v>0.21428571428571427</v>
      </c>
    </row>
    <row r="300" spans="1:19" ht="26.1" customHeight="1" x14ac:dyDescent="0.2">
      <c r="A300" s="4">
        <v>869</v>
      </c>
      <c r="B300" s="2" t="s">
        <v>7</v>
      </c>
      <c r="C300" s="2" t="s">
        <v>12</v>
      </c>
      <c r="D300" s="2" t="s">
        <v>19</v>
      </c>
      <c r="E300" s="2">
        <v>1042662</v>
      </c>
      <c r="F300" s="3">
        <v>25688</v>
      </c>
      <c r="G300" s="4">
        <v>1014002</v>
      </c>
      <c r="H300">
        <f t="shared" si="12"/>
        <v>532</v>
      </c>
      <c r="I300">
        <f t="shared" si="13"/>
        <v>0.14285714285714285</v>
      </c>
      <c r="J300">
        <f t="shared" si="14"/>
        <v>76</v>
      </c>
      <c r="O300">
        <v>871</v>
      </c>
      <c r="P300">
        <v>1202.5</v>
      </c>
      <c r="R300">
        <v>666</v>
      </c>
      <c r="S300">
        <v>0.2857142857142857</v>
      </c>
    </row>
    <row r="301" spans="1:19" ht="15" customHeight="1" x14ac:dyDescent="0.2">
      <c r="A301" s="4">
        <v>871</v>
      </c>
      <c r="B301" s="2" t="s">
        <v>13</v>
      </c>
      <c r="C301" s="2" t="s">
        <v>21</v>
      </c>
      <c r="D301" s="2" t="s">
        <v>27</v>
      </c>
      <c r="F301" s="3">
        <v>25688</v>
      </c>
      <c r="G301" s="4">
        <v>165001000</v>
      </c>
      <c r="H301">
        <f t="shared" si="12"/>
        <v>1202.5</v>
      </c>
      <c r="I301">
        <f t="shared" si="13"/>
        <v>3.7142857142857144</v>
      </c>
      <c r="J301">
        <f t="shared" si="14"/>
        <v>4466.4285714285716</v>
      </c>
      <c r="O301">
        <v>872</v>
      </c>
      <c r="P301">
        <v>461</v>
      </c>
      <c r="R301">
        <v>670</v>
      </c>
      <c r="S301">
        <v>0.5714285714285714</v>
      </c>
    </row>
    <row r="302" spans="1:19" ht="15" customHeight="1" x14ac:dyDescent="0.2">
      <c r="A302" s="4">
        <v>872</v>
      </c>
      <c r="B302" s="2" t="s">
        <v>7</v>
      </c>
      <c r="C302" s="2" t="s">
        <v>8</v>
      </c>
      <c r="D302" s="2" t="s">
        <v>17</v>
      </c>
      <c r="E302" s="2">
        <v>7989</v>
      </c>
      <c r="F302" s="3">
        <v>25688</v>
      </c>
      <c r="G302" s="4">
        <v>1014001</v>
      </c>
      <c r="H302">
        <f t="shared" si="12"/>
        <v>461</v>
      </c>
      <c r="I302">
        <f t="shared" si="13"/>
        <v>3.7142857142857144</v>
      </c>
      <c r="J302">
        <f t="shared" si="14"/>
        <v>1712.2857142857144</v>
      </c>
      <c r="O302">
        <v>873</v>
      </c>
      <c r="P302">
        <v>309.5</v>
      </c>
      <c r="R302">
        <v>674</v>
      </c>
      <c r="S302">
        <v>0.5714285714285714</v>
      </c>
    </row>
    <row r="303" spans="1:19" ht="15" customHeight="1" x14ac:dyDescent="0.2">
      <c r="A303" s="4">
        <v>873</v>
      </c>
      <c r="B303" s="2" t="s">
        <v>7</v>
      </c>
      <c r="C303" s="2" t="s">
        <v>8</v>
      </c>
      <c r="D303" s="2" t="s">
        <v>9</v>
      </c>
      <c r="E303" s="2">
        <v>1220</v>
      </c>
      <c r="F303" s="3">
        <v>25688</v>
      </c>
      <c r="G303" s="4">
        <v>2675001000</v>
      </c>
      <c r="H303">
        <f t="shared" si="12"/>
        <v>309.5</v>
      </c>
      <c r="I303">
        <f t="shared" si="13"/>
        <v>3.3333333333333333E-2</v>
      </c>
      <c r="J303">
        <f t="shared" si="14"/>
        <v>10.316666666666666</v>
      </c>
      <c r="O303">
        <v>876</v>
      </c>
      <c r="P303">
        <v>309.5</v>
      </c>
      <c r="R303">
        <v>678</v>
      </c>
      <c r="S303">
        <v>0.5714285714285714</v>
      </c>
    </row>
    <row r="304" spans="1:19" ht="15" customHeight="1" x14ac:dyDescent="0.2">
      <c r="A304" s="4">
        <v>876</v>
      </c>
      <c r="B304" s="2" t="s">
        <v>7</v>
      </c>
      <c r="C304" s="2" t="s">
        <v>8</v>
      </c>
      <c r="D304" s="2" t="s">
        <v>9</v>
      </c>
      <c r="E304" s="2">
        <v>776</v>
      </c>
      <c r="F304" s="3">
        <v>25688</v>
      </c>
      <c r="G304" s="4">
        <v>193012000</v>
      </c>
      <c r="H304">
        <f t="shared" si="12"/>
        <v>309.5</v>
      </c>
      <c r="I304">
        <f t="shared" si="13"/>
        <v>3</v>
      </c>
      <c r="J304">
        <f t="shared" si="14"/>
        <v>928.5</v>
      </c>
      <c r="O304">
        <v>884</v>
      </c>
      <c r="P304">
        <v>461</v>
      </c>
      <c r="R304">
        <v>679</v>
      </c>
      <c r="S304">
        <v>0.66666666666666663</v>
      </c>
    </row>
    <row r="305" spans="1:19" ht="15" customHeight="1" x14ac:dyDescent="0.2">
      <c r="A305" s="4">
        <v>884</v>
      </c>
      <c r="B305" s="2" t="s">
        <v>7</v>
      </c>
      <c r="C305" s="2" t="s">
        <v>8</v>
      </c>
      <c r="D305" s="2" t="s">
        <v>17</v>
      </c>
      <c r="E305" s="2">
        <v>17446</v>
      </c>
      <c r="F305" s="3">
        <v>25688</v>
      </c>
      <c r="G305" s="4">
        <v>1000005</v>
      </c>
      <c r="H305">
        <f t="shared" si="12"/>
        <v>461</v>
      </c>
      <c r="I305">
        <f t="shared" si="13"/>
        <v>3</v>
      </c>
      <c r="J305">
        <f t="shared" si="14"/>
        <v>1383</v>
      </c>
      <c r="O305">
        <v>894</v>
      </c>
      <c r="P305">
        <v>309.5</v>
      </c>
      <c r="R305">
        <v>683</v>
      </c>
      <c r="S305">
        <v>0.2857142857142857</v>
      </c>
    </row>
    <row r="306" spans="1:19" ht="15" customHeight="1" x14ac:dyDescent="0.2">
      <c r="A306" s="4">
        <v>894</v>
      </c>
      <c r="B306" s="2" t="s">
        <v>7</v>
      </c>
      <c r="C306" s="2" t="s">
        <v>8</v>
      </c>
      <c r="D306" s="2" t="s">
        <v>9</v>
      </c>
      <c r="F306" s="3">
        <v>25688</v>
      </c>
      <c r="G306" s="4">
        <v>3207012000</v>
      </c>
      <c r="H306">
        <f t="shared" si="12"/>
        <v>309.5</v>
      </c>
      <c r="I306">
        <f t="shared" si="13"/>
        <v>0.2857142857142857</v>
      </c>
      <c r="J306">
        <f t="shared" si="14"/>
        <v>88.428571428571431</v>
      </c>
      <c r="O306">
        <v>897</v>
      </c>
      <c r="P306">
        <v>0</v>
      </c>
      <c r="R306">
        <v>688</v>
      </c>
      <c r="S306">
        <v>2.5</v>
      </c>
    </row>
    <row r="307" spans="1:19" ht="15" customHeight="1" x14ac:dyDescent="0.2">
      <c r="A307" s="4">
        <v>897</v>
      </c>
      <c r="B307" s="2" t="s">
        <v>7</v>
      </c>
      <c r="C307" s="2" t="s">
        <v>14</v>
      </c>
      <c r="D307" s="2" t="s">
        <v>71</v>
      </c>
      <c r="E307" s="2">
        <v>2329</v>
      </c>
      <c r="F307" s="3">
        <v>25688</v>
      </c>
      <c r="G307" s="4">
        <v>2126001000</v>
      </c>
      <c r="H307">
        <f t="shared" si="12"/>
        <v>0</v>
      </c>
      <c r="I307">
        <f t="shared" si="13"/>
        <v>1.7142857142857142</v>
      </c>
      <c r="J307">
        <f t="shared" si="14"/>
        <v>0</v>
      </c>
      <c r="O307">
        <v>899</v>
      </c>
      <c r="P307">
        <v>309.5</v>
      </c>
      <c r="R307">
        <v>693</v>
      </c>
      <c r="S307">
        <v>2</v>
      </c>
    </row>
    <row r="308" spans="1:19" ht="15" customHeight="1" x14ac:dyDescent="0.2">
      <c r="A308" s="4">
        <v>899</v>
      </c>
      <c r="B308" s="2" t="s">
        <v>7</v>
      </c>
      <c r="C308" s="2" t="s">
        <v>8</v>
      </c>
      <c r="D308" s="2" t="s">
        <v>9</v>
      </c>
      <c r="E308" s="2">
        <v>1460</v>
      </c>
      <c r="F308" s="3">
        <v>25688</v>
      </c>
      <c r="G308" s="4">
        <v>1406006000</v>
      </c>
      <c r="H308">
        <f t="shared" si="12"/>
        <v>309.5</v>
      </c>
      <c r="I308">
        <f t="shared" si="13"/>
        <v>0.5714285714285714</v>
      </c>
      <c r="J308">
        <f t="shared" si="14"/>
        <v>176.85714285714286</v>
      </c>
      <c r="O308">
        <v>910</v>
      </c>
      <c r="P308">
        <v>309.5</v>
      </c>
      <c r="R308">
        <v>701</v>
      </c>
      <c r="S308">
        <v>0.5714285714285714</v>
      </c>
    </row>
    <row r="309" spans="1:19" ht="15" customHeight="1" x14ac:dyDescent="0.2">
      <c r="A309" s="4">
        <v>910</v>
      </c>
      <c r="B309" s="2" t="s">
        <v>7</v>
      </c>
      <c r="C309" s="2" t="s">
        <v>8</v>
      </c>
      <c r="D309" s="2" t="s">
        <v>9</v>
      </c>
      <c r="E309" s="2">
        <v>11270</v>
      </c>
      <c r="F309" s="3">
        <v>25688</v>
      </c>
      <c r="G309" s="4">
        <v>3042060001</v>
      </c>
      <c r="H309">
        <f t="shared" si="12"/>
        <v>309.5</v>
      </c>
      <c r="I309">
        <f t="shared" si="13"/>
        <v>9.5238095238095233E-2</v>
      </c>
      <c r="J309">
        <f t="shared" si="14"/>
        <v>29.476190476190474</v>
      </c>
      <c r="O309">
        <v>915</v>
      </c>
      <c r="P309">
        <v>309.5</v>
      </c>
      <c r="R309">
        <v>711</v>
      </c>
      <c r="S309">
        <v>2</v>
      </c>
    </row>
    <row r="310" spans="1:19" ht="15" customHeight="1" x14ac:dyDescent="0.2">
      <c r="A310" s="4">
        <v>915</v>
      </c>
      <c r="B310" s="2" t="s">
        <v>7</v>
      </c>
      <c r="C310" s="2" t="s">
        <v>8</v>
      </c>
      <c r="D310" s="2" t="s">
        <v>9</v>
      </c>
      <c r="F310" s="3">
        <v>25688</v>
      </c>
      <c r="G310" s="4">
        <v>2315001000</v>
      </c>
      <c r="H310">
        <f t="shared" si="12"/>
        <v>309.5</v>
      </c>
      <c r="I310">
        <f t="shared" si="13"/>
        <v>0.7142857142857143</v>
      </c>
      <c r="J310">
        <f t="shared" si="14"/>
        <v>221.07142857142858</v>
      </c>
      <c r="O310">
        <v>919</v>
      </c>
      <c r="P310">
        <v>1289</v>
      </c>
      <c r="R310">
        <v>712</v>
      </c>
      <c r="S310">
        <v>3</v>
      </c>
    </row>
    <row r="311" spans="1:19" ht="15" customHeight="1" x14ac:dyDescent="0.2">
      <c r="A311" s="4">
        <v>919</v>
      </c>
      <c r="B311" s="2" t="s">
        <v>13</v>
      </c>
      <c r="C311" s="2" t="s">
        <v>14</v>
      </c>
      <c r="D311" s="2" t="s">
        <v>10</v>
      </c>
      <c r="E311" s="2">
        <v>117419</v>
      </c>
      <c r="F311" s="3">
        <v>25688</v>
      </c>
      <c r="G311" s="4">
        <v>2548101000</v>
      </c>
      <c r="H311">
        <f t="shared" si="12"/>
        <v>1289</v>
      </c>
      <c r="I311">
        <f t="shared" si="13"/>
        <v>0.2</v>
      </c>
      <c r="J311">
        <f t="shared" si="14"/>
        <v>257.8</v>
      </c>
      <c r="O311">
        <v>920</v>
      </c>
      <c r="P311">
        <v>1154</v>
      </c>
      <c r="R311">
        <v>719</v>
      </c>
      <c r="S311">
        <v>0.14285714285714285</v>
      </c>
    </row>
    <row r="312" spans="1:19" ht="15" customHeight="1" x14ac:dyDescent="0.2">
      <c r="A312" s="4">
        <v>920</v>
      </c>
      <c r="B312" s="2" t="s">
        <v>7</v>
      </c>
      <c r="C312" s="2" t="s">
        <v>12</v>
      </c>
      <c r="D312" s="2" t="s">
        <v>10</v>
      </c>
      <c r="F312" s="3">
        <v>25688</v>
      </c>
      <c r="G312" s="4">
        <v>2777001000</v>
      </c>
      <c r="H312">
        <f t="shared" si="12"/>
        <v>1154</v>
      </c>
      <c r="I312">
        <f t="shared" si="13"/>
        <v>0.14285714285714285</v>
      </c>
      <c r="J312">
        <f t="shared" si="14"/>
        <v>164.85714285714286</v>
      </c>
      <c r="O312">
        <v>923</v>
      </c>
      <c r="P312">
        <v>1154</v>
      </c>
      <c r="R312">
        <v>721</v>
      </c>
      <c r="S312">
        <v>0.2857142857142857</v>
      </c>
    </row>
    <row r="313" spans="1:19" ht="15" customHeight="1" x14ac:dyDescent="0.2">
      <c r="A313" s="4">
        <v>923</v>
      </c>
      <c r="B313" s="2" t="s">
        <v>7</v>
      </c>
      <c r="C313" s="2" t="s">
        <v>12</v>
      </c>
      <c r="D313" s="2" t="s">
        <v>10</v>
      </c>
      <c r="F313" s="3">
        <v>25688</v>
      </c>
      <c r="G313" s="4">
        <v>1014001</v>
      </c>
      <c r="H313">
        <f t="shared" si="12"/>
        <v>1154</v>
      </c>
      <c r="I313">
        <f t="shared" si="13"/>
        <v>0.14285714285714285</v>
      </c>
      <c r="J313">
        <f t="shared" si="14"/>
        <v>164.85714285714286</v>
      </c>
      <c r="O313">
        <v>925</v>
      </c>
      <c r="P313">
        <v>1202.5</v>
      </c>
      <c r="R313">
        <v>724</v>
      </c>
      <c r="S313">
        <v>3</v>
      </c>
    </row>
    <row r="314" spans="1:19" ht="15" customHeight="1" x14ac:dyDescent="0.2">
      <c r="A314" s="4">
        <v>925</v>
      </c>
      <c r="B314" s="2" t="s">
        <v>13</v>
      </c>
      <c r="C314" s="2" t="s">
        <v>21</v>
      </c>
      <c r="D314" s="2" t="s">
        <v>27</v>
      </c>
      <c r="F314" s="3">
        <v>25688</v>
      </c>
      <c r="G314" s="4">
        <v>1014001</v>
      </c>
      <c r="H314">
        <f t="shared" si="12"/>
        <v>1202.5</v>
      </c>
      <c r="I314">
        <f t="shared" si="13"/>
        <v>0.14285714285714285</v>
      </c>
      <c r="J314">
        <f t="shared" si="14"/>
        <v>171.78571428571428</v>
      </c>
      <c r="O314">
        <v>930</v>
      </c>
      <c r="P314">
        <v>461</v>
      </c>
      <c r="R314">
        <v>727</v>
      </c>
      <c r="S314">
        <v>0.19047619047619047</v>
      </c>
    </row>
    <row r="315" spans="1:19" ht="15" customHeight="1" x14ac:dyDescent="0.2">
      <c r="A315" s="4">
        <v>930</v>
      </c>
      <c r="B315" s="2" t="s">
        <v>7</v>
      </c>
      <c r="C315" s="2" t="s">
        <v>8</v>
      </c>
      <c r="D315" s="2" t="s">
        <v>17</v>
      </c>
      <c r="E315" s="2">
        <v>938</v>
      </c>
      <c r="F315" s="3">
        <v>25688</v>
      </c>
      <c r="G315" s="4">
        <v>3178001000</v>
      </c>
      <c r="H315">
        <f t="shared" si="12"/>
        <v>461</v>
      </c>
      <c r="I315">
        <f t="shared" si="13"/>
        <v>0.14285714285714285</v>
      </c>
      <c r="J315">
        <f t="shared" si="14"/>
        <v>65.857142857142847</v>
      </c>
      <c r="O315">
        <v>931</v>
      </c>
      <c r="P315">
        <v>241.5</v>
      </c>
      <c r="R315">
        <v>732</v>
      </c>
      <c r="S315">
        <v>0.26666666666666666</v>
      </c>
    </row>
    <row r="316" spans="1:19" ht="15" customHeight="1" x14ac:dyDescent="0.2">
      <c r="A316" s="4">
        <v>931</v>
      </c>
      <c r="B316" s="2" t="s">
        <v>7</v>
      </c>
      <c r="C316" s="2" t="s">
        <v>12</v>
      </c>
      <c r="D316" s="2">
        <v>1014</v>
      </c>
      <c r="E316" s="2">
        <v>18782</v>
      </c>
      <c r="F316" s="3">
        <v>25688</v>
      </c>
      <c r="G316" s="4">
        <v>212005000</v>
      </c>
      <c r="H316">
        <f t="shared" si="12"/>
        <v>241.5</v>
      </c>
      <c r="I316">
        <f t="shared" si="13"/>
        <v>0.14285714285714285</v>
      </c>
      <c r="J316">
        <f t="shared" si="14"/>
        <v>34.5</v>
      </c>
      <c r="O316">
        <v>932</v>
      </c>
      <c r="P316">
        <v>309.5</v>
      </c>
      <c r="R316">
        <v>738</v>
      </c>
      <c r="S316">
        <v>0.21428571428571427</v>
      </c>
    </row>
    <row r="317" spans="1:19" ht="15" customHeight="1" x14ac:dyDescent="0.2">
      <c r="A317" s="4">
        <v>932</v>
      </c>
      <c r="B317" s="2" t="s">
        <v>7</v>
      </c>
      <c r="C317" s="2" t="s">
        <v>8</v>
      </c>
      <c r="D317" s="2" t="s">
        <v>9</v>
      </c>
      <c r="E317" s="2">
        <v>1940</v>
      </c>
      <c r="F317" s="3">
        <v>25688</v>
      </c>
      <c r="G317" s="4">
        <v>1014001</v>
      </c>
      <c r="H317">
        <f t="shared" si="12"/>
        <v>309.5</v>
      </c>
      <c r="I317">
        <f t="shared" si="13"/>
        <v>0.14285714285714285</v>
      </c>
      <c r="J317">
        <f t="shared" si="14"/>
        <v>44.214285714285715</v>
      </c>
      <c r="O317">
        <v>934</v>
      </c>
      <c r="P317">
        <v>1091</v>
      </c>
      <c r="R317">
        <v>753</v>
      </c>
      <c r="S317">
        <v>2</v>
      </c>
    </row>
    <row r="318" spans="1:19" ht="15" customHeight="1" x14ac:dyDescent="0.2">
      <c r="A318" s="4">
        <v>934</v>
      </c>
      <c r="B318" s="2" t="s">
        <v>13</v>
      </c>
      <c r="C318" s="2" t="s">
        <v>14</v>
      </c>
      <c r="D318" s="2" t="s">
        <v>15</v>
      </c>
      <c r="E318" s="2">
        <v>117380</v>
      </c>
      <c r="F318" s="3">
        <v>25688</v>
      </c>
      <c r="G318" s="4">
        <v>1165001000</v>
      </c>
      <c r="H318">
        <f t="shared" si="12"/>
        <v>1091</v>
      </c>
      <c r="I318">
        <f t="shared" si="13"/>
        <v>0.14285714285714285</v>
      </c>
      <c r="J318">
        <f t="shared" si="14"/>
        <v>155.85714285714286</v>
      </c>
      <c r="O318">
        <v>935</v>
      </c>
      <c r="P318">
        <v>461</v>
      </c>
      <c r="R318">
        <v>760</v>
      </c>
      <c r="S318">
        <v>1.5</v>
      </c>
    </row>
    <row r="319" spans="1:19" ht="15" customHeight="1" x14ac:dyDescent="0.2">
      <c r="A319" s="4">
        <v>935</v>
      </c>
      <c r="B319" s="2" t="s">
        <v>7</v>
      </c>
      <c r="C319" s="2" t="s">
        <v>8</v>
      </c>
      <c r="D319" s="2" t="s">
        <v>17</v>
      </c>
      <c r="E319" s="2">
        <v>101252</v>
      </c>
      <c r="F319" s="3">
        <v>25688</v>
      </c>
      <c r="G319" s="4">
        <v>66011000</v>
      </c>
      <c r="H319">
        <f t="shared" si="12"/>
        <v>461</v>
      </c>
      <c r="I319">
        <f t="shared" si="13"/>
        <v>2</v>
      </c>
      <c r="J319">
        <f t="shared" si="14"/>
        <v>922</v>
      </c>
      <c r="O319">
        <v>936</v>
      </c>
      <c r="P319">
        <v>0</v>
      </c>
      <c r="R319">
        <v>763</v>
      </c>
      <c r="S319">
        <v>0.5714285714285714</v>
      </c>
    </row>
    <row r="320" spans="1:19" ht="15" customHeight="1" x14ac:dyDescent="0.2">
      <c r="A320" s="4">
        <v>936</v>
      </c>
      <c r="B320" s="2" t="s">
        <v>13</v>
      </c>
      <c r="C320" s="2" t="s">
        <v>12</v>
      </c>
      <c r="D320" s="2">
        <v>2625</v>
      </c>
      <c r="E320" s="2">
        <v>17844</v>
      </c>
      <c r="F320" s="3">
        <v>25688</v>
      </c>
      <c r="G320" s="4">
        <v>1014001</v>
      </c>
      <c r="H320">
        <f t="shared" si="12"/>
        <v>0</v>
      </c>
      <c r="I320">
        <f t="shared" si="13"/>
        <v>0.5</v>
      </c>
      <c r="J320">
        <f t="shared" si="14"/>
        <v>0</v>
      </c>
      <c r="O320">
        <v>938</v>
      </c>
      <c r="P320">
        <v>309.5</v>
      </c>
      <c r="R320">
        <v>764</v>
      </c>
      <c r="S320">
        <v>1</v>
      </c>
    </row>
    <row r="321" spans="1:19" ht="26.1" customHeight="1" x14ac:dyDescent="0.2">
      <c r="A321" s="4">
        <v>938</v>
      </c>
      <c r="B321" s="2" t="s">
        <v>11</v>
      </c>
      <c r="C321" s="2" t="s">
        <v>8</v>
      </c>
      <c r="D321" s="2" t="s">
        <v>9</v>
      </c>
      <c r="E321" s="2">
        <v>199789</v>
      </c>
      <c r="F321" s="3">
        <v>25688</v>
      </c>
      <c r="G321" s="4">
        <v>165001000</v>
      </c>
      <c r="H321">
        <f t="shared" si="12"/>
        <v>309.5</v>
      </c>
      <c r="I321">
        <f t="shared" si="13"/>
        <v>1.4285714285714286</v>
      </c>
      <c r="J321">
        <f t="shared" si="14"/>
        <v>442.14285714285717</v>
      </c>
      <c r="O321">
        <v>945</v>
      </c>
      <c r="P321">
        <v>309.5</v>
      </c>
      <c r="R321">
        <v>775</v>
      </c>
      <c r="S321">
        <v>0.33333333333333331</v>
      </c>
    </row>
    <row r="322" spans="1:19" ht="15" customHeight="1" x14ac:dyDescent="0.2">
      <c r="A322" s="4">
        <v>945</v>
      </c>
      <c r="B322" s="2" t="s">
        <v>7</v>
      </c>
      <c r="C322" s="2" t="s">
        <v>8</v>
      </c>
      <c r="D322" s="2" t="s">
        <v>9</v>
      </c>
      <c r="E322" s="2">
        <v>10508</v>
      </c>
      <c r="F322" s="3">
        <v>25688</v>
      </c>
      <c r="G322" s="4">
        <v>165001000</v>
      </c>
      <c r="H322">
        <f t="shared" ref="H322:H385" si="15">VLOOKUP(A322,O:P,2)</f>
        <v>309.5</v>
      </c>
      <c r="I322">
        <f t="shared" ref="I322:I385" si="16">VLOOKUP(A322,R:S,2)</f>
        <v>1.4285714285714286</v>
      </c>
      <c r="J322">
        <f t="shared" ref="J322:J385" si="17">H322*I322</f>
        <v>442.14285714285717</v>
      </c>
      <c r="O322">
        <v>949</v>
      </c>
      <c r="P322">
        <v>1212</v>
      </c>
      <c r="R322">
        <v>776</v>
      </c>
      <c r="S322">
        <v>0.14285714285714285</v>
      </c>
    </row>
    <row r="323" spans="1:19" ht="15" customHeight="1" x14ac:dyDescent="0.2">
      <c r="A323" s="4">
        <v>949</v>
      </c>
      <c r="B323" s="2" t="s">
        <v>13</v>
      </c>
      <c r="C323" s="2" t="s">
        <v>8</v>
      </c>
      <c r="D323" s="2" t="s">
        <v>20</v>
      </c>
      <c r="E323" s="2">
        <v>15998</v>
      </c>
      <c r="F323" s="3">
        <v>25688</v>
      </c>
      <c r="G323" s="4">
        <v>2126001000</v>
      </c>
      <c r="H323">
        <f t="shared" si="15"/>
        <v>1212</v>
      </c>
      <c r="I323">
        <f t="shared" si="16"/>
        <v>0.7142857142857143</v>
      </c>
      <c r="J323">
        <f t="shared" si="17"/>
        <v>865.71428571428578</v>
      </c>
      <c r="O323">
        <v>950</v>
      </c>
      <c r="P323">
        <v>1154</v>
      </c>
      <c r="R323">
        <v>780</v>
      </c>
      <c r="S323">
        <v>0.33333333333333331</v>
      </c>
    </row>
    <row r="324" spans="1:19" ht="15" customHeight="1" x14ac:dyDescent="0.2">
      <c r="A324" s="4">
        <v>950</v>
      </c>
      <c r="B324" s="2" t="s">
        <v>7</v>
      </c>
      <c r="C324" s="2" t="s">
        <v>12</v>
      </c>
      <c r="D324" s="2" t="s">
        <v>10</v>
      </c>
      <c r="F324" s="3">
        <v>25688</v>
      </c>
      <c r="G324" s="4">
        <v>1967007000</v>
      </c>
      <c r="H324">
        <f t="shared" si="15"/>
        <v>1154</v>
      </c>
      <c r="I324">
        <f t="shared" si="16"/>
        <v>0.8571428571428571</v>
      </c>
      <c r="J324">
        <f t="shared" si="17"/>
        <v>989.14285714285711</v>
      </c>
      <c r="O324">
        <v>954</v>
      </c>
      <c r="P324">
        <v>309.5</v>
      </c>
      <c r="R324">
        <v>786</v>
      </c>
      <c r="S324">
        <v>0.42857142857142855</v>
      </c>
    </row>
    <row r="325" spans="1:19" ht="15" customHeight="1" x14ac:dyDescent="0.2">
      <c r="A325" s="4">
        <v>954</v>
      </c>
      <c r="B325" s="2" t="s">
        <v>7</v>
      </c>
      <c r="C325" s="2" t="s">
        <v>8</v>
      </c>
      <c r="D325" s="2" t="s">
        <v>9</v>
      </c>
      <c r="E325" s="2">
        <v>814</v>
      </c>
      <c r="F325" s="3">
        <v>25688</v>
      </c>
      <c r="G325" s="4">
        <v>165001000</v>
      </c>
      <c r="H325">
        <f t="shared" si="15"/>
        <v>309.5</v>
      </c>
      <c r="I325">
        <f t="shared" si="16"/>
        <v>3.7142857142857144</v>
      </c>
      <c r="J325">
        <f t="shared" si="17"/>
        <v>1149.5714285714287</v>
      </c>
      <c r="O325">
        <v>955</v>
      </c>
      <c r="P325">
        <v>1212</v>
      </c>
      <c r="R325">
        <v>795</v>
      </c>
      <c r="S325">
        <v>7.1428571428571425E-2</v>
      </c>
    </row>
    <row r="326" spans="1:19" ht="15" customHeight="1" x14ac:dyDescent="0.2">
      <c r="A326" s="4">
        <v>955</v>
      </c>
      <c r="B326" s="2" t="s">
        <v>13</v>
      </c>
      <c r="C326" s="2" t="s">
        <v>8</v>
      </c>
      <c r="D326" s="2" t="s">
        <v>20</v>
      </c>
      <c r="E326" s="2">
        <v>2871</v>
      </c>
      <c r="F326" s="3">
        <v>25688</v>
      </c>
      <c r="G326" s="4">
        <v>1406001000</v>
      </c>
      <c r="H326">
        <f t="shared" si="15"/>
        <v>1212</v>
      </c>
      <c r="I326">
        <f t="shared" si="16"/>
        <v>0.21428571428571427</v>
      </c>
      <c r="J326">
        <f t="shared" si="17"/>
        <v>259.71428571428572</v>
      </c>
      <c r="O326">
        <v>964</v>
      </c>
      <c r="P326">
        <v>532</v>
      </c>
      <c r="R326">
        <v>796</v>
      </c>
      <c r="S326">
        <v>0.2857142857142857</v>
      </c>
    </row>
    <row r="327" spans="1:19" ht="15" customHeight="1" x14ac:dyDescent="0.2">
      <c r="A327" s="4">
        <v>964</v>
      </c>
      <c r="B327" s="2" t="s">
        <v>7</v>
      </c>
      <c r="C327" s="2" t="s">
        <v>12</v>
      </c>
      <c r="D327" s="2" t="s">
        <v>19</v>
      </c>
      <c r="F327" s="3">
        <v>25688</v>
      </c>
      <c r="G327" s="4">
        <v>43006000</v>
      </c>
      <c r="H327">
        <f t="shared" si="15"/>
        <v>532</v>
      </c>
      <c r="I327">
        <f t="shared" si="16"/>
        <v>0.5714285714285714</v>
      </c>
      <c r="J327">
        <f t="shared" si="17"/>
        <v>304</v>
      </c>
      <c r="O327">
        <v>965</v>
      </c>
      <c r="P327">
        <v>1154</v>
      </c>
      <c r="R327">
        <v>825</v>
      </c>
      <c r="S327">
        <v>0.2857142857142857</v>
      </c>
    </row>
    <row r="328" spans="1:19" ht="15" customHeight="1" x14ac:dyDescent="0.2">
      <c r="A328" s="4">
        <v>965</v>
      </c>
      <c r="B328" s="2" t="s">
        <v>7</v>
      </c>
      <c r="C328" s="2" t="s">
        <v>12</v>
      </c>
      <c r="D328" s="2" t="s">
        <v>10</v>
      </c>
      <c r="F328" s="3">
        <v>25688</v>
      </c>
      <c r="G328" s="4">
        <v>1165000000</v>
      </c>
      <c r="H328">
        <f t="shared" si="15"/>
        <v>1154</v>
      </c>
      <c r="I328">
        <f t="shared" si="16"/>
        <v>0.5714285714285714</v>
      </c>
      <c r="J328">
        <f t="shared" si="17"/>
        <v>659.42857142857144</v>
      </c>
      <c r="O328">
        <v>972</v>
      </c>
      <c r="P328">
        <v>1212</v>
      </c>
      <c r="R328">
        <v>832</v>
      </c>
      <c r="S328">
        <v>0.8571428571428571</v>
      </c>
    </row>
    <row r="329" spans="1:19" ht="15" customHeight="1" x14ac:dyDescent="0.2">
      <c r="A329" s="4">
        <v>972</v>
      </c>
      <c r="B329" s="2" t="s">
        <v>13</v>
      </c>
      <c r="C329" s="2" t="s">
        <v>8</v>
      </c>
      <c r="D329" s="2" t="s">
        <v>20</v>
      </c>
      <c r="E329" s="2">
        <v>4081</v>
      </c>
      <c r="F329" s="3">
        <v>25688</v>
      </c>
      <c r="G329" s="4">
        <v>66011000</v>
      </c>
      <c r="H329">
        <f t="shared" si="15"/>
        <v>1212</v>
      </c>
      <c r="I329">
        <f t="shared" si="16"/>
        <v>0.14285714285714285</v>
      </c>
      <c r="J329">
        <f t="shared" si="17"/>
        <v>173.14285714285714</v>
      </c>
      <c r="O329">
        <v>979</v>
      </c>
      <c r="P329">
        <v>309.5</v>
      </c>
      <c r="R329">
        <v>840</v>
      </c>
      <c r="S329">
        <v>0.2857142857142857</v>
      </c>
    </row>
    <row r="330" spans="1:19" ht="15" customHeight="1" x14ac:dyDescent="0.2">
      <c r="A330" s="4">
        <v>979</v>
      </c>
      <c r="B330" s="2" t="s">
        <v>7</v>
      </c>
      <c r="C330" s="2" t="s">
        <v>8</v>
      </c>
      <c r="D330" s="2" t="s">
        <v>9</v>
      </c>
      <c r="E330" s="2">
        <v>10787</v>
      </c>
      <c r="F330" s="3">
        <v>25688</v>
      </c>
      <c r="G330" s="4">
        <v>2548053000</v>
      </c>
      <c r="H330">
        <f t="shared" si="15"/>
        <v>309.5</v>
      </c>
      <c r="I330">
        <f t="shared" si="16"/>
        <v>0.42857142857142855</v>
      </c>
      <c r="J330">
        <f t="shared" si="17"/>
        <v>132.64285714285714</v>
      </c>
      <c r="O330">
        <v>997</v>
      </c>
      <c r="P330">
        <v>0</v>
      </c>
      <c r="R330">
        <v>844</v>
      </c>
      <c r="S330">
        <v>3.7142857142857144</v>
      </c>
    </row>
    <row r="331" spans="1:19" ht="15" customHeight="1" x14ac:dyDescent="0.2">
      <c r="A331" s="4">
        <v>997</v>
      </c>
      <c r="B331" s="2" t="s">
        <v>51</v>
      </c>
      <c r="C331" s="2" t="s">
        <v>72</v>
      </c>
      <c r="D331" s="2" t="s">
        <v>10</v>
      </c>
      <c r="E331" s="2">
        <v>492870</v>
      </c>
      <c r="F331" s="3">
        <v>25688</v>
      </c>
      <c r="G331" s="4">
        <v>1014001</v>
      </c>
      <c r="H331">
        <f t="shared" si="15"/>
        <v>0</v>
      </c>
      <c r="I331">
        <f t="shared" si="16"/>
        <v>0.42857142857142855</v>
      </c>
      <c r="J331">
        <f t="shared" si="17"/>
        <v>0</v>
      </c>
      <c r="O331">
        <v>1002</v>
      </c>
      <c r="P331">
        <v>461</v>
      </c>
      <c r="R331">
        <v>846</v>
      </c>
      <c r="S331">
        <v>6.6666666666666666E-2</v>
      </c>
    </row>
    <row r="332" spans="1:19" ht="15" customHeight="1" x14ac:dyDescent="0.2">
      <c r="A332" s="4">
        <v>1002</v>
      </c>
      <c r="B332" s="2" t="s">
        <v>7</v>
      </c>
      <c r="C332" s="2" t="s">
        <v>8</v>
      </c>
      <c r="D332" s="2" t="s">
        <v>17</v>
      </c>
      <c r="E332" s="2">
        <v>7941</v>
      </c>
      <c r="F332" s="3">
        <v>25688</v>
      </c>
      <c r="G332" s="4">
        <v>3383001000</v>
      </c>
      <c r="H332">
        <f t="shared" si="15"/>
        <v>461</v>
      </c>
      <c r="I332">
        <f t="shared" si="16"/>
        <v>0.42857142857142855</v>
      </c>
      <c r="J332">
        <f t="shared" si="17"/>
        <v>197.57142857142856</v>
      </c>
      <c r="O332">
        <v>1003</v>
      </c>
      <c r="P332">
        <v>309.5</v>
      </c>
      <c r="R332">
        <v>848</v>
      </c>
      <c r="S332">
        <v>0.14285714285714285</v>
      </c>
    </row>
    <row r="333" spans="1:19" ht="26.1" customHeight="1" x14ac:dyDescent="0.2">
      <c r="A333" s="4">
        <v>1003</v>
      </c>
      <c r="B333" s="2" t="s">
        <v>11</v>
      </c>
      <c r="C333" s="2" t="s">
        <v>8</v>
      </c>
      <c r="D333" s="2" t="s">
        <v>9</v>
      </c>
      <c r="F333" s="3">
        <v>25688</v>
      </c>
      <c r="G333" s="4">
        <v>1967007000</v>
      </c>
      <c r="H333">
        <f t="shared" si="15"/>
        <v>309.5</v>
      </c>
      <c r="I333">
        <f t="shared" si="16"/>
        <v>6.6666666666666666E-2</v>
      </c>
      <c r="J333">
        <f t="shared" si="17"/>
        <v>20.633333333333333</v>
      </c>
      <c r="O333">
        <v>1004</v>
      </c>
      <c r="P333">
        <v>309.5</v>
      </c>
      <c r="R333">
        <v>849</v>
      </c>
      <c r="S333">
        <v>0.14285714285714285</v>
      </c>
    </row>
    <row r="334" spans="1:19" ht="15" customHeight="1" x14ac:dyDescent="0.2">
      <c r="A334" s="4">
        <v>1004</v>
      </c>
      <c r="B334" s="2" t="s">
        <v>7</v>
      </c>
      <c r="C334" s="2" t="s">
        <v>8</v>
      </c>
      <c r="D334" s="2" t="s">
        <v>9</v>
      </c>
      <c r="E334" s="2">
        <v>579</v>
      </c>
      <c r="F334" s="3">
        <v>25688</v>
      </c>
      <c r="G334" s="4">
        <v>43006000</v>
      </c>
      <c r="H334">
        <f t="shared" si="15"/>
        <v>309.5</v>
      </c>
      <c r="I334">
        <f t="shared" si="16"/>
        <v>2</v>
      </c>
      <c r="J334">
        <f t="shared" si="17"/>
        <v>619</v>
      </c>
      <c r="O334">
        <v>1007</v>
      </c>
      <c r="P334">
        <v>1154</v>
      </c>
      <c r="R334">
        <v>851</v>
      </c>
      <c r="S334">
        <v>0.4</v>
      </c>
    </row>
    <row r="335" spans="1:19" ht="26.1" customHeight="1" x14ac:dyDescent="0.2">
      <c r="A335" s="4">
        <v>1007</v>
      </c>
      <c r="B335" s="2" t="s">
        <v>11</v>
      </c>
      <c r="C335" s="2" t="s">
        <v>12</v>
      </c>
      <c r="D335" s="2" t="s">
        <v>10</v>
      </c>
      <c r="F335" s="3">
        <v>25688</v>
      </c>
      <c r="G335" s="4">
        <v>1165000000</v>
      </c>
      <c r="H335">
        <f t="shared" si="15"/>
        <v>1154</v>
      </c>
      <c r="I335">
        <f t="shared" si="16"/>
        <v>0.5714285714285714</v>
      </c>
      <c r="J335">
        <f t="shared" si="17"/>
        <v>659.42857142857144</v>
      </c>
      <c r="O335">
        <v>1013</v>
      </c>
      <c r="P335">
        <v>629</v>
      </c>
      <c r="R335">
        <v>852</v>
      </c>
      <c r="S335">
        <v>0.5714285714285714</v>
      </c>
    </row>
    <row r="336" spans="1:19" ht="15" customHeight="1" x14ac:dyDescent="0.2">
      <c r="A336" s="4">
        <v>1013</v>
      </c>
      <c r="B336" s="2" t="s">
        <v>7</v>
      </c>
      <c r="C336" s="2" t="s">
        <v>14</v>
      </c>
      <c r="D336" s="2" t="s">
        <v>53</v>
      </c>
      <c r="F336" s="3">
        <v>25688</v>
      </c>
      <c r="G336" s="4">
        <v>3319002000</v>
      </c>
      <c r="H336">
        <f t="shared" si="15"/>
        <v>629</v>
      </c>
      <c r="I336">
        <f t="shared" si="16"/>
        <v>0.66666666666666663</v>
      </c>
      <c r="J336">
        <f t="shared" si="17"/>
        <v>419.33333333333331</v>
      </c>
      <c r="O336">
        <v>1030</v>
      </c>
      <c r="P336">
        <v>1202.5</v>
      </c>
      <c r="R336">
        <v>863</v>
      </c>
      <c r="S336">
        <v>1.3333333333333333</v>
      </c>
    </row>
    <row r="337" spans="1:19" ht="15" customHeight="1" x14ac:dyDescent="0.2">
      <c r="A337" s="4">
        <v>1030</v>
      </c>
      <c r="B337" s="2" t="s">
        <v>13</v>
      </c>
      <c r="C337" s="2" t="s">
        <v>21</v>
      </c>
      <c r="D337" s="2" t="s">
        <v>27</v>
      </c>
      <c r="F337" s="3">
        <v>25688</v>
      </c>
      <c r="G337" s="4">
        <v>2126006000</v>
      </c>
      <c r="H337">
        <f t="shared" si="15"/>
        <v>1202.5</v>
      </c>
      <c r="I337">
        <f t="shared" si="16"/>
        <v>1</v>
      </c>
      <c r="J337">
        <f t="shared" si="17"/>
        <v>1202.5</v>
      </c>
      <c r="O337">
        <v>1031</v>
      </c>
      <c r="P337">
        <v>461</v>
      </c>
      <c r="R337">
        <v>866</v>
      </c>
      <c r="S337">
        <v>2</v>
      </c>
    </row>
    <row r="338" spans="1:19" ht="15" customHeight="1" x14ac:dyDescent="0.2">
      <c r="A338" s="4">
        <v>1031</v>
      </c>
      <c r="B338" s="2" t="s">
        <v>7</v>
      </c>
      <c r="C338" s="2" t="s">
        <v>8</v>
      </c>
      <c r="D338" s="2" t="s">
        <v>17</v>
      </c>
      <c r="E338" s="2">
        <v>8728</v>
      </c>
      <c r="F338" s="3">
        <v>25688</v>
      </c>
      <c r="G338" s="4">
        <v>3300202000</v>
      </c>
      <c r="H338">
        <f t="shared" si="15"/>
        <v>461</v>
      </c>
      <c r="I338">
        <f t="shared" si="16"/>
        <v>0.66666666666666663</v>
      </c>
      <c r="J338">
        <f t="shared" si="17"/>
        <v>307.33333333333331</v>
      </c>
      <c r="O338">
        <v>1035</v>
      </c>
      <c r="P338">
        <v>309.5</v>
      </c>
      <c r="R338">
        <v>868</v>
      </c>
      <c r="S338">
        <v>0.7142857142857143</v>
      </c>
    </row>
    <row r="339" spans="1:19" ht="15" customHeight="1" x14ac:dyDescent="0.2">
      <c r="A339" s="4">
        <v>1035</v>
      </c>
      <c r="B339" s="2" t="s">
        <v>7</v>
      </c>
      <c r="C339" s="2" t="s">
        <v>8</v>
      </c>
      <c r="D339" s="2" t="s">
        <v>9</v>
      </c>
      <c r="E339" s="2">
        <v>5176</v>
      </c>
      <c r="F339" s="3">
        <v>25688</v>
      </c>
      <c r="G339" s="4">
        <v>3284001000</v>
      </c>
      <c r="H339">
        <f t="shared" si="15"/>
        <v>309.5</v>
      </c>
      <c r="I339">
        <f t="shared" si="16"/>
        <v>0.66666666666666663</v>
      </c>
      <c r="J339">
        <f t="shared" si="17"/>
        <v>206.33333333333331</v>
      </c>
      <c r="O339">
        <v>1042</v>
      </c>
      <c r="P339">
        <v>1212</v>
      </c>
      <c r="R339">
        <v>869</v>
      </c>
      <c r="S339">
        <v>0.14285714285714285</v>
      </c>
    </row>
    <row r="340" spans="1:19" ht="15" customHeight="1" x14ac:dyDescent="0.2">
      <c r="A340" s="4">
        <v>1042</v>
      </c>
      <c r="B340" s="2" t="s">
        <v>13</v>
      </c>
      <c r="C340" s="2" t="s">
        <v>8</v>
      </c>
      <c r="D340" s="2" t="s">
        <v>20</v>
      </c>
      <c r="F340" s="3">
        <v>25688</v>
      </c>
      <c r="G340" s="4">
        <v>2735001000</v>
      </c>
      <c r="H340">
        <f t="shared" si="15"/>
        <v>1212</v>
      </c>
      <c r="I340">
        <f t="shared" si="16"/>
        <v>0.42857142857142855</v>
      </c>
      <c r="J340">
        <f t="shared" si="17"/>
        <v>519.42857142857144</v>
      </c>
      <c r="O340">
        <v>1049</v>
      </c>
      <c r="P340">
        <v>1154</v>
      </c>
      <c r="R340">
        <v>871</v>
      </c>
      <c r="S340">
        <v>3.7142857142857144</v>
      </c>
    </row>
    <row r="341" spans="1:19" ht="15" customHeight="1" x14ac:dyDescent="0.2">
      <c r="A341" s="4">
        <v>1049</v>
      </c>
      <c r="B341" s="2" t="s">
        <v>7</v>
      </c>
      <c r="C341" s="2" t="s">
        <v>12</v>
      </c>
      <c r="D341" s="2" t="s">
        <v>10</v>
      </c>
      <c r="F341" s="3">
        <v>25688</v>
      </c>
      <c r="G341" s="4">
        <v>3034001000</v>
      </c>
      <c r="H341">
        <f t="shared" si="15"/>
        <v>1154</v>
      </c>
      <c r="I341">
        <f t="shared" si="16"/>
        <v>0.7142857142857143</v>
      </c>
      <c r="J341">
        <f t="shared" si="17"/>
        <v>824.28571428571433</v>
      </c>
      <c r="O341">
        <v>1051</v>
      </c>
      <c r="P341">
        <v>309.5</v>
      </c>
      <c r="R341">
        <v>873</v>
      </c>
      <c r="S341">
        <v>3.3333333333333333E-2</v>
      </c>
    </row>
    <row r="342" spans="1:19" ht="15" customHeight="1" x14ac:dyDescent="0.2">
      <c r="A342" s="4">
        <v>1051</v>
      </c>
      <c r="B342" s="2" t="s">
        <v>7</v>
      </c>
      <c r="C342" s="2" t="s">
        <v>8</v>
      </c>
      <c r="D342" s="2" t="s">
        <v>9</v>
      </c>
      <c r="E342" s="2">
        <v>1235</v>
      </c>
      <c r="F342" s="3">
        <v>25688</v>
      </c>
      <c r="G342" s="4">
        <v>3343001000</v>
      </c>
      <c r="H342">
        <f t="shared" si="15"/>
        <v>309.5</v>
      </c>
      <c r="I342">
        <f t="shared" si="16"/>
        <v>0.2857142857142857</v>
      </c>
      <c r="J342">
        <f t="shared" si="17"/>
        <v>88.428571428571431</v>
      </c>
      <c r="O342">
        <v>1053</v>
      </c>
      <c r="P342">
        <v>1154</v>
      </c>
      <c r="R342">
        <v>876</v>
      </c>
      <c r="S342">
        <v>3</v>
      </c>
    </row>
    <row r="343" spans="1:19" ht="15" customHeight="1" x14ac:dyDescent="0.2">
      <c r="A343" s="4">
        <v>1053</v>
      </c>
      <c r="B343" s="2" t="s">
        <v>7</v>
      </c>
      <c r="C343" s="2" t="s">
        <v>12</v>
      </c>
      <c r="D343" s="2" t="s">
        <v>10</v>
      </c>
      <c r="F343" s="3">
        <v>25688</v>
      </c>
      <c r="G343" s="4">
        <v>1014001</v>
      </c>
      <c r="H343">
        <f t="shared" si="15"/>
        <v>1154</v>
      </c>
      <c r="I343">
        <f t="shared" si="16"/>
        <v>0.5714285714285714</v>
      </c>
      <c r="J343">
        <f t="shared" si="17"/>
        <v>659.42857142857144</v>
      </c>
      <c r="O343">
        <v>1056</v>
      </c>
      <c r="P343">
        <v>1154</v>
      </c>
      <c r="R343">
        <v>894</v>
      </c>
      <c r="S343">
        <v>0.2857142857142857</v>
      </c>
    </row>
    <row r="344" spans="1:19" ht="15" customHeight="1" x14ac:dyDescent="0.2">
      <c r="A344" s="4">
        <v>1056</v>
      </c>
      <c r="B344" s="2" t="s">
        <v>13</v>
      </c>
      <c r="C344" s="2" t="s">
        <v>12</v>
      </c>
      <c r="D344" s="2">
        <v>2815</v>
      </c>
      <c r="E344" s="2">
        <v>20338</v>
      </c>
      <c r="F344" s="3">
        <v>25688</v>
      </c>
      <c r="G344" s="4">
        <v>66011000</v>
      </c>
      <c r="H344">
        <f t="shared" si="15"/>
        <v>1154</v>
      </c>
      <c r="I344">
        <f t="shared" si="16"/>
        <v>0.14285714285714285</v>
      </c>
      <c r="J344">
        <f t="shared" si="17"/>
        <v>164.85714285714286</v>
      </c>
      <c r="O344">
        <v>1059</v>
      </c>
      <c r="P344">
        <v>461</v>
      </c>
      <c r="R344">
        <v>897</v>
      </c>
      <c r="S344">
        <v>1.7142857142857142</v>
      </c>
    </row>
    <row r="345" spans="1:19" ht="15" customHeight="1" x14ac:dyDescent="0.2">
      <c r="A345" s="4">
        <v>1059</v>
      </c>
      <c r="B345" s="2" t="s">
        <v>7</v>
      </c>
      <c r="C345" s="2" t="s">
        <v>8</v>
      </c>
      <c r="D345" s="2" t="s">
        <v>17</v>
      </c>
      <c r="F345" s="3">
        <v>25688</v>
      </c>
      <c r="G345" s="4">
        <v>1022000</v>
      </c>
      <c r="H345">
        <f t="shared" si="15"/>
        <v>461</v>
      </c>
      <c r="I345">
        <f t="shared" si="16"/>
        <v>0.14285714285714285</v>
      </c>
      <c r="J345">
        <f t="shared" si="17"/>
        <v>65.857142857142847</v>
      </c>
      <c r="O345">
        <v>1063</v>
      </c>
      <c r="P345">
        <v>461</v>
      </c>
      <c r="R345">
        <v>899</v>
      </c>
      <c r="S345">
        <v>0.5714285714285714</v>
      </c>
    </row>
    <row r="346" spans="1:19" ht="15" customHeight="1" x14ac:dyDescent="0.2">
      <c r="A346" s="4">
        <v>1063</v>
      </c>
      <c r="B346" s="2" t="s">
        <v>7</v>
      </c>
      <c r="C346" s="2" t="s">
        <v>8</v>
      </c>
      <c r="D346" s="2" t="s">
        <v>17</v>
      </c>
      <c r="F346" s="3">
        <v>25688</v>
      </c>
      <c r="G346" s="4">
        <v>1014001</v>
      </c>
      <c r="H346">
        <f t="shared" si="15"/>
        <v>461</v>
      </c>
      <c r="I346">
        <f t="shared" si="16"/>
        <v>0.14285714285714285</v>
      </c>
      <c r="J346">
        <f t="shared" si="17"/>
        <v>65.857142857142847</v>
      </c>
      <c r="O346">
        <v>1064</v>
      </c>
      <c r="P346">
        <v>1154</v>
      </c>
      <c r="R346">
        <v>910</v>
      </c>
      <c r="S346">
        <v>9.5238095238095233E-2</v>
      </c>
    </row>
    <row r="347" spans="1:19" ht="15" customHeight="1" x14ac:dyDescent="0.2">
      <c r="A347" s="4">
        <v>1064</v>
      </c>
      <c r="B347" s="2" t="s">
        <v>13</v>
      </c>
      <c r="C347" s="2" t="s">
        <v>12</v>
      </c>
      <c r="D347" s="2">
        <v>2815</v>
      </c>
      <c r="E347" s="2">
        <v>20331</v>
      </c>
      <c r="F347" s="3">
        <v>25688</v>
      </c>
      <c r="G347" s="4">
        <v>1000008</v>
      </c>
      <c r="H347">
        <f t="shared" si="15"/>
        <v>1154</v>
      </c>
      <c r="I347">
        <f t="shared" si="16"/>
        <v>0.14285714285714285</v>
      </c>
      <c r="J347">
        <f t="shared" si="17"/>
        <v>164.85714285714286</v>
      </c>
      <c r="O347">
        <v>1101</v>
      </c>
      <c r="P347">
        <v>1091</v>
      </c>
      <c r="R347">
        <v>915</v>
      </c>
      <c r="S347">
        <v>0.7142857142857143</v>
      </c>
    </row>
    <row r="348" spans="1:19" ht="15" customHeight="1" x14ac:dyDescent="0.2">
      <c r="A348" s="4">
        <v>1101</v>
      </c>
      <c r="B348" s="2" t="s">
        <v>13</v>
      </c>
      <c r="C348" s="2" t="s">
        <v>14</v>
      </c>
      <c r="D348" s="2" t="s">
        <v>15</v>
      </c>
      <c r="E348" s="2">
        <v>117013</v>
      </c>
      <c r="F348" s="3">
        <v>25688</v>
      </c>
      <c r="G348" s="4">
        <v>1014001</v>
      </c>
      <c r="H348">
        <f t="shared" si="15"/>
        <v>1091</v>
      </c>
      <c r="I348">
        <f t="shared" si="16"/>
        <v>0.14285714285714285</v>
      </c>
      <c r="J348">
        <f t="shared" si="17"/>
        <v>155.85714285714286</v>
      </c>
      <c r="O348">
        <v>1111</v>
      </c>
      <c r="P348">
        <v>629</v>
      </c>
      <c r="R348">
        <v>919</v>
      </c>
      <c r="S348">
        <v>0.2</v>
      </c>
    </row>
    <row r="349" spans="1:19" ht="26.1" customHeight="1" x14ac:dyDescent="0.2">
      <c r="A349" s="4">
        <v>1111</v>
      </c>
      <c r="B349" s="2" t="s">
        <v>7</v>
      </c>
      <c r="C349" s="2" t="s">
        <v>14</v>
      </c>
      <c r="D349" s="2" t="s">
        <v>23</v>
      </c>
      <c r="E349" s="2">
        <v>11111111</v>
      </c>
      <c r="F349" s="3">
        <v>25688</v>
      </c>
      <c r="G349" s="4">
        <v>3319002000</v>
      </c>
      <c r="H349">
        <f t="shared" si="15"/>
        <v>629</v>
      </c>
      <c r="I349">
        <f t="shared" si="16"/>
        <v>0.66666666666666663</v>
      </c>
      <c r="J349">
        <f t="shared" si="17"/>
        <v>419.33333333333331</v>
      </c>
      <c r="O349">
        <v>1112</v>
      </c>
      <c r="P349">
        <v>461</v>
      </c>
      <c r="R349">
        <v>920</v>
      </c>
      <c r="S349">
        <v>0.14285714285714285</v>
      </c>
    </row>
    <row r="350" spans="1:19" ht="15" customHeight="1" x14ac:dyDescent="0.2">
      <c r="A350" s="4">
        <v>1112</v>
      </c>
      <c r="B350" s="2" t="s">
        <v>7</v>
      </c>
      <c r="C350" s="2" t="s">
        <v>8</v>
      </c>
      <c r="D350" s="2" t="s">
        <v>17</v>
      </c>
      <c r="E350" s="2">
        <v>10142</v>
      </c>
      <c r="F350" s="3">
        <v>25688</v>
      </c>
      <c r="G350" s="4">
        <v>1014001</v>
      </c>
      <c r="H350">
        <f t="shared" si="15"/>
        <v>461</v>
      </c>
      <c r="I350">
        <f t="shared" si="16"/>
        <v>0.66666666666666663</v>
      </c>
      <c r="J350">
        <f t="shared" si="17"/>
        <v>307.33333333333331</v>
      </c>
      <c r="O350">
        <v>1113</v>
      </c>
      <c r="P350">
        <v>309.5</v>
      </c>
      <c r="R350">
        <v>935</v>
      </c>
      <c r="S350">
        <v>2</v>
      </c>
    </row>
    <row r="351" spans="1:19" ht="15" customHeight="1" x14ac:dyDescent="0.2">
      <c r="A351" s="4">
        <v>1113</v>
      </c>
      <c r="B351" s="2" t="s">
        <v>7</v>
      </c>
      <c r="C351" s="2" t="s">
        <v>8</v>
      </c>
      <c r="D351" s="2" t="s">
        <v>9</v>
      </c>
      <c r="E351" s="2">
        <v>1</v>
      </c>
      <c r="F351" s="3">
        <v>25688</v>
      </c>
      <c r="G351" s="4">
        <v>165001000</v>
      </c>
      <c r="H351">
        <f t="shared" si="15"/>
        <v>309.5</v>
      </c>
      <c r="I351">
        <f t="shared" si="16"/>
        <v>3.7142857142857144</v>
      </c>
      <c r="J351">
        <f t="shared" si="17"/>
        <v>1149.5714285714287</v>
      </c>
      <c r="O351">
        <v>1114</v>
      </c>
      <c r="P351">
        <v>629</v>
      </c>
      <c r="R351">
        <v>936</v>
      </c>
      <c r="S351">
        <v>0.5</v>
      </c>
    </row>
    <row r="352" spans="1:19" ht="15" customHeight="1" x14ac:dyDescent="0.2">
      <c r="A352" s="4">
        <v>1114</v>
      </c>
      <c r="B352" s="2" t="s">
        <v>7</v>
      </c>
      <c r="C352" s="2" t="s">
        <v>14</v>
      </c>
      <c r="D352" s="2" t="s">
        <v>53</v>
      </c>
      <c r="E352" s="2">
        <v>853</v>
      </c>
      <c r="F352" s="3">
        <v>25688</v>
      </c>
      <c r="G352" s="4">
        <v>3319002000</v>
      </c>
      <c r="H352">
        <f t="shared" si="15"/>
        <v>629</v>
      </c>
      <c r="I352">
        <f t="shared" si="16"/>
        <v>3.7142857142857144</v>
      </c>
      <c r="J352">
        <f t="shared" si="17"/>
        <v>2336.2857142857142</v>
      </c>
      <c r="O352">
        <v>1115</v>
      </c>
      <c r="P352">
        <v>629</v>
      </c>
      <c r="R352">
        <v>938</v>
      </c>
      <c r="S352">
        <v>1.4285714285714286</v>
      </c>
    </row>
    <row r="353" spans="1:19" ht="15" customHeight="1" x14ac:dyDescent="0.2">
      <c r="A353" s="4">
        <v>1115</v>
      </c>
      <c r="B353" s="2" t="s">
        <v>7</v>
      </c>
      <c r="C353" s="2" t="s">
        <v>14</v>
      </c>
      <c r="D353" s="2" t="s">
        <v>53</v>
      </c>
      <c r="F353" s="3">
        <v>25688</v>
      </c>
      <c r="G353" s="4">
        <v>2341002000</v>
      </c>
      <c r="H353">
        <f t="shared" si="15"/>
        <v>629</v>
      </c>
      <c r="I353">
        <f t="shared" si="16"/>
        <v>3.3333333333333333E-2</v>
      </c>
      <c r="J353">
        <f t="shared" si="17"/>
        <v>20.966666666666665</v>
      </c>
      <c r="O353">
        <v>1118</v>
      </c>
      <c r="P353">
        <v>309.5</v>
      </c>
      <c r="R353">
        <v>945</v>
      </c>
      <c r="S353">
        <v>1.4285714285714286</v>
      </c>
    </row>
    <row r="354" spans="1:19" ht="26.1" customHeight="1" x14ac:dyDescent="0.2">
      <c r="A354" s="4">
        <v>1118</v>
      </c>
      <c r="B354" s="2" t="s">
        <v>11</v>
      </c>
      <c r="C354" s="2" t="s">
        <v>8</v>
      </c>
      <c r="D354" s="2" t="s">
        <v>9</v>
      </c>
      <c r="E354" s="2">
        <v>702</v>
      </c>
      <c r="F354" s="3">
        <v>25688</v>
      </c>
      <c r="G354" s="4">
        <v>1165000000</v>
      </c>
      <c r="H354">
        <f t="shared" si="15"/>
        <v>309.5</v>
      </c>
      <c r="I354">
        <f t="shared" si="16"/>
        <v>0.2857142857142857</v>
      </c>
      <c r="J354">
        <f t="shared" si="17"/>
        <v>88.428571428571431</v>
      </c>
      <c r="O354">
        <v>1121</v>
      </c>
      <c r="P354">
        <v>309.5</v>
      </c>
      <c r="R354">
        <v>949</v>
      </c>
      <c r="S354">
        <v>0.7142857142857143</v>
      </c>
    </row>
    <row r="355" spans="1:19" ht="15" customHeight="1" x14ac:dyDescent="0.2">
      <c r="A355" s="4">
        <v>1121</v>
      </c>
      <c r="B355" s="2" t="s">
        <v>7</v>
      </c>
      <c r="C355" s="2" t="s">
        <v>8</v>
      </c>
      <c r="D355" s="2" t="s">
        <v>9</v>
      </c>
      <c r="E355" s="2">
        <v>1479</v>
      </c>
      <c r="F355" s="3">
        <v>25688</v>
      </c>
      <c r="G355" s="4">
        <v>3042116001</v>
      </c>
      <c r="H355">
        <f t="shared" si="15"/>
        <v>309.5</v>
      </c>
      <c r="I355">
        <f t="shared" si="16"/>
        <v>0.2857142857142857</v>
      </c>
      <c r="J355">
        <f t="shared" si="17"/>
        <v>88.428571428571431</v>
      </c>
      <c r="O355">
        <v>1124</v>
      </c>
      <c r="P355">
        <v>461</v>
      </c>
      <c r="R355">
        <v>950</v>
      </c>
      <c r="S355">
        <v>0.8571428571428571</v>
      </c>
    </row>
    <row r="356" spans="1:19" ht="15" customHeight="1" x14ac:dyDescent="0.2">
      <c r="A356" s="4">
        <v>1124</v>
      </c>
      <c r="B356" s="2" t="s">
        <v>7</v>
      </c>
      <c r="C356" s="2" t="s">
        <v>8</v>
      </c>
      <c r="D356" s="2" t="s">
        <v>17</v>
      </c>
      <c r="E356" s="2">
        <v>11116</v>
      </c>
      <c r="F356" s="3">
        <v>25688</v>
      </c>
      <c r="G356" s="4">
        <v>1014001</v>
      </c>
      <c r="H356">
        <f t="shared" si="15"/>
        <v>461</v>
      </c>
      <c r="I356">
        <f t="shared" si="16"/>
        <v>0.2857142857142857</v>
      </c>
      <c r="J356">
        <f t="shared" si="17"/>
        <v>131.71428571428569</v>
      </c>
      <c r="O356">
        <v>1128</v>
      </c>
      <c r="P356">
        <v>1154</v>
      </c>
      <c r="R356">
        <v>954</v>
      </c>
      <c r="S356">
        <v>3.7142857142857144</v>
      </c>
    </row>
    <row r="357" spans="1:19" ht="15" customHeight="1" x14ac:dyDescent="0.2">
      <c r="A357" s="4">
        <v>1128</v>
      </c>
      <c r="B357" s="2" t="s">
        <v>13</v>
      </c>
      <c r="C357" s="2" t="s">
        <v>12</v>
      </c>
      <c r="D357" s="2">
        <v>2815</v>
      </c>
      <c r="E357" s="2">
        <v>17847</v>
      </c>
      <c r="F357" s="3">
        <v>25688</v>
      </c>
      <c r="G357" s="4">
        <v>3370003000</v>
      </c>
      <c r="H357">
        <f t="shared" si="15"/>
        <v>1154</v>
      </c>
      <c r="I357">
        <f t="shared" si="16"/>
        <v>0.13333333333333333</v>
      </c>
      <c r="J357">
        <f t="shared" si="17"/>
        <v>153.86666666666667</v>
      </c>
      <c r="O357">
        <v>1129</v>
      </c>
      <c r="P357">
        <v>461</v>
      </c>
      <c r="R357">
        <v>955</v>
      </c>
      <c r="S357">
        <v>0.21428571428571427</v>
      </c>
    </row>
    <row r="358" spans="1:19" ht="15" customHeight="1" x14ac:dyDescent="0.2">
      <c r="A358" s="4">
        <v>1129</v>
      </c>
      <c r="B358" s="2" t="s">
        <v>7</v>
      </c>
      <c r="C358" s="2" t="s">
        <v>8</v>
      </c>
      <c r="D358" s="2" t="s">
        <v>17</v>
      </c>
      <c r="E358" s="2">
        <v>10150</v>
      </c>
      <c r="F358" s="3">
        <v>25688</v>
      </c>
      <c r="G358" s="4">
        <v>3042058002</v>
      </c>
      <c r="H358">
        <f t="shared" si="15"/>
        <v>461</v>
      </c>
      <c r="I358">
        <f t="shared" si="16"/>
        <v>0.42857142857142855</v>
      </c>
      <c r="J358">
        <f t="shared" si="17"/>
        <v>197.57142857142856</v>
      </c>
      <c r="O358">
        <v>1132</v>
      </c>
      <c r="P358">
        <v>1202.5</v>
      </c>
      <c r="R358">
        <v>964</v>
      </c>
      <c r="S358">
        <v>0.5714285714285714</v>
      </c>
    </row>
    <row r="359" spans="1:19" ht="15" customHeight="1" x14ac:dyDescent="0.2">
      <c r="A359" s="4">
        <v>1132</v>
      </c>
      <c r="B359" s="2" t="s">
        <v>13</v>
      </c>
      <c r="C359" s="2" t="s">
        <v>21</v>
      </c>
      <c r="D359" s="2" t="s">
        <v>27</v>
      </c>
      <c r="F359" s="3">
        <v>25688</v>
      </c>
      <c r="G359" s="4">
        <v>2924001000</v>
      </c>
      <c r="H359">
        <f t="shared" si="15"/>
        <v>1202.5</v>
      </c>
      <c r="I359">
        <f t="shared" si="16"/>
        <v>0.66666666666666663</v>
      </c>
      <c r="J359">
        <f t="shared" si="17"/>
        <v>801.66666666666663</v>
      </c>
      <c r="O359">
        <v>1136</v>
      </c>
      <c r="P359">
        <v>532</v>
      </c>
      <c r="R359">
        <v>972</v>
      </c>
      <c r="S359">
        <v>0.14285714285714285</v>
      </c>
    </row>
    <row r="360" spans="1:19" ht="26.1" customHeight="1" x14ac:dyDescent="0.2">
      <c r="A360" s="4">
        <v>1136</v>
      </c>
      <c r="B360" s="2" t="s">
        <v>11</v>
      </c>
      <c r="C360" s="2" t="s">
        <v>12</v>
      </c>
      <c r="D360" s="2" t="s">
        <v>19</v>
      </c>
      <c r="F360" s="3">
        <v>25688</v>
      </c>
      <c r="G360" s="4">
        <v>66011000</v>
      </c>
      <c r="H360">
        <f t="shared" si="15"/>
        <v>532</v>
      </c>
      <c r="I360">
        <f t="shared" si="16"/>
        <v>0.66666666666666663</v>
      </c>
      <c r="J360">
        <f t="shared" si="17"/>
        <v>354.66666666666663</v>
      </c>
      <c r="O360">
        <v>1143</v>
      </c>
      <c r="P360">
        <v>1154</v>
      </c>
      <c r="R360">
        <v>979</v>
      </c>
      <c r="S360">
        <v>0.42857142857142855</v>
      </c>
    </row>
    <row r="361" spans="1:19" ht="15" customHeight="1" x14ac:dyDescent="0.2">
      <c r="A361" s="4">
        <v>1143</v>
      </c>
      <c r="B361" s="2" t="s">
        <v>13</v>
      </c>
      <c r="C361" s="2" t="s">
        <v>12</v>
      </c>
      <c r="D361" s="2" t="s">
        <v>10</v>
      </c>
      <c r="E361" s="2">
        <v>8144</v>
      </c>
      <c r="F361" s="3">
        <v>25688</v>
      </c>
      <c r="G361" s="4">
        <v>193012000</v>
      </c>
      <c r="H361">
        <f t="shared" si="15"/>
        <v>1154</v>
      </c>
      <c r="I361">
        <f t="shared" si="16"/>
        <v>2</v>
      </c>
      <c r="J361">
        <f t="shared" si="17"/>
        <v>2308</v>
      </c>
      <c r="O361">
        <v>1145</v>
      </c>
      <c r="P361">
        <v>1212</v>
      </c>
      <c r="R361">
        <v>1003</v>
      </c>
      <c r="S361">
        <v>6.6666666666666666E-2</v>
      </c>
    </row>
    <row r="362" spans="1:19" ht="15" customHeight="1" x14ac:dyDescent="0.2">
      <c r="A362" s="4">
        <v>1145</v>
      </c>
      <c r="B362" s="2" t="s">
        <v>13</v>
      </c>
      <c r="C362" s="2" t="s">
        <v>8</v>
      </c>
      <c r="D362" s="2" t="s">
        <v>20</v>
      </c>
      <c r="E362" s="2">
        <v>13790</v>
      </c>
      <c r="F362" s="3">
        <v>25688</v>
      </c>
      <c r="G362" s="4">
        <v>1817001000</v>
      </c>
      <c r="H362">
        <f t="shared" si="15"/>
        <v>1212</v>
      </c>
      <c r="I362">
        <f t="shared" si="16"/>
        <v>0.5</v>
      </c>
      <c r="J362">
        <f t="shared" si="17"/>
        <v>606</v>
      </c>
      <c r="O362">
        <v>1146</v>
      </c>
      <c r="P362">
        <v>503</v>
      </c>
      <c r="R362">
        <v>1004</v>
      </c>
      <c r="S362">
        <v>2</v>
      </c>
    </row>
    <row r="363" spans="1:19" ht="15" customHeight="1" x14ac:dyDescent="0.2">
      <c r="A363" s="4">
        <v>1146</v>
      </c>
      <c r="B363" s="2" t="s">
        <v>7</v>
      </c>
      <c r="C363" s="2" t="s">
        <v>14</v>
      </c>
      <c r="D363" s="2" t="s">
        <v>30</v>
      </c>
      <c r="E363" s="2">
        <v>5833</v>
      </c>
      <c r="F363" s="3">
        <v>25688</v>
      </c>
      <c r="G363" s="4">
        <v>1014001</v>
      </c>
      <c r="H363">
        <f t="shared" si="15"/>
        <v>503</v>
      </c>
      <c r="I363">
        <f t="shared" si="16"/>
        <v>0.5</v>
      </c>
      <c r="J363">
        <f t="shared" si="17"/>
        <v>251.5</v>
      </c>
      <c r="O363">
        <v>1147</v>
      </c>
      <c r="P363">
        <v>309.5</v>
      </c>
      <c r="R363">
        <v>1007</v>
      </c>
      <c r="S363">
        <v>0.5714285714285714</v>
      </c>
    </row>
    <row r="364" spans="1:19" ht="15" customHeight="1" x14ac:dyDescent="0.2">
      <c r="A364" s="4">
        <v>1147</v>
      </c>
      <c r="B364" s="2" t="s">
        <v>7</v>
      </c>
      <c r="C364" s="2" t="s">
        <v>8</v>
      </c>
      <c r="D364" s="2" t="s">
        <v>9</v>
      </c>
      <c r="F364" s="3">
        <v>29557</v>
      </c>
      <c r="G364" s="4">
        <v>165001000</v>
      </c>
      <c r="H364">
        <f t="shared" si="15"/>
        <v>309.5</v>
      </c>
      <c r="I364">
        <f t="shared" si="16"/>
        <v>3.4285714285714284</v>
      </c>
      <c r="J364">
        <f t="shared" si="17"/>
        <v>1061.1428571428571</v>
      </c>
      <c r="O364">
        <v>1151</v>
      </c>
      <c r="P364">
        <v>1091</v>
      </c>
      <c r="R364">
        <v>1013</v>
      </c>
      <c r="S364">
        <v>0.66666666666666663</v>
      </c>
    </row>
    <row r="365" spans="1:19" ht="15" customHeight="1" x14ac:dyDescent="0.2">
      <c r="A365" s="4">
        <v>1151</v>
      </c>
      <c r="B365" s="2" t="s">
        <v>13</v>
      </c>
      <c r="C365" s="2" t="s">
        <v>14</v>
      </c>
      <c r="D365" s="2" t="s">
        <v>15</v>
      </c>
      <c r="F365" s="3">
        <v>25688</v>
      </c>
      <c r="G365" s="4">
        <v>1014001</v>
      </c>
      <c r="H365">
        <f t="shared" si="15"/>
        <v>1091</v>
      </c>
      <c r="I365">
        <f t="shared" si="16"/>
        <v>6.6666666666666666E-2</v>
      </c>
      <c r="J365">
        <f t="shared" si="17"/>
        <v>72.733333333333334</v>
      </c>
      <c r="O365">
        <v>1159</v>
      </c>
      <c r="P365">
        <v>629</v>
      </c>
      <c r="R365">
        <v>1030</v>
      </c>
      <c r="S365">
        <v>1</v>
      </c>
    </row>
    <row r="366" spans="1:19" ht="15" customHeight="1" x14ac:dyDescent="0.2">
      <c r="A366" s="4">
        <v>1159</v>
      </c>
      <c r="B366" s="2" t="s">
        <v>7</v>
      </c>
      <c r="C366" s="2" t="s">
        <v>14</v>
      </c>
      <c r="D366" s="2" t="s">
        <v>53</v>
      </c>
      <c r="E366" s="2">
        <v>5690</v>
      </c>
      <c r="F366" s="3">
        <v>25688</v>
      </c>
      <c r="G366" s="4">
        <v>1014001</v>
      </c>
      <c r="H366">
        <f t="shared" si="15"/>
        <v>629</v>
      </c>
      <c r="I366">
        <f t="shared" si="16"/>
        <v>6.6666666666666666E-2</v>
      </c>
      <c r="J366">
        <f t="shared" si="17"/>
        <v>41.93333333333333</v>
      </c>
      <c r="O366">
        <v>1162</v>
      </c>
      <c r="P366">
        <v>1212</v>
      </c>
      <c r="R366">
        <v>1031</v>
      </c>
      <c r="S366">
        <v>0.66666666666666663</v>
      </c>
    </row>
    <row r="367" spans="1:19" ht="15" customHeight="1" x14ac:dyDescent="0.2">
      <c r="A367" s="4">
        <v>1162</v>
      </c>
      <c r="B367" s="2" t="s">
        <v>13</v>
      </c>
      <c r="C367" s="2" t="s">
        <v>8</v>
      </c>
      <c r="D367" s="2" t="s">
        <v>20</v>
      </c>
      <c r="E367" s="2">
        <v>8199</v>
      </c>
      <c r="F367" s="3">
        <v>25688</v>
      </c>
      <c r="G367" s="4">
        <v>2053002000</v>
      </c>
      <c r="H367">
        <f t="shared" si="15"/>
        <v>1212</v>
      </c>
      <c r="I367">
        <f t="shared" si="16"/>
        <v>1</v>
      </c>
      <c r="J367">
        <f t="shared" si="17"/>
        <v>1212</v>
      </c>
      <c r="O367">
        <v>1165</v>
      </c>
      <c r="P367">
        <v>309.5</v>
      </c>
      <c r="R367">
        <v>1042</v>
      </c>
      <c r="S367">
        <v>0.42857142857142855</v>
      </c>
    </row>
    <row r="368" spans="1:19" ht="26.1" customHeight="1" x14ac:dyDescent="0.2">
      <c r="A368" s="4">
        <v>1165</v>
      </c>
      <c r="B368" s="2" t="s">
        <v>11</v>
      </c>
      <c r="C368" s="2" t="s">
        <v>8</v>
      </c>
      <c r="D368" s="2" t="s">
        <v>9</v>
      </c>
      <c r="E368" s="2">
        <v>1234</v>
      </c>
      <c r="F368" s="3">
        <v>25688</v>
      </c>
      <c r="G368" s="4">
        <v>1023000</v>
      </c>
      <c r="H368">
        <f t="shared" si="15"/>
        <v>309.5</v>
      </c>
      <c r="I368">
        <f t="shared" si="16"/>
        <v>1</v>
      </c>
      <c r="J368">
        <f t="shared" si="17"/>
        <v>309.5</v>
      </c>
      <c r="O368">
        <v>1168</v>
      </c>
      <c r="P368">
        <v>309.5</v>
      </c>
      <c r="R368">
        <v>1049</v>
      </c>
      <c r="S368">
        <v>0.7142857142857143</v>
      </c>
    </row>
    <row r="369" spans="1:19" ht="15" customHeight="1" x14ac:dyDescent="0.2">
      <c r="A369" s="4">
        <v>1168</v>
      </c>
      <c r="B369" s="2" t="s">
        <v>7</v>
      </c>
      <c r="C369" s="2" t="s">
        <v>8</v>
      </c>
      <c r="D369" s="2" t="s">
        <v>9</v>
      </c>
      <c r="E369" s="2">
        <v>2122</v>
      </c>
      <c r="F369" s="3">
        <v>25688</v>
      </c>
      <c r="G369" s="4">
        <v>165001000</v>
      </c>
      <c r="H369">
        <f t="shared" si="15"/>
        <v>309.5</v>
      </c>
      <c r="I369">
        <f t="shared" si="16"/>
        <v>3.7142857142857144</v>
      </c>
      <c r="J369">
        <f t="shared" si="17"/>
        <v>1149.5714285714287</v>
      </c>
      <c r="O369">
        <v>1169</v>
      </c>
      <c r="P369">
        <v>503</v>
      </c>
      <c r="R369">
        <v>1051</v>
      </c>
      <c r="S369">
        <v>0.2857142857142857</v>
      </c>
    </row>
    <row r="370" spans="1:19" ht="15" customHeight="1" x14ac:dyDescent="0.2">
      <c r="A370" s="4">
        <v>1169</v>
      </c>
      <c r="B370" s="2" t="s">
        <v>7</v>
      </c>
      <c r="C370" s="2" t="s">
        <v>14</v>
      </c>
      <c r="D370" s="2" t="s">
        <v>30</v>
      </c>
      <c r="F370" s="3">
        <v>25688</v>
      </c>
      <c r="G370" s="4">
        <v>1014001</v>
      </c>
      <c r="H370">
        <f t="shared" si="15"/>
        <v>503</v>
      </c>
      <c r="I370">
        <f t="shared" si="16"/>
        <v>3.7142857142857144</v>
      </c>
      <c r="J370">
        <f t="shared" si="17"/>
        <v>1868.2857142857144</v>
      </c>
      <c r="O370">
        <v>1172</v>
      </c>
      <c r="P370">
        <v>309.5</v>
      </c>
      <c r="R370">
        <v>1053</v>
      </c>
      <c r="S370">
        <v>0.5714285714285714</v>
      </c>
    </row>
    <row r="371" spans="1:19" ht="15" customHeight="1" x14ac:dyDescent="0.2">
      <c r="A371" s="4">
        <v>1172</v>
      </c>
      <c r="B371" s="2" t="s">
        <v>7</v>
      </c>
      <c r="C371" s="2" t="s">
        <v>8</v>
      </c>
      <c r="D371" s="2" t="s">
        <v>9</v>
      </c>
      <c r="E371" s="2">
        <v>1809</v>
      </c>
      <c r="F371" s="3">
        <v>25688</v>
      </c>
      <c r="G371" s="4">
        <v>2126001000</v>
      </c>
      <c r="H371">
        <f t="shared" si="15"/>
        <v>309.5</v>
      </c>
      <c r="I371">
        <f t="shared" si="16"/>
        <v>1.7142857142857142</v>
      </c>
      <c r="J371">
        <f t="shared" si="17"/>
        <v>530.57142857142856</v>
      </c>
      <c r="O371">
        <v>1176</v>
      </c>
      <c r="P371">
        <v>461</v>
      </c>
      <c r="R371">
        <v>1056</v>
      </c>
      <c r="S371">
        <v>0.14285714285714285</v>
      </c>
    </row>
    <row r="372" spans="1:19" ht="15" customHeight="1" x14ac:dyDescent="0.2">
      <c r="A372" s="4">
        <v>1176</v>
      </c>
      <c r="B372" s="2" t="s">
        <v>7</v>
      </c>
      <c r="C372" s="2" t="s">
        <v>8</v>
      </c>
      <c r="D372" s="2" t="s">
        <v>17</v>
      </c>
      <c r="E372" s="2">
        <v>1110</v>
      </c>
      <c r="F372" s="3">
        <v>25688</v>
      </c>
      <c r="G372" s="4">
        <v>153002000</v>
      </c>
      <c r="H372">
        <f t="shared" si="15"/>
        <v>461</v>
      </c>
      <c r="I372">
        <f t="shared" si="16"/>
        <v>1.7142857142857142</v>
      </c>
      <c r="J372">
        <f t="shared" si="17"/>
        <v>790.28571428571422</v>
      </c>
      <c r="O372">
        <v>1180</v>
      </c>
      <c r="P372">
        <v>318.5</v>
      </c>
      <c r="R372">
        <v>1111</v>
      </c>
      <c r="S372">
        <v>0.66666666666666663</v>
      </c>
    </row>
    <row r="373" spans="1:19" ht="15" customHeight="1" x14ac:dyDescent="0.2">
      <c r="A373" s="4">
        <v>1180</v>
      </c>
      <c r="B373" s="2" t="s">
        <v>7</v>
      </c>
      <c r="C373" s="2" t="s">
        <v>12</v>
      </c>
      <c r="D373" s="2" t="s">
        <v>9</v>
      </c>
      <c r="F373" s="3">
        <v>25688</v>
      </c>
      <c r="G373" s="4">
        <v>1023006</v>
      </c>
      <c r="H373">
        <f t="shared" si="15"/>
        <v>318.5</v>
      </c>
      <c r="I373">
        <f t="shared" si="16"/>
        <v>1.7142857142857142</v>
      </c>
      <c r="J373">
        <f t="shared" si="17"/>
        <v>546</v>
      </c>
      <c r="O373">
        <v>1182</v>
      </c>
      <c r="P373">
        <v>309.5</v>
      </c>
      <c r="R373">
        <v>1113</v>
      </c>
      <c r="S373">
        <v>3.7142857142857144</v>
      </c>
    </row>
    <row r="374" spans="1:19" ht="15" customHeight="1" x14ac:dyDescent="0.2">
      <c r="A374" s="4">
        <v>1181</v>
      </c>
      <c r="B374" s="2" t="s">
        <v>13</v>
      </c>
      <c r="C374" s="2" t="s">
        <v>21</v>
      </c>
      <c r="D374" s="2" t="s">
        <v>27</v>
      </c>
      <c r="F374" s="3">
        <v>25688</v>
      </c>
      <c r="G374" s="4">
        <v>1165000000</v>
      </c>
      <c r="H374">
        <f t="shared" si="15"/>
        <v>318.5</v>
      </c>
      <c r="I374">
        <f t="shared" si="16"/>
        <v>1.7142857142857142</v>
      </c>
      <c r="J374">
        <f t="shared" si="17"/>
        <v>546</v>
      </c>
      <c r="O374">
        <v>1185</v>
      </c>
      <c r="P374">
        <v>309.5</v>
      </c>
      <c r="R374">
        <v>1115</v>
      </c>
      <c r="S374">
        <v>3.3333333333333333E-2</v>
      </c>
    </row>
    <row r="375" spans="1:19" ht="26.1" customHeight="1" x14ac:dyDescent="0.2">
      <c r="A375" s="4">
        <v>1182</v>
      </c>
      <c r="B375" s="2" t="s">
        <v>11</v>
      </c>
      <c r="C375" s="2" t="s">
        <v>8</v>
      </c>
      <c r="D375" s="2" t="s">
        <v>9</v>
      </c>
      <c r="E375" s="2">
        <v>784</v>
      </c>
      <c r="F375" s="3">
        <v>25688</v>
      </c>
      <c r="G375" s="4">
        <v>3223006000</v>
      </c>
      <c r="H375">
        <f t="shared" si="15"/>
        <v>309.5</v>
      </c>
      <c r="I375">
        <f t="shared" si="16"/>
        <v>1.7142857142857142</v>
      </c>
      <c r="J375">
        <f t="shared" si="17"/>
        <v>530.57142857142856</v>
      </c>
      <c r="O375">
        <v>1186</v>
      </c>
      <c r="P375">
        <v>1091</v>
      </c>
      <c r="R375">
        <v>1118</v>
      </c>
      <c r="S375">
        <v>0.2857142857142857</v>
      </c>
    </row>
    <row r="376" spans="1:19" ht="26.1" customHeight="1" x14ac:dyDescent="0.2">
      <c r="A376" s="4">
        <v>1185</v>
      </c>
      <c r="B376" s="2" t="s">
        <v>11</v>
      </c>
      <c r="C376" s="2" t="s">
        <v>8</v>
      </c>
      <c r="D376" s="2" t="s">
        <v>9</v>
      </c>
      <c r="E376" s="2">
        <v>11268</v>
      </c>
      <c r="F376" s="3">
        <v>25688</v>
      </c>
      <c r="G376" s="4">
        <v>18001000</v>
      </c>
      <c r="H376">
        <f t="shared" si="15"/>
        <v>309.5</v>
      </c>
      <c r="I376">
        <f t="shared" si="16"/>
        <v>0.4</v>
      </c>
      <c r="J376">
        <f t="shared" si="17"/>
        <v>123.80000000000001</v>
      </c>
      <c r="O376">
        <v>1189</v>
      </c>
      <c r="P376">
        <v>309.5</v>
      </c>
      <c r="R376">
        <v>1124</v>
      </c>
      <c r="S376">
        <v>0.2857142857142857</v>
      </c>
    </row>
    <row r="377" spans="1:19" ht="15" customHeight="1" x14ac:dyDescent="0.2">
      <c r="A377" s="4">
        <v>1186</v>
      </c>
      <c r="B377" s="2" t="s">
        <v>13</v>
      </c>
      <c r="C377" s="2" t="s">
        <v>14</v>
      </c>
      <c r="D377" s="2" t="s">
        <v>15</v>
      </c>
      <c r="E377" s="2" t="s">
        <v>73</v>
      </c>
      <c r="F377" s="3">
        <v>25688</v>
      </c>
      <c r="G377" s="4">
        <v>1022000</v>
      </c>
      <c r="H377">
        <f t="shared" si="15"/>
        <v>1091</v>
      </c>
      <c r="I377">
        <f t="shared" si="16"/>
        <v>0.4</v>
      </c>
      <c r="J377">
        <f t="shared" si="17"/>
        <v>436.40000000000003</v>
      </c>
      <c r="O377">
        <v>1191</v>
      </c>
      <c r="P377">
        <v>309.5</v>
      </c>
      <c r="R377">
        <v>1128</v>
      </c>
      <c r="S377">
        <v>0.13333333333333333</v>
      </c>
    </row>
    <row r="378" spans="1:19" ht="15" customHeight="1" x14ac:dyDescent="0.2">
      <c r="A378" s="4">
        <v>1187</v>
      </c>
      <c r="B378" s="2" t="s">
        <v>7</v>
      </c>
      <c r="C378" s="2" t="s">
        <v>8</v>
      </c>
      <c r="D378" s="2" t="s">
        <v>9</v>
      </c>
      <c r="E378" s="2">
        <v>6989</v>
      </c>
      <c r="F378" s="3">
        <v>25688</v>
      </c>
      <c r="G378" s="4">
        <v>1014001</v>
      </c>
      <c r="H378">
        <f t="shared" si="15"/>
        <v>1091</v>
      </c>
      <c r="I378">
        <f t="shared" si="16"/>
        <v>0.4</v>
      </c>
      <c r="J378">
        <f t="shared" si="17"/>
        <v>436.40000000000003</v>
      </c>
      <c r="O378">
        <v>1193</v>
      </c>
      <c r="P378">
        <v>309.5</v>
      </c>
      <c r="R378">
        <v>1129</v>
      </c>
      <c r="S378">
        <v>0.42857142857142855</v>
      </c>
    </row>
    <row r="379" spans="1:19" ht="15" customHeight="1" x14ac:dyDescent="0.2">
      <c r="A379" s="4">
        <v>1189</v>
      </c>
      <c r="B379" s="2" t="s">
        <v>7</v>
      </c>
      <c r="C379" s="2" t="s">
        <v>8</v>
      </c>
      <c r="D379" s="2" t="s">
        <v>9</v>
      </c>
      <c r="E379" s="2">
        <v>21713</v>
      </c>
      <c r="F379" s="3">
        <v>25688</v>
      </c>
      <c r="G379" s="4">
        <v>3395001000</v>
      </c>
      <c r="H379">
        <f t="shared" si="15"/>
        <v>309.5</v>
      </c>
      <c r="I379">
        <f t="shared" si="16"/>
        <v>0.4</v>
      </c>
      <c r="J379">
        <f t="shared" si="17"/>
        <v>123.80000000000001</v>
      </c>
      <c r="O379">
        <v>1196</v>
      </c>
      <c r="P379">
        <v>629</v>
      </c>
      <c r="R379">
        <v>1132</v>
      </c>
      <c r="S379">
        <v>0.66666666666666663</v>
      </c>
    </row>
    <row r="380" spans="1:19" ht="15" customHeight="1" x14ac:dyDescent="0.2">
      <c r="A380" s="4">
        <v>1191</v>
      </c>
      <c r="B380" s="2" t="s">
        <v>7</v>
      </c>
      <c r="C380" s="2" t="s">
        <v>8</v>
      </c>
      <c r="D380" s="2" t="s">
        <v>9</v>
      </c>
      <c r="E380" s="2">
        <v>7445</v>
      </c>
      <c r="F380" s="3">
        <v>25688</v>
      </c>
      <c r="G380" s="4">
        <v>3178010000</v>
      </c>
      <c r="H380">
        <f t="shared" si="15"/>
        <v>309.5</v>
      </c>
      <c r="I380">
        <f t="shared" si="16"/>
        <v>0.4</v>
      </c>
      <c r="J380">
        <f t="shared" si="17"/>
        <v>123.80000000000001</v>
      </c>
      <c r="O380">
        <v>1198</v>
      </c>
      <c r="P380">
        <v>309.5</v>
      </c>
      <c r="R380">
        <v>1143</v>
      </c>
      <c r="S380">
        <v>2</v>
      </c>
    </row>
    <row r="381" spans="1:19" ht="15" customHeight="1" x14ac:dyDescent="0.2">
      <c r="A381" s="4">
        <v>1192</v>
      </c>
      <c r="B381" s="2" t="s">
        <v>13</v>
      </c>
      <c r="C381" s="2" t="s">
        <v>14</v>
      </c>
      <c r="D381" s="2" t="s">
        <v>15</v>
      </c>
      <c r="E381" s="2" t="s">
        <v>74</v>
      </c>
      <c r="F381" s="3">
        <v>25688</v>
      </c>
      <c r="G381" s="4">
        <v>1165000000</v>
      </c>
      <c r="H381">
        <f t="shared" si="15"/>
        <v>309.5</v>
      </c>
      <c r="I381">
        <f t="shared" si="16"/>
        <v>0.4</v>
      </c>
      <c r="J381">
        <f t="shared" si="17"/>
        <v>123.80000000000001</v>
      </c>
      <c r="O381">
        <v>1200</v>
      </c>
      <c r="P381">
        <v>309.5</v>
      </c>
      <c r="R381">
        <v>1145</v>
      </c>
      <c r="S381">
        <v>0.5</v>
      </c>
    </row>
    <row r="382" spans="1:19" ht="15" customHeight="1" x14ac:dyDescent="0.2">
      <c r="A382" s="4">
        <v>1193</v>
      </c>
      <c r="B382" s="2" t="s">
        <v>7</v>
      </c>
      <c r="C382" s="2" t="s">
        <v>8</v>
      </c>
      <c r="D382" s="2" t="s">
        <v>9</v>
      </c>
      <c r="E382" s="2">
        <v>7836</v>
      </c>
      <c r="F382" s="3">
        <v>25688</v>
      </c>
      <c r="G382" s="4">
        <v>165008000</v>
      </c>
      <c r="H382">
        <f t="shared" si="15"/>
        <v>309.5</v>
      </c>
      <c r="I382">
        <f t="shared" si="16"/>
        <v>1.3333333333333333</v>
      </c>
      <c r="J382">
        <f t="shared" si="17"/>
        <v>412.66666666666663</v>
      </c>
      <c r="O382">
        <v>1204</v>
      </c>
      <c r="P382">
        <v>532</v>
      </c>
      <c r="R382">
        <v>1147</v>
      </c>
      <c r="S382">
        <v>3.4285714285714284</v>
      </c>
    </row>
    <row r="383" spans="1:19" ht="15" customHeight="1" x14ac:dyDescent="0.2">
      <c r="A383" s="4">
        <v>1196</v>
      </c>
      <c r="B383" s="2" t="s">
        <v>7</v>
      </c>
      <c r="C383" s="2" t="s">
        <v>14</v>
      </c>
      <c r="D383" s="2" t="s">
        <v>53</v>
      </c>
      <c r="E383" s="2">
        <v>5275</v>
      </c>
      <c r="F383" s="3">
        <v>25688</v>
      </c>
      <c r="G383" s="4">
        <v>1165000000</v>
      </c>
      <c r="H383">
        <f t="shared" si="15"/>
        <v>629</v>
      </c>
      <c r="I383">
        <f t="shared" si="16"/>
        <v>0.5714285714285714</v>
      </c>
      <c r="J383">
        <f t="shared" si="17"/>
        <v>359.42857142857139</v>
      </c>
      <c r="O383">
        <v>1205</v>
      </c>
      <c r="P383">
        <v>309.5</v>
      </c>
      <c r="R383">
        <v>1151</v>
      </c>
      <c r="S383">
        <v>6.6666666666666666E-2</v>
      </c>
    </row>
    <row r="384" spans="1:19" ht="26.1" customHeight="1" x14ac:dyDescent="0.2">
      <c r="A384" s="4">
        <v>1198</v>
      </c>
      <c r="B384" s="2" t="s">
        <v>11</v>
      </c>
      <c r="C384" s="2" t="s">
        <v>8</v>
      </c>
      <c r="D384" s="2" t="s">
        <v>9</v>
      </c>
      <c r="E384" s="2">
        <v>1727</v>
      </c>
      <c r="F384" s="3">
        <v>25688</v>
      </c>
      <c r="G384" s="4">
        <v>1165000000</v>
      </c>
      <c r="H384">
        <f t="shared" si="15"/>
        <v>309.5</v>
      </c>
      <c r="I384">
        <f t="shared" si="16"/>
        <v>0.5714285714285714</v>
      </c>
      <c r="J384">
        <f t="shared" si="17"/>
        <v>176.85714285714286</v>
      </c>
      <c r="O384">
        <v>1206</v>
      </c>
      <c r="P384">
        <v>1135</v>
      </c>
      <c r="R384">
        <v>1162</v>
      </c>
      <c r="S384">
        <v>1</v>
      </c>
    </row>
    <row r="385" spans="1:19" ht="15" customHeight="1" x14ac:dyDescent="0.2">
      <c r="A385" s="4">
        <v>1200</v>
      </c>
      <c r="B385" s="2" t="s">
        <v>7</v>
      </c>
      <c r="C385" s="2" t="s">
        <v>8</v>
      </c>
      <c r="D385" s="2" t="s">
        <v>9</v>
      </c>
      <c r="F385" s="3">
        <v>25688</v>
      </c>
      <c r="G385" s="4">
        <v>3182003000</v>
      </c>
      <c r="H385">
        <f t="shared" si="15"/>
        <v>309.5</v>
      </c>
      <c r="I385">
        <f t="shared" si="16"/>
        <v>0.8571428571428571</v>
      </c>
      <c r="J385">
        <f t="shared" si="17"/>
        <v>265.28571428571428</v>
      </c>
      <c r="O385">
        <v>1207</v>
      </c>
      <c r="P385">
        <v>309.5</v>
      </c>
      <c r="R385">
        <v>1168</v>
      </c>
      <c r="S385">
        <v>3.7142857142857144</v>
      </c>
    </row>
    <row r="386" spans="1:19" ht="26.1" customHeight="1" x14ac:dyDescent="0.2">
      <c r="A386" s="4">
        <v>1204</v>
      </c>
      <c r="B386" s="2" t="s">
        <v>7</v>
      </c>
      <c r="C386" s="2" t="s">
        <v>12</v>
      </c>
      <c r="D386" s="2" t="s">
        <v>19</v>
      </c>
      <c r="E386" s="2">
        <v>1111111111</v>
      </c>
      <c r="F386" s="3">
        <v>25688</v>
      </c>
      <c r="G386" s="4">
        <v>1014001</v>
      </c>
      <c r="H386">
        <f t="shared" ref="H386:H449" si="18">VLOOKUP(A386,O:P,2)</f>
        <v>532</v>
      </c>
      <c r="I386">
        <f t="shared" ref="I386:I449" si="19">VLOOKUP(A386,R:S,2)</f>
        <v>2</v>
      </c>
      <c r="J386">
        <f t="shared" ref="J386:J449" si="20">H386*I386</f>
        <v>1064</v>
      </c>
      <c r="O386">
        <v>1208</v>
      </c>
      <c r="P386">
        <v>0</v>
      </c>
      <c r="R386">
        <v>1172</v>
      </c>
      <c r="S386">
        <v>1.7142857142857142</v>
      </c>
    </row>
    <row r="387" spans="1:19" ht="15" customHeight="1" x14ac:dyDescent="0.2">
      <c r="A387" s="4">
        <v>1205</v>
      </c>
      <c r="B387" s="2" t="s">
        <v>7</v>
      </c>
      <c r="C387" s="2" t="s">
        <v>8</v>
      </c>
      <c r="D387" s="2" t="s">
        <v>9</v>
      </c>
      <c r="E387" s="2">
        <v>7237</v>
      </c>
      <c r="F387" s="3">
        <v>25688</v>
      </c>
      <c r="G387" s="4">
        <v>2126003000</v>
      </c>
      <c r="H387">
        <f t="shared" si="18"/>
        <v>309.5</v>
      </c>
      <c r="I387">
        <f t="shared" si="19"/>
        <v>0.5714285714285714</v>
      </c>
      <c r="J387">
        <f t="shared" si="20"/>
        <v>176.85714285714286</v>
      </c>
      <c r="O387">
        <v>1209</v>
      </c>
      <c r="P387">
        <v>0</v>
      </c>
      <c r="R387">
        <v>1185</v>
      </c>
      <c r="S387">
        <v>0.4</v>
      </c>
    </row>
    <row r="388" spans="1:19" ht="15" customHeight="1" x14ac:dyDescent="0.2">
      <c r="A388" s="4">
        <v>1206</v>
      </c>
      <c r="B388" s="2" t="s">
        <v>13</v>
      </c>
      <c r="C388" s="2" t="s">
        <v>8</v>
      </c>
      <c r="D388" s="2" t="s">
        <v>36</v>
      </c>
      <c r="E388" s="2">
        <v>8167</v>
      </c>
      <c r="F388" s="3">
        <v>25688</v>
      </c>
      <c r="G388" s="4">
        <v>2126001000</v>
      </c>
      <c r="H388">
        <f t="shared" si="18"/>
        <v>1135</v>
      </c>
      <c r="I388">
        <f t="shared" si="19"/>
        <v>0.5714285714285714</v>
      </c>
      <c r="J388">
        <f t="shared" si="20"/>
        <v>648.57142857142856</v>
      </c>
      <c r="O388">
        <v>1216</v>
      </c>
      <c r="P388">
        <v>1243.5</v>
      </c>
      <c r="R388">
        <v>1193</v>
      </c>
      <c r="S388">
        <v>1.3333333333333333</v>
      </c>
    </row>
    <row r="389" spans="1:19" ht="15" customHeight="1" x14ac:dyDescent="0.2">
      <c r="A389" s="4">
        <v>1207</v>
      </c>
      <c r="B389" s="2" t="s">
        <v>7</v>
      </c>
      <c r="C389" s="2" t="s">
        <v>8</v>
      </c>
      <c r="D389" s="2" t="s">
        <v>9</v>
      </c>
      <c r="E389" s="2">
        <v>6794</v>
      </c>
      <c r="F389" s="3">
        <v>25688</v>
      </c>
      <c r="G389" s="4">
        <v>165008000</v>
      </c>
      <c r="H389">
        <f t="shared" si="18"/>
        <v>309.5</v>
      </c>
      <c r="I389">
        <f t="shared" si="19"/>
        <v>0.66666666666666663</v>
      </c>
      <c r="J389">
        <f t="shared" si="20"/>
        <v>206.33333333333331</v>
      </c>
      <c r="O389">
        <v>1219</v>
      </c>
      <c r="P389">
        <v>1243.5</v>
      </c>
      <c r="R389">
        <v>1196</v>
      </c>
      <c r="S389">
        <v>0.5714285714285714</v>
      </c>
    </row>
    <row r="390" spans="1:19" ht="26.1" customHeight="1" x14ac:dyDescent="0.2">
      <c r="A390" s="4">
        <v>1208</v>
      </c>
      <c r="B390" s="2" t="s">
        <v>75</v>
      </c>
      <c r="C390" s="2" t="s">
        <v>21</v>
      </c>
      <c r="D390" s="2" t="s">
        <v>76</v>
      </c>
      <c r="E390" s="2">
        <v>3069</v>
      </c>
      <c r="F390" s="3">
        <v>25688</v>
      </c>
      <c r="G390" s="4">
        <v>1321001000</v>
      </c>
      <c r="H390">
        <f t="shared" si="18"/>
        <v>0</v>
      </c>
      <c r="I390">
        <f t="shared" si="19"/>
        <v>2.777777777777778E-2</v>
      </c>
      <c r="J390">
        <f t="shared" si="20"/>
        <v>0</v>
      </c>
      <c r="O390">
        <v>1221</v>
      </c>
      <c r="P390">
        <v>309.5</v>
      </c>
      <c r="R390">
        <v>1198</v>
      </c>
      <c r="S390">
        <v>0.5714285714285714</v>
      </c>
    </row>
    <row r="391" spans="1:19" ht="26.1" customHeight="1" x14ac:dyDescent="0.2">
      <c r="A391" s="4">
        <v>1209</v>
      </c>
      <c r="B391" s="2" t="s">
        <v>75</v>
      </c>
      <c r="C391" s="2" t="s">
        <v>21</v>
      </c>
      <c r="D391" s="2" t="s">
        <v>77</v>
      </c>
      <c r="F391" s="3">
        <v>25688</v>
      </c>
      <c r="G391" s="4">
        <v>1014001</v>
      </c>
      <c r="H391">
        <f t="shared" si="18"/>
        <v>0</v>
      </c>
      <c r="I391">
        <f t="shared" si="19"/>
        <v>2.777777777777778E-2</v>
      </c>
      <c r="J391">
        <f t="shared" si="20"/>
        <v>0</v>
      </c>
      <c r="O391">
        <v>1222</v>
      </c>
      <c r="P391">
        <v>309.5</v>
      </c>
      <c r="R391">
        <v>1200</v>
      </c>
      <c r="S391">
        <v>0.8571428571428571</v>
      </c>
    </row>
    <row r="392" spans="1:19" ht="15" customHeight="1" x14ac:dyDescent="0.2">
      <c r="A392" s="4">
        <v>1216</v>
      </c>
      <c r="B392" s="2" t="s">
        <v>13</v>
      </c>
      <c r="C392" s="2" t="s">
        <v>14</v>
      </c>
      <c r="D392" s="2" t="s">
        <v>46</v>
      </c>
      <c r="E392" s="2">
        <v>3871</v>
      </c>
      <c r="F392" s="3">
        <v>35797</v>
      </c>
      <c r="G392" s="4">
        <v>529001000</v>
      </c>
      <c r="H392">
        <f t="shared" si="18"/>
        <v>1243.5</v>
      </c>
      <c r="I392">
        <f t="shared" si="19"/>
        <v>0.14285714285714285</v>
      </c>
      <c r="J392">
        <f t="shared" si="20"/>
        <v>177.64285714285714</v>
      </c>
      <c r="O392">
        <v>1227</v>
      </c>
      <c r="P392">
        <v>992.5</v>
      </c>
      <c r="R392">
        <v>1204</v>
      </c>
      <c r="S392">
        <v>2</v>
      </c>
    </row>
    <row r="393" spans="1:19" ht="15" customHeight="1" x14ac:dyDescent="0.2">
      <c r="A393" s="4">
        <v>1219</v>
      </c>
      <c r="B393" s="2" t="s">
        <v>13</v>
      </c>
      <c r="C393" s="2" t="s">
        <v>14</v>
      </c>
      <c r="D393" s="2" t="s">
        <v>46</v>
      </c>
      <c r="E393" s="2">
        <v>4172</v>
      </c>
      <c r="F393" s="3">
        <v>35797</v>
      </c>
      <c r="G393" s="4">
        <v>1014001</v>
      </c>
      <c r="H393">
        <f t="shared" si="18"/>
        <v>1243.5</v>
      </c>
      <c r="I393">
        <f t="shared" si="19"/>
        <v>0.14285714285714285</v>
      </c>
      <c r="J393">
        <f t="shared" si="20"/>
        <v>177.64285714285714</v>
      </c>
      <c r="O393">
        <v>1231</v>
      </c>
      <c r="P393">
        <v>309.5</v>
      </c>
      <c r="R393">
        <v>1205</v>
      </c>
      <c r="S393">
        <v>0.5714285714285714</v>
      </c>
    </row>
    <row r="394" spans="1:19" ht="26.1" customHeight="1" x14ac:dyDescent="0.2">
      <c r="A394" s="4">
        <v>1221</v>
      </c>
      <c r="B394" s="2" t="s">
        <v>11</v>
      </c>
      <c r="C394" s="2" t="s">
        <v>8</v>
      </c>
      <c r="D394" s="2" t="s">
        <v>9</v>
      </c>
      <c r="E394" s="2">
        <v>18312</v>
      </c>
      <c r="F394" s="3">
        <v>35432</v>
      </c>
      <c r="G394" s="4">
        <v>3400002000</v>
      </c>
      <c r="H394">
        <f t="shared" si="18"/>
        <v>309.5</v>
      </c>
      <c r="I394">
        <f t="shared" si="19"/>
        <v>0.14285714285714285</v>
      </c>
      <c r="J394">
        <f t="shared" si="20"/>
        <v>44.214285714285715</v>
      </c>
      <c r="O394">
        <v>1251</v>
      </c>
      <c r="P394">
        <v>461</v>
      </c>
      <c r="R394">
        <v>1207</v>
      </c>
      <c r="S394">
        <v>0.66666666666666663</v>
      </c>
    </row>
    <row r="395" spans="1:19" ht="15" customHeight="1" x14ac:dyDescent="0.2">
      <c r="A395" s="4">
        <v>1222</v>
      </c>
      <c r="B395" s="2" t="s">
        <v>7</v>
      </c>
      <c r="C395" s="2" t="s">
        <v>8</v>
      </c>
      <c r="D395" s="2" t="s">
        <v>9</v>
      </c>
      <c r="E395" s="2">
        <v>18323</v>
      </c>
      <c r="F395" s="3">
        <v>35432</v>
      </c>
      <c r="G395" s="4">
        <v>43001000</v>
      </c>
      <c r="H395">
        <f t="shared" si="18"/>
        <v>309.5</v>
      </c>
      <c r="I395">
        <f t="shared" si="19"/>
        <v>0.14285714285714285</v>
      </c>
      <c r="J395">
        <f t="shared" si="20"/>
        <v>44.214285714285715</v>
      </c>
      <c r="O395">
        <v>1253</v>
      </c>
      <c r="P395">
        <v>1091</v>
      </c>
      <c r="R395">
        <v>1208</v>
      </c>
      <c r="S395">
        <v>2.777777777777778E-2</v>
      </c>
    </row>
    <row r="396" spans="1:19" ht="15" customHeight="1" x14ac:dyDescent="0.2">
      <c r="A396" s="4">
        <v>1227</v>
      </c>
      <c r="B396" s="2" t="s">
        <v>13</v>
      </c>
      <c r="C396" s="2" t="s">
        <v>14</v>
      </c>
      <c r="D396" s="2" t="s">
        <v>70</v>
      </c>
      <c r="E396" s="2">
        <v>227</v>
      </c>
      <c r="F396" s="3">
        <v>35797</v>
      </c>
      <c r="G396" s="4">
        <v>2126013000</v>
      </c>
      <c r="H396">
        <f t="shared" si="18"/>
        <v>992.5</v>
      </c>
      <c r="I396">
        <f t="shared" si="19"/>
        <v>0.66666666666666663</v>
      </c>
      <c r="J396">
        <f t="shared" si="20"/>
        <v>661.66666666666663</v>
      </c>
      <c r="O396">
        <v>1254</v>
      </c>
      <c r="P396">
        <v>629</v>
      </c>
      <c r="R396">
        <v>1216</v>
      </c>
      <c r="S396">
        <v>0.14285714285714285</v>
      </c>
    </row>
    <row r="397" spans="1:19" ht="15" customHeight="1" x14ac:dyDescent="0.2">
      <c r="A397" s="4">
        <v>1231</v>
      </c>
      <c r="B397" s="2" t="s">
        <v>7</v>
      </c>
      <c r="C397" s="2" t="s">
        <v>8</v>
      </c>
      <c r="D397" s="2" t="s">
        <v>9</v>
      </c>
      <c r="E397" s="2">
        <v>18351</v>
      </c>
      <c r="F397" s="3">
        <v>35797</v>
      </c>
      <c r="G397" s="4">
        <v>1817001000</v>
      </c>
      <c r="H397">
        <f t="shared" si="18"/>
        <v>309.5</v>
      </c>
      <c r="I397">
        <f t="shared" si="19"/>
        <v>1</v>
      </c>
      <c r="J397">
        <f t="shared" si="20"/>
        <v>309.5</v>
      </c>
      <c r="O397">
        <v>1260</v>
      </c>
      <c r="P397">
        <v>1212</v>
      </c>
      <c r="R397">
        <v>1221</v>
      </c>
      <c r="S397">
        <v>0.14285714285714285</v>
      </c>
    </row>
    <row r="398" spans="1:19" ht="15" customHeight="1" x14ac:dyDescent="0.2">
      <c r="A398" s="4">
        <v>1251</v>
      </c>
      <c r="B398" s="2" t="s">
        <v>7</v>
      </c>
      <c r="C398" s="2" t="s">
        <v>8</v>
      </c>
      <c r="D398" s="2" t="s">
        <v>17</v>
      </c>
      <c r="E398" s="2">
        <v>11623</v>
      </c>
      <c r="F398" s="3">
        <v>25688</v>
      </c>
      <c r="G398" s="4">
        <v>2924001000</v>
      </c>
      <c r="H398">
        <f t="shared" si="18"/>
        <v>461</v>
      </c>
      <c r="I398">
        <f t="shared" si="19"/>
        <v>0.5</v>
      </c>
      <c r="J398">
        <f t="shared" si="20"/>
        <v>230.5</v>
      </c>
      <c r="O398">
        <v>1269</v>
      </c>
      <c r="P398">
        <v>1212</v>
      </c>
      <c r="R398">
        <v>1227</v>
      </c>
      <c r="S398">
        <v>0.66666666666666663</v>
      </c>
    </row>
    <row r="399" spans="1:19" ht="15" customHeight="1" x14ac:dyDescent="0.2">
      <c r="A399" s="4">
        <v>1253</v>
      </c>
      <c r="B399" s="2" t="s">
        <v>13</v>
      </c>
      <c r="C399" s="2" t="s">
        <v>14</v>
      </c>
      <c r="D399" s="2" t="s">
        <v>15</v>
      </c>
      <c r="E399" s="2">
        <v>117644</v>
      </c>
      <c r="F399" s="3">
        <v>25688</v>
      </c>
      <c r="G399" s="4">
        <v>3042058002</v>
      </c>
      <c r="H399">
        <f t="shared" si="18"/>
        <v>1091</v>
      </c>
      <c r="I399">
        <f t="shared" si="19"/>
        <v>0.42857142857142855</v>
      </c>
      <c r="J399">
        <f t="shared" si="20"/>
        <v>467.57142857142856</v>
      </c>
      <c r="O399">
        <v>1271</v>
      </c>
      <c r="P399">
        <v>0</v>
      </c>
      <c r="R399">
        <v>1231</v>
      </c>
      <c r="S399">
        <v>1</v>
      </c>
    </row>
    <row r="400" spans="1:19" ht="26.1" customHeight="1" x14ac:dyDescent="0.2">
      <c r="A400" s="4">
        <v>1254</v>
      </c>
      <c r="B400" s="2" t="s">
        <v>7</v>
      </c>
      <c r="C400" s="2" t="s">
        <v>14</v>
      </c>
      <c r="D400" s="2" t="s">
        <v>23</v>
      </c>
      <c r="E400" s="2">
        <v>5023032</v>
      </c>
      <c r="F400" s="3">
        <v>25688</v>
      </c>
      <c r="G400" s="4">
        <v>1014002</v>
      </c>
      <c r="H400">
        <f t="shared" si="18"/>
        <v>629</v>
      </c>
      <c r="I400">
        <f t="shared" si="19"/>
        <v>0.42857142857142855</v>
      </c>
      <c r="J400">
        <f t="shared" si="20"/>
        <v>269.57142857142856</v>
      </c>
      <c r="O400">
        <v>1279</v>
      </c>
      <c r="P400">
        <v>1212</v>
      </c>
      <c r="R400">
        <v>1251</v>
      </c>
      <c r="S400">
        <v>0.5</v>
      </c>
    </row>
    <row r="401" spans="1:19" ht="15" customHeight="1" x14ac:dyDescent="0.2">
      <c r="A401" s="4">
        <v>1260</v>
      </c>
      <c r="B401" s="2" t="s">
        <v>13</v>
      </c>
      <c r="C401" s="2" t="s">
        <v>8</v>
      </c>
      <c r="D401" s="2" t="s">
        <v>20</v>
      </c>
      <c r="E401" s="2">
        <v>8166</v>
      </c>
      <c r="F401" s="3">
        <v>25688</v>
      </c>
      <c r="G401" s="4">
        <v>3076001000</v>
      </c>
      <c r="H401">
        <f t="shared" si="18"/>
        <v>1212</v>
      </c>
      <c r="I401">
        <f t="shared" si="19"/>
        <v>6.6666666666666666E-2</v>
      </c>
      <c r="J401">
        <f t="shared" si="20"/>
        <v>80.8</v>
      </c>
      <c r="O401">
        <v>1284</v>
      </c>
      <c r="P401">
        <v>992.5</v>
      </c>
      <c r="R401">
        <v>1253</v>
      </c>
      <c r="S401">
        <v>0.42857142857142855</v>
      </c>
    </row>
    <row r="402" spans="1:19" ht="15" customHeight="1" x14ac:dyDescent="0.2">
      <c r="A402" s="4">
        <v>1265</v>
      </c>
      <c r="B402" s="2" t="s">
        <v>13</v>
      </c>
      <c r="C402" s="2" t="s">
        <v>14</v>
      </c>
      <c r="D402" s="2" t="s">
        <v>15</v>
      </c>
      <c r="E402" s="2">
        <v>115318</v>
      </c>
      <c r="F402" s="3">
        <v>25688</v>
      </c>
      <c r="G402" s="4">
        <v>1014001</v>
      </c>
      <c r="H402">
        <f t="shared" si="18"/>
        <v>1212</v>
      </c>
      <c r="I402">
        <f t="shared" si="19"/>
        <v>6.6666666666666666E-2</v>
      </c>
      <c r="J402">
        <f t="shared" si="20"/>
        <v>80.8</v>
      </c>
      <c r="O402">
        <v>1289</v>
      </c>
      <c r="P402">
        <v>532</v>
      </c>
      <c r="R402">
        <v>1260</v>
      </c>
      <c r="S402">
        <v>6.6666666666666666E-2</v>
      </c>
    </row>
    <row r="403" spans="1:19" ht="15" customHeight="1" x14ac:dyDescent="0.2">
      <c r="A403" s="4">
        <v>1269</v>
      </c>
      <c r="B403" s="2" t="s">
        <v>13</v>
      </c>
      <c r="C403" s="2" t="s">
        <v>8</v>
      </c>
      <c r="D403" s="2" t="s">
        <v>20</v>
      </c>
      <c r="E403" s="2">
        <v>13682</v>
      </c>
      <c r="F403" s="3">
        <v>25688</v>
      </c>
      <c r="G403" s="4">
        <v>2548098000</v>
      </c>
      <c r="H403">
        <f t="shared" si="18"/>
        <v>1212</v>
      </c>
      <c r="I403">
        <f t="shared" si="19"/>
        <v>0.2857142857142857</v>
      </c>
      <c r="J403">
        <f t="shared" si="20"/>
        <v>346.28571428571428</v>
      </c>
      <c r="O403">
        <v>1298</v>
      </c>
      <c r="P403">
        <v>2720</v>
      </c>
      <c r="R403">
        <v>1269</v>
      </c>
      <c r="S403">
        <v>0.2857142857142857</v>
      </c>
    </row>
    <row r="404" spans="1:19" ht="26.1" customHeight="1" x14ac:dyDescent="0.2">
      <c r="A404" s="4">
        <v>1271</v>
      </c>
      <c r="B404" s="2" t="s">
        <v>78</v>
      </c>
      <c r="C404" s="2" t="s">
        <v>69</v>
      </c>
      <c r="D404" s="2" t="s">
        <v>10</v>
      </c>
      <c r="E404" s="2">
        <v>1111</v>
      </c>
      <c r="F404" s="3">
        <v>25688</v>
      </c>
      <c r="G404" s="4">
        <v>1000002</v>
      </c>
      <c r="H404">
        <f t="shared" si="18"/>
        <v>0</v>
      </c>
      <c r="I404">
        <f t="shared" si="19"/>
        <v>0.2857142857142857</v>
      </c>
      <c r="J404">
        <f t="shared" si="20"/>
        <v>0</v>
      </c>
      <c r="O404">
        <v>1303</v>
      </c>
      <c r="P404">
        <v>1154</v>
      </c>
      <c r="R404">
        <v>1279</v>
      </c>
      <c r="S404">
        <v>0.2857142857142857</v>
      </c>
    </row>
    <row r="405" spans="1:19" ht="15" customHeight="1" x14ac:dyDescent="0.2">
      <c r="A405" s="4">
        <v>1279</v>
      </c>
      <c r="B405" s="2" t="s">
        <v>13</v>
      </c>
      <c r="C405" s="2" t="s">
        <v>8</v>
      </c>
      <c r="D405" s="2" t="s">
        <v>18</v>
      </c>
      <c r="E405" s="2">
        <v>13781</v>
      </c>
      <c r="F405" s="3">
        <v>25688</v>
      </c>
      <c r="G405" s="4">
        <v>2548013000</v>
      </c>
      <c r="H405">
        <f t="shared" si="18"/>
        <v>1212</v>
      </c>
      <c r="I405">
        <f t="shared" si="19"/>
        <v>0.2857142857142857</v>
      </c>
      <c r="J405">
        <f t="shared" si="20"/>
        <v>346.28571428571428</v>
      </c>
      <c r="O405">
        <v>1305</v>
      </c>
      <c r="P405">
        <v>532</v>
      </c>
      <c r="R405">
        <v>1284</v>
      </c>
      <c r="S405">
        <v>0.8571428571428571</v>
      </c>
    </row>
    <row r="406" spans="1:19" ht="15" customHeight="1" x14ac:dyDescent="0.2">
      <c r="A406" s="4">
        <v>1284</v>
      </c>
      <c r="B406" s="2" t="s">
        <v>13</v>
      </c>
      <c r="C406" s="2" t="s">
        <v>14</v>
      </c>
      <c r="D406" s="2" t="s">
        <v>70</v>
      </c>
      <c r="E406" s="2">
        <v>222</v>
      </c>
      <c r="F406" s="3">
        <v>35797</v>
      </c>
      <c r="G406" s="4">
        <v>3042127001</v>
      </c>
      <c r="H406">
        <f t="shared" si="18"/>
        <v>992.5</v>
      </c>
      <c r="I406">
        <f t="shared" si="19"/>
        <v>0.8571428571428571</v>
      </c>
      <c r="J406">
        <f t="shared" si="20"/>
        <v>850.71428571428567</v>
      </c>
      <c r="O406">
        <v>1308</v>
      </c>
      <c r="P406">
        <v>309.5</v>
      </c>
      <c r="R406">
        <v>1298</v>
      </c>
      <c r="S406">
        <v>1.7142857142857142</v>
      </c>
    </row>
    <row r="407" spans="1:19" ht="15" customHeight="1" x14ac:dyDescent="0.2">
      <c r="A407" s="4">
        <v>1285</v>
      </c>
      <c r="B407" s="2" t="s">
        <v>79</v>
      </c>
      <c r="C407" s="2" t="s">
        <v>80</v>
      </c>
      <c r="D407" s="2" t="s">
        <v>81</v>
      </c>
      <c r="F407" s="3">
        <v>36092</v>
      </c>
      <c r="G407" s="4">
        <v>1014002</v>
      </c>
      <c r="H407">
        <f t="shared" si="18"/>
        <v>992.5</v>
      </c>
      <c r="I407">
        <f t="shared" si="19"/>
        <v>0.8571428571428571</v>
      </c>
      <c r="J407">
        <f t="shared" si="20"/>
        <v>850.71428571428567</v>
      </c>
      <c r="O407">
        <v>1309</v>
      </c>
      <c r="P407">
        <v>309.5</v>
      </c>
      <c r="R407">
        <v>1305</v>
      </c>
      <c r="S407">
        <v>0.2857142857142857</v>
      </c>
    </row>
    <row r="408" spans="1:19" ht="15" customHeight="1" x14ac:dyDescent="0.2">
      <c r="A408" s="4">
        <v>1289</v>
      </c>
      <c r="B408" s="2" t="s">
        <v>7</v>
      </c>
      <c r="C408" s="2" t="s">
        <v>12</v>
      </c>
      <c r="D408" s="2" t="s">
        <v>19</v>
      </c>
      <c r="F408" s="3">
        <v>25688</v>
      </c>
      <c r="G408" s="4">
        <v>1014001</v>
      </c>
      <c r="H408">
        <f t="shared" si="18"/>
        <v>532</v>
      </c>
      <c r="I408">
        <f t="shared" si="19"/>
        <v>0.8571428571428571</v>
      </c>
      <c r="J408">
        <f t="shared" si="20"/>
        <v>456</v>
      </c>
      <c r="O408">
        <v>1310</v>
      </c>
      <c r="P408">
        <v>1091</v>
      </c>
      <c r="R408">
        <v>1308</v>
      </c>
      <c r="S408">
        <v>7.1428571428571425E-2</v>
      </c>
    </row>
    <row r="409" spans="1:19" ht="26.1" customHeight="1" x14ac:dyDescent="0.2">
      <c r="A409" s="4">
        <v>1293</v>
      </c>
      <c r="B409" s="2" t="s">
        <v>82</v>
      </c>
      <c r="C409" s="2" t="s">
        <v>80</v>
      </c>
      <c r="D409" s="2" t="s">
        <v>83</v>
      </c>
      <c r="E409" s="2">
        <v>130690312</v>
      </c>
      <c r="F409" s="3">
        <v>34804</v>
      </c>
      <c r="G409" s="4">
        <v>153002000</v>
      </c>
      <c r="H409">
        <f t="shared" si="18"/>
        <v>532</v>
      </c>
      <c r="I409">
        <f t="shared" si="19"/>
        <v>0.8571428571428571</v>
      </c>
      <c r="J409">
        <f t="shared" si="20"/>
        <v>456</v>
      </c>
      <c r="O409">
        <v>1314</v>
      </c>
      <c r="P409">
        <v>309.5</v>
      </c>
      <c r="R409">
        <v>1309</v>
      </c>
      <c r="S409">
        <v>0.8</v>
      </c>
    </row>
    <row r="410" spans="1:19" ht="26.1" customHeight="1" x14ac:dyDescent="0.2">
      <c r="A410" s="4">
        <v>1298</v>
      </c>
      <c r="B410" s="2" t="s">
        <v>24</v>
      </c>
      <c r="C410" s="2" t="s">
        <v>14</v>
      </c>
      <c r="D410" s="2" t="s">
        <v>84</v>
      </c>
      <c r="E410" s="2" t="s">
        <v>85</v>
      </c>
      <c r="F410" s="3">
        <v>25688</v>
      </c>
      <c r="G410" s="4">
        <v>2126001000</v>
      </c>
      <c r="H410">
        <f t="shared" si="18"/>
        <v>2720</v>
      </c>
      <c r="I410">
        <f t="shared" si="19"/>
        <v>1.7142857142857142</v>
      </c>
      <c r="J410">
        <f t="shared" si="20"/>
        <v>4662.8571428571422</v>
      </c>
      <c r="O410">
        <v>1316</v>
      </c>
      <c r="P410">
        <v>1212</v>
      </c>
      <c r="R410">
        <v>1310</v>
      </c>
      <c r="S410">
        <v>0.66666666666666663</v>
      </c>
    </row>
    <row r="411" spans="1:19" ht="26.1" customHeight="1" x14ac:dyDescent="0.2">
      <c r="A411" s="4">
        <v>1303</v>
      </c>
      <c r="B411" s="2" t="s">
        <v>11</v>
      </c>
      <c r="C411" s="2" t="s">
        <v>12</v>
      </c>
      <c r="D411" s="2" t="s">
        <v>10</v>
      </c>
      <c r="F411" s="3">
        <v>25688</v>
      </c>
      <c r="G411" s="4">
        <v>66011000</v>
      </c>
      <c r="H411">
        <f t="shared" si="18"/>
        <v>1154</v>
      </c>
      <c r="I411">
        <f t="shared" si="19"/>
        <v>1.7142857142857142</v>
      </c>
      <c r="J411">
        <f t="shared" si="20"/>
        <v>1978.2857142857142</v>
      </c>
      <c r="O411">
        <v>1319</v>
      </c>
      <c r="P411">
        <v>461</v>
      </c>
      <c r="R411">
        <v>1314</v>
      </c>
      <c r="S411">
        <v>0.5714285714285714</v>
      </c>
    </row>
    <row r="412" spans="1:19" ht="15" customHeight="1" x14ac:dyDescent="0.2">
      <c r="A412" s="4">
        <v>1305</v>
      </c>
      <c r="B412" s="2" t="s">
        <v>7</v>
      </c>
      <c r="C412" s="2" t="s">
        <v>12</v>
      </c>
      <c r="D412" s="2" t="s">
        <v>19</v>
      </c>
      <c r="F412" s="3">
        <v>25688</v>
      </c>
      <c r="G412" s="4">
        <v>1068018000</v>
      </c>
      <c r="H412">
        <f t="shared" si="18"/>
        <v>532</v>
      </c>
      <c r="I412">
        <f t="shared" si="19"/>
        <v>0.2857142857142857</v>
      </c>
      <c r="J412">
        <f t="shared" si="20"/>
        <v>152</v>
      </c>
      <c r="O412">
        <v>1320</v>
      </c>
      <c r="P412">
        <v>0</v>
      </c>
      <c r="R412">
        <v>1320</v>
      </c>
      <c r="S412">
        <v>0.42857142857142855</v>
      </c>
    </row>
    <row r="413" spans="1:19" ht="15" customHeight="1" x14ac:dyDescent="0.2">
      <c r="A413" s="4">
        <v>1308</v>
      </c>
      <c r="B413" s="2" t="s">
        <v>7</v>
      </c>
      <c r="C413" s="2" t="s">
        <v>8</v>
      </c>
      <c r="D413" s="2" t="s">
        <v>9</v>
      </c>
      <c r="E413" s="2">
        <v>11261</v>
      </c>
      <c r="F413" s="3">
        <v>25688</v>
      </c>
      <c r="G413" s="4">
        <v>529002000</v>
      </c>
      <c r="H413">
        <f t="shared" si="18"/>
        <v>309.5</v>
      </c>
      <c r="I413">
        <f t="shared" si="19"/>
        <v>7.1428571428571425E-2</v>
      </c>
      <c r="J413">
        <f t="shared" si="20"/>
        <v>22.107142857142858</v>
      </c>
      <c r="O413">
        <v>1321</v>
      </c>
      <c r="P413">
        <v>309.5</v>
      </c>
      <c r="R413">
        <v>1321</v>
      </c>
      <c r="S413">
        <v>0.8571428571428571</v>
      </c>
    </row>
    <row r="414" spans="1:19" ht="15" customHeight="1" x14ac:dyDescent="0.2">
      <c r="A414" s="4">
        <v>1309</v>
      </c>
      <c r="B414" s="2" t="s">
        <v>7</v>
      </c>
      <c r="C414" s="2" t="s">
        <v>8</v>
      </c>
      <c r="D414" s="2" t="s">
        <v>9</v>
      </c>
      <c r="E414" s="2">
        <v>694</v>
      </c>
      <c r="F414" s="3">
        <v>25688</v>
      </c>
      <c r="G414" s="4">
        <v>3076001000</v>
      </c>
      <c r="H414">
        <f t="shared" si="18"/>
        <v>309.5</v>
      </c>
      <c r="I414">
        <f t="shared" si="19"/>
        <v>0.8</v>
      </c>
      <c r="J414">
        <f t="shared" si="20"/>
        <v>247.60000000000002</v>
      </c>
      <c r="O414">
        <v>1326</v>
      </c>
      <c r="P414">
        <v>1154</v>
      </c>
      <c r="R414">
        <v>1326</v>
      </c>
      <c r="S414">
        <v>2</v>
      </c>
    </row>
    <row r="415" spans="1:19" ht="15" customHeight="1" x14ac:dyDescent="0.2">
      <c r="A415" s="4">
        <v>1310</v>
      </c>
      <c r="B415" s="2" t="s">
        <v>13</v>
      </c>
      <c r="C415" s="2" t="s">
        <v>14</v>
      </c>
      <c r="D415" s="2" t="s">
        <v>15</v>
      </c>
      <c r="F415" s="3">
        <v>25688</v>
      </c>
      <c r="G415" s="4">
        <v>18001000</v>
      </c>
      <c r="H415">
        <f t="shared" si="18"/>
        <v>1091</v>
      </c>
      <c r="I415">
        <f t="shared" si="19"/>
        <v>0.66666666666666663</v>
      </c>
      <c r="J415">
        <f t="shared" si="20"/>
        <v>727.33333333333326</v>
      </c>
      <c r="O415">
        <v>1327</v>
      </c>
      <c r="P415">
        <v>309.5</v>
      </c>
      <c r="R415">
        <v>1338</v>
      </c>
      <c r="S415">
        <v>0.14285714285714285</v>
      </c>
    </row>
    <row r="416" spans="1:19" ht="26.1" customHeight="1" x14ac:dyDescent="0.2">
      <c r="A416" s="4">
        <v>1314</v>
      </c>
      <c r="B416" s="2" t="s">
        <v>11</v>
      </c>
      <c r="C416" s="2" t="s">
        <v>8</v>
      </c>
      <c r="D416" s="2" t="s">
        <v>9</v>
      </c>
      <c r="E416" s="2">
        <v>1693</v>
      </c>
      <c r="F416" s="3">
        <v>25688</v>
      </c>
      <c r="G416" s="4">
        <v>1165000000</v>
      </c>
      <c r="H416">
        <f t="shared" si="18"/>
        <v>309.5</v>
      </c>
      <c r="I416">
        <f t="shared" si="19"/>
        <v>0.5714285714285714</v>
      </c>
      <c r="J416">
        <f t="shared" si="20"/>
        <v>176.85714285714286</v>
      </c>
      <c r="O416">
        <v>1328</v>
      </c>
      <c r="P416">
        <v>1202.5</v>
      </c>
      <c r="R416">
        <v>1341</v>
      </c>
      <c r="S416">
        <v>0.42857142857142855</v>
      </c>
    </row>
    <row r="417" spans="1:19" ht="15" customHeight="1" x14ac:dyDescent="0.2">
      <c r="A417" s="4">
        <v>1316</v>
      </c>
      <c r="B417" s="2" t="s">
        <v>13</v>
      </c>
      <c r="C417" s="2" t="s">
        <v>8</v>
      </c>
      <c r="D417" s="2" t="s">
        <v>20</v>
      </c>
      <c r="E417" s="2">
        <v>12172</v>
      </c>
      <c r="F417" s="3">
        <v>25688</v>
      </c>
      <c r="G417" s="4">
        <v>2126001000</v>
      </c>
      <c r="H417">
        <f t="shared" si="18"/>
        <v>1212</v>
      </c>
      <c r="I417">
        <f t="shared" si="19"/>
        <v>0.5714285714285714</v>
      </c>
      <c r="J417">
        <f t="shared" si="20"/>
        <v>692.57142857142856</v>
      </c>
      <c r="O417">
        <v>1329</v>
      </c>
      <c r="P417">
        <v>0</v>
      </c>
      <c r="R417">
        <v>1344</v>
      </c>
      <c r="S417">
        <v>1</v>
      </c>
    </row>
    <row r="418" spans="1:19" ht="15" customHeight="1" x14ac:dyDescent="0.2">
      <c r="A418" s="4">
        <v>1319</v>
      </c>
      <c r="B418" s="2" t="s">
        <v>7</v>
      </c>
      <c r="C418" s="2" t="s">
        <v>8</v>
      </c>
      <c r="D418" s="2" t="s">
        <v>17</v>
      </c>
      <c r="E418" s="2">
        <v>10129</v>
      </c>
      <c r="F418" s="3">
        <v>25688</v>
      </c>
      <c r="G418" s="4">
        <v>1000012</v>
      </c>
      <c r="H418">
        <f t="shared" si="18"/>
        <v>461</v>
      </c>
      <c r="I418">
        <f t="shared" si="19"/>
        <v>0.5714285714285714</v>
      </c>
      <c r="J418">
        <f t="shared" si="20"/>
        <v>263.42857142857139</v>
      </c>
      <c r="O418">
        <v>1338</v>
      </c>
      <c r="P418">
        <v>309.5</v>
      </c>
      <c r="R418">
        <v>1350</v>
      </c>
      <c r="S418">
        <v>0.42857142857142855</v>
      </c>
    </row>
    <row r="419" spans="1:19" ht="15" customHeight="1" x14ac:dyDescent="0.2">
      <c r="A419" s="4">
        <v>1320</v>
      </c>
      <c r="B419" s="2" t="s">
        <v>13</v>
      </c>
      <c r="C419" s="2" t="s">
        <v>25</v>
      </c>
      <c r="D419" s="2" t="s">
        <v>86</v>
      </c>
      <c r="E419" s="2" t="s">
        <v>87</v>
      </c>
      <c r="F419" s="3">
        <v>25688</v>
      </c>
      <c r="G419" s="4">
        <v>1068012000</v>
      </c>
      <c r="H419">
        <f t="shared" si="18"/>
        <v>0</v>
      </c>
      <c r="I419">
        <f t="shared" si="19"/>
        <v>0.42857142857142855</v>
      </c>
      <c r="J419">
        <f t="shared" si="20"/>
        <v>0</v>
      </c>
      <c r="O419">
        <v>1341</v>
      </c>
      <c r="P419">
        <v>1212</v>
      </c>
      <c r="R419">
        <v>1353</v>
      </c>
      <c r="S419">
        <v>0.14285714285714285</v>
      </c>
    </row>
    <row r="420" spans="1:19" ht="15" customHeight="1" x14ac:dyDescent="0.2">
      <c r="A420" s="4">
        <v>1321</v>
      </c>
      <c r="B420" s="2" t="s">
        <v>7</v>
      </c>
      <c r="C420" s="2" t="s">
        <v>8</v>
      </c>
      <c r="D420" s="2" t="s">
        <v>9</v>
      </c>
      <c r="E420" s="2">
        <v>10789</v>
      </c>
      <c r="F420" s="3">
        <v>25688</v>
      </c>
      <c r="G420" s="4">
        <v>1014001</v>
      </c>
      <c r="H420">
        <f t="shared" si="18"/>
        <v>309.5</v>
      </c>
      <c r="I420">
        <f t="shared" si="19"/>
        <v>0.8571428571428571</v>
      </c>
      <c r="J420">
        <f t="shared" si="20"/>
        <v>265.28571428571428</v>
      </c>
      <c r="O420">
        <v>1344</v>
      </c>
      <c r="P420">
        <v>1154</v>
      </c>
      <c r="R420">
        <v>1357</v>
      </c>
      <c r="S420">
        <v>2.222222222222222E-2</v>
      </c>
    </row>
    <row r="421" spans="1:19" ht="15" customHeight="1" x14ac:dyDescent="0.2">
      <c r="A421" s="4">
        <v>1326</v>
      </c>
      <c r="B421" s="2" t="s">
        <v>7</v>
      </c>
      <c r="C421" s="2" t="s">
        <v>12</v>
      </c>
      <c r="D421" s="2" t="s">
        <v>10</v>
      </c>
      <c r="F421" s="3">
        <v>25688</v>
      </c>
      <c r="G421" s="4">
        <v>3034001000</v>
      </c>
      <c r="H421">
        <f t="shared" si="18"/>
        <v>1154</v>
      </c>
      <c r="I421">
        <f t="shared" si="19"/>
        <v>2</v>
      </c>
      <c r="J421">
        <f t="shared" si="20"/>
        <v>2308</v>
      </c>
      <c r="O421">
        <v>1349</v>
      </c>
      <c r="P421">
        <v>309.5</v>
      </c>
      <c r="R421">
        <v>1361</v>
      </c>
      <c r="S421">
        <v>0.33333333333333331</v>
      </c>
    </row>
    <row r="422" spans="1:19" ht="15" customHeight="1" x14ac:dyDescent="0.2">
      <c r="A422" s="4">
        <v>1327</v>
      </c>
      <c r="B422" s="2" t="s">
        <v>7</v>
      </c>
      <c r="C422" s="2" t="s">
        <v>8</v>
      </c>
      <c r="D422" s="2" t="s">
        <v>9</v>
      </c>
      <c r="F422" s="3">
        <v>25688</v>
      </c>
      <c r="G422" s="4">
        <v>1000012</v>
      </c>
      <c r="H422">
        <f t="shared" si="18"/>
        <v>309.5</v>
      </c>
      <c r="I422">
        <f t="shared" si="19"/>
        <v>2</v>
      </c>
      <c r="J422">
        <f t="shared" si="20"/>
        <v>619</v>
      </c>
      <c r="O422">
        <v>1350</v>
      </c>
      <c r="P422">
        <v>1091</v>
      </c>
      <c r="R422">
        <v>1364</v>
      </c>
      <c r="S422">
        <v>7.1428571428571425E-2</v>
      </c>
    </row>
    <row r="423" spans="1:19" ht="15" customHeight="1" x14ac:dyDescent="0.2">
      <c r="A423" s="4">
        <v>1328</v>
      </c>
      <c r="B423" s="2" t="s">
        <v>13</v>
      </c>
      <c r="C423" s="2" t="s">
        <v>21</v>
      </c>
      <c r="D423" s="2" t="s">
        <v>27</v>
      </c>
      <c r="F423" s="3">
        <v>25688</v>
      </c>
      <c r="G423" s="4">
        <v>1000012</v>
      </c>
      <c r="H423">
        <f t="shared" si="18"/>
        <v>1202.5</v>
      </c>
      <c r="I423">
        <f t="shared" si="19"/>
        <v>2</v>
      </c>
      <c r="J423">
        <f t="shared" si="20"/>
        <v>2405</v>
      </c>
      <c r="O423">
        <v>1353</v>
      </c>
      <c r="P423">
        <v>1154</v>
      </c>
      <c r="R423">
        <v>1367</v>
      </c>
      <c r="S423">
        <v>6.6666666666666666E-2</v>
      </c>
    </row>
    <row r="424" spans="1:19" ht="15" customHeight="1" x14ac:dyDescent="0.2">
      <c r="A424" s="4">
        <v>1329</v>
      </c>
      <c r="B424" s="2" t="s">
        <v>7</v>
      </c>
      <c r="C424" s="2" t="s">
        <v>47</v>
      </c>
      <c r="D424" s="2" t="s">
        <v>48</v>
      </c>
      <c r="F424" s="3">
        <v>25688</v>
      </c>
      <c r="G424" s="4">
        <v>1000012</v>
      </c>
      <c r="H424">
        <f t="shared" si="18"/>
        <v>0</v>
      </c>
      <c r="I424">
        <f t="shared" si="19"/>
        <v>2</v>
      </c>
      <c r="J424">
        <f t="shared" si="20"/>
        <v>0</v>
      </c>
      <c r="O424">
        <v>1354</v>
      </c>
      <c r="P424">
        <v>1154</v>
      </c>
      <c r="R424">
        <v>1371</v>
      </c>
      <c r="S424">
        <v>0.66666666666666663</v>
      </c>
    </row>
    <row r="425" spans="1:19" ht="26.1" customHeight="1" x14ac:dyDescent="0.2">
      <c r="A425" s="4">
        <v>1338</v>
      </c>
      <c r="B425" s="2" t="s">
        <v>7</v>
      </c>
      <c r="C425" s="2" t="s">
        <v>8</v>
      </c>
      <c r="D425" s="2" t="s">
        <v>9</v>
      </c>
      <c r="E425" s="2">
        <v>11111111</v>
      </c>
      <c r="F425" s="3">
        <v>25688</v>
      </c>
      <c r="G425" s="4">
        <v>3370001000</v>
      </c>
      <c r="H425">
        <f t="shared" si="18"/>
        <v>309.5</v>
      </c>
      <c r="I425">
        <f t="shared" si="19"/>
        <v>0.14285714285714285</v>
      </c>
      <c r="J425">
        <f t="shared" si="20"/>
        <v>44.214285714285715</v>
      </c>
      <c r="O425">
        <v>1357</v>
      </c>
      <c r="P425">
        <v>1212</v>
      </c>
      <c r="R425">
        <v>1373</v>
      </c>
      <c r="S425">
        <v>1.7142857142857142</v>
      </c>
    </row>
    <row r="426" spans="1:19" ht="15" customHeight="1" x14ac:dyDescent="0.2">
      <c r="A426" s="4">
        <v>1341</v>
      </c>
      <c r="B426" s="2" t="s">
        <v>13</v>
      </c>
      <c r="C426" s="2" t="s">
        <v>8</v>
      </c>
      <c r="D426" s="2" t="s">
        <v>20</v>
      </c>
      <c r="E426" s="2">
        <v>12273</v>
      </c>
      <c r="F426" s="3">
        <v>25688</v>
      </c>
      <c r="G426" s="4">
        <v>1165000000</v>
      </c>
      <c r="H426">
        <f t="shared" si="18"/>
        <v>1212</v>
      </c>
      <c r="I426">
        <f t="shared" si="19"/>
        <v>0.42857142857142855</v>
      </c>
      <c r="J426">
        <f t="shared" si="20"/>
        <v>519.42857142857144</v>
      </c>
      <c r="O426">
        <v>1358</v>
      </c>
      <c r="P426">
        <v>629</v>
      </c>
      <c r="R426">
        <v>1393</v>
      </c>
      <c r="S426">
        <v>0.8</v>
      </c>
    </row>
    <row r="427" spans="1:19" ht="15" customHeight="1" x14ac:dyDescent="0.2">
      <c r="A427" s="4">
        <v>1344</v>
      </c>
      <c r="B427" s="2" t="s">
        <v>7</v>
      </c>
      <c r="C427" s="2" t="s">
        <v>12</v>
      </c>
      <c r="D427" s="2" t="s">
        <v>10</v>
      </c>
      <c r="F427" s="3">
        <v>25688</v>
      </c>
      <c r="G427" s="4">
        <v>2548068000</v>
      </c>
      <c r="H427">
        <f t="shared" si="18"/>
        <v>1154</v>
      </c>
      <c r="I427">
        <f t="shared" si="19"/>
        <v>1</v>
      </c>
      <c r="J427">
        <f t="shared" si="20"/>
        <v>1154</v>
      </c>
      <c r="O427">
        <v>1361</v>
      </c>
      <c r="P427">
        <v>532</v>
      </c>
      <c r="R427">
        <v>1394</v>
      </c>
      <c r="S427">
        <v>3.5714285714285712E-2</v>
      </c>
    </row>
    <row r="428" spans="1:19" ht="15" customHeight="1" x14ac:dyDescent="0.2">
      <c r="A428" s="4">
        <v>1349</v>
      </c>
      <c r="B428" s="2" t="s">
        <v>7</v>
      </c>
      <c r="C428" s="2" t="s">
        <v>8</v>
      </c>
      <c r="D428" s="2" t="s">
        <v>9</v>
      </c>
      <c r="E428" s="2">
        <v>6992</v>
      </c>
      <c r="F428" s="3">
        <v>25688</v>
      </c>
      <c r="G428" s="4">
        <v>165001000</v>
      </c>
      <c r="H428">
        <f t="shared" si="18"/>
        <v>309.5</v>
      </c>
      <c r="I428">
        <f t="shared" si="19"/>
        <v>1</v>
      </c>
      <c r="J428">
        <f t="shared" si="20"/>
        <v>309.5</v>
      </c>
      <c r="O428">
        <v>1364</v>
      </c>
      <c r="P428">
        <v>1091</v>
      </c>
      <c r="R428">
        <v>1395</v>
      </c>
      <c r="S428">
        <v>2</v>
      </c>
    </row>
    <row r="429" spans="1:19" ht="15" customHeight="1" x14ac:dyDescent="0.2">
      <c r="A429" s="4">
        <v>1350</v>
      </c>
      <c r="B429" s="2" t="s">
        <v>13</v>
      </c>
      <c r="C429" s="2" t="s">
        <v>14</v>
      </c>
      <c r="D429" s="2" t="s">
        <v>15</v>
      </c>
      <c r="E429" s="2" t="s">
        <v>88</v>
      </c>
      <c r="F429" s="3">
        <v>25688</v>
      </c>
      <c r="G429" s="4">
        <v>1165000000</v>
      </c>
      <c r="H429">
        <f t="shared" si="18"/>
        <v>1091</v>
      </c>
      <c r="I429">
        <f t="shared" si="19"/>
        <v>0.42857142857142855</v>
      </c>
      <c r="J429">
        <f t="shared" si="20"/>
        <v>467.57142857142856</v>
      </c>
      <c r="O429">
        <v>1367</v>
      </c>
      <c r="P429">
        <v>309.5</v>
      </c>
      <c r="R429">
        <v>1396</v>
      </c>
      <c r="S429">
        <v>3.3333333333333333E-2</v>
      </c>
    </row>
    <row r="430" spans="1:19" ht="26.1" customHeight="1" x14ac:dyDescent="0.2">
      <c r="A430" s="4">
        <v>1353</v>
      </c>
      <c r="B430" s="2" t="s">
        <v>7</v>
      </c>
      <c r="C430" s="2" t="s">
        <v>12</v>
      </c>
      <c r="D430" s="2" t="s">
        <v>10</v>
      </c>
      <c r="E430" s="2">
        <v>11111111111</v>
      </c>
      <c r="F430" s="3">
        <v>25688</v>
      </c>
      <c r="G430" s="4">
        <v>3234001000</v>
      </c>
      <c r="H430">
        <f t="shared" si="18"/>
        <v>1154</v>
      </c>
      <c r="I430">
        <f t="shared" si="19"/>
        <v>0.14285714285714285</v>
      </c>
      <c r="J430">
        <f t="shared" si="20"/>
        <v>164.85714285714286</v>
      </c>
      <c r="O430">
        <v>1371</v>
      </c>
      <c r="P430">
        <v>629</v>
      </c>
      <c r="R430">
        <v>1403</v>
      </c>
      <c r="S430">
        <v>0.5714285714285714</v>
      </c>
    </row>
    <row r="431" spans="1:19" ht="26.1" customHeight="1" x14ac:dyDescent="0.2">
      <c r="A431" s="4">
        <v>1354</v>
      </c>
      <c r="B431" s="2" t="s">
        <v>7</v>
      </c>
      <c r="C431" s="2" t="s">
        <v>12</v>
      </c>
      <c r="D431" s="2" t="s">
        <v>10</v>
      </c>
      <c r="E431" s="2">
        <v>1042316</v>
      </c>
      <c r="F431" s="3">
        <v>25688</v>
      </c>
      <c r="G431" s="4">
        <v>1925001000</v>
      </c>
      <c r="H431">
        <f t="shared" si="18"/>
        <v>1154</v>
      </c>
      <c r="I431">
        <f t="shared" si="19"/>
        <v>0.14285714285714285</v>
      </c>
      <c r="J431">
        <f t="shared" si="20"/>
        <v>164.85714285714286</v>
      </c>
      <c r="O431">
        <v>1373</v>
      </c>
      <c r="P431">
        <v>461</v>
      </c>
      <c r="R431">
        <v>1416</v>
      </c>
      <c r="S431">
        <v>0.66666666666666663</v>
      </c>
    </row>
    <row r="432" spans="1:19" ht="15" customHeight="1" x14ac:dyDescent="0.2">
      <c r="A432" s="4">
        <v>1357</v>
      </c>
      <c r="B432" s="2" t="s">
        <v>13</v>
      </c>
      <c r="C432" s="2" t="s">
        <v>8</v>
      </c>
      <c r="D432" s="2" t="s">
        <v>20</v>
      </c>
      <c r="E432" s="2">
        <v>12167</v>
      </c>
      <c r="F432" s="3">
        <v>25688</v>
      </c>
      <c r="G432" s="4">
        <v>2548049000</v>
      </c>
      <c r="H432">
        <f t="shared" si="18"/>
        <v>1212</v>
      </c>
      <c r="I432">
        <f t="shared" si="19"/>
        <v>2.222222222222222E-2</v>
      </c>
      <c r="J432">
        <f t="shared" si="20"/>
        <v>26.93333333333333</v>
      </c>
      <c r="O432">
        <v>1381</v>
      </c>
      <c r="P432">
        <v>1091</v>
      </c>
      <c r="R432">
        <v>1426</v>
      </c>
      <c r="S432">
        <v>2</v>
      </c>
    </row>
    <row r="433" spans="1:19" ht="26.1" customHeight="1" x14ac:dyDescent="0.2">
      <c r="A433" s="4">
        <v>1358</v>
      </c>
      <c r="B433" s="2" t="s">
        <v>7</v>
      </c>
      <c r="C433" s="2" t="s">
        <v>14</v>
      </c>
      <c r="D433" s="2" t="s">
        <v>23</v>
      </c>
      <c r="E433" s="2">
        <v>5023031</v>
      </c>
      <c r="F433" s="3">
        <v>25688</v>
      </c>
      <c r="G433" s="4">
        <v>1014001</v>
      </c>
      <c r="H433">
        <f t="shared" si="18"/>
        <v>629</v>
      </c>
      <c r="I433">
        <f t="shared" si="19"/>
        <v>2.222222222222222E-2</v>
      </c>
      <c r="J433">
        <f t="shared" si="20"/>
        <v>13.977777777777776</v>
      </c>
      <c r="O433">
        <v>1393</v>
      </c>
      <c r="P433">
        <v>309.5</v>
      </c>
      <c r="R433">
        <v>1433</v>
      </c>
      <c r="S433">
        <v>9.5714285714285724E-2</v>
      </c>
    </row>
    <row r="434" spans="1:19" ht="15" customHeight="1" x14ac:dyDescent="0.2">
      <c r="A434" s="4">
        <v>1361</v>
      </c>
      <c r="B434" s="2" t="s">
        <v>7</v>
      </c>
      <c r="C434" s="2" t="s">
        <v>12</v>
      </c>
      <c r="D434" s="2" t="s">
        <v>19</v>
      </c>
      <c r="F434" s="3">
        <v>25688</v>
      </c>
      <c r="G434" s="4">
        <v>153002000</v>
      </c>
      <c r="H434">
        <f t="shared" si="18"/>
        <v>532</v>
      </c>
      <c r="I434">
        <f t="shared" si="19"/>
        <v>0.33333333333333331</v>
      </c>
      <c r="J434">
        <f t="shared" si="20"/>
        <v>177.33333333333331</v>
      </c>
      <c r="O434">
        <v>1394</v>
      </c>
      <c r="P434">
        <v>1212</v>
      </c>
      <c r="R434">
        <v>1440</v>
      </c>
      <c r="S434">
        <v>0.42857142857142855</v>
      </c>
    </row>
    <row r="435" spans="1:19" ht="15" customHeight="1" x14ac:dyDescent="0.2">
      <c r="A435" s="4">
        <v>1364</v>
      </c>
      <c r="B435" s="2" t="s">
        <v>13</v>
      </c>
      <c r="C435" s="2" t="s">
        <v>14</v>
      </c>
      <c r="D435" s="2" t="s">
        <v>15</v>
      </c>
      <c r="E435" s="2">
        <v>117544</v>
      </c>
      <c r="F435" s="3">
        <v>25688</v>
      </c>
      <c r="G435" s="4">
        <v>1068020000</v>
      </c>
      <c r="H435">
        <f t="shared" si="18"/>
        <v>1091</v>
      </c>
      <c r="I435">
        <f t="shared" si="19"/>
        <v>7.1428571428571425E-2</v>
      </c>
      <c r="J435">
        <f t="shared" si="20"/>
        <v>77.928571428571431</v>
      </c>
      <c r="O435">
        <v>1395</v>
      </c>
      <c r="P435">
        <v>1212</v>
      </c>
      <c r="R435">
        <v>1441</v>
      </c>
      <c r="S435">
        <v>0.66666666666666663</v>
      </c>
    </row>
    <row r="436" spans="1:19" ht="26.1" customHeight="1" x14ac:dyDescent="0.2">
      <c r="A436" s="4">
        <v>1367</v>
      </c>
      <c r="B436" s="2" t="s">
        <v>11</v>
      </c>
      <c r="C436" s="2" t="s">
        <v>8</v>
      </c>
      <c r="D436" s="2" t="s">
        <v>9</v>
      </c>
      <c r="E436" s="2">
        <v>9659</v>
      </c>
      <c r="F436" s="3">
        <v>25688</v>
      </c>
      <c r="G436" s="4">
        <v>3400002000</v>
      </c>
      <c r="H436">
        <f t="shared" si="18"/>
        <v>309.5</v>
      </c>
      <c r="I436">
        <f t="shared" si="19"/>
        <v>6.6666666666666666E-2</v>
      </c>
      <c r="J436">
        <f t="shared" si="20"/>
        <v>20.633333333333333</v>
      </c>
      <c r="O436">
        <v>1396</v>
      </c>
      <c r="P436">
        <v>309.5</v>
      </c>
      <c r="R436">
        <v>1446</v>
      </c>
      <c r="S436">
        <v>0.66666666666666663</v>
      </c>
    </row>
    <row r="437" spans="1:19" ht="15" customHeight="1" x14ac:dyDescent="0.2">
      <c r="A437" s="4">
        <v>1371</v>
      </c>
      <c r="B437" s="2" t="s">
        <v>7</v>
      </c>
      <c r="C437" s="2" t="s">
        <v>14</v>
      </c>
      <c r="D437" s="2" t="s">
        <v>53</v>
      </c>
      <c r="E437" s="2">
        <v>5847</v>
      </c>
      <c r="F437" s="3">
        <v>25688</v>
      </c>
      <c r="G437" s="4">
        <v>3135004000</v>
      </c>
      <c r="H437">
        <f t="shared" si="18"/>
        <v>629</v>
      </c>
      <c r="I437">
        <f t="shared" si="19"/>
        <v>0.66666666666666663</v>
      </c>
      <c r="J437">
        <f t="shared" si="20"/>
        <v>419.33333333333331</v>
      </c>
      <c r="O437">
        <v>1402</v>
      </c>
      <c r="P437">
        <v>461</v>
      </c>
      <c r="R437">
        <v>1451</v>
      </c>
      <c r="S437">
        <v>0.7142857142857143</v>
      </c>
    </row>
    <row r="438" spans="1:19" ht="15" customHeight="1" x14ac:dyDescent="0.2">
      <c r="A438" s="4">
        <v>1373</v>
      </c>
      <c r="B438" s="2" t="s">
        <v>7</v>
      </c>
      <c r="C438" s="2" t="s">
        <v>8</v>
      </c>
      <c r="D438" s="2" t="s">
        <v>17</v>
      </c>
      <c r="E438" s="2">
        <v>10131</v>
      </c>
      <c r="F438" s="3">
        <v>25688</v>
      </c>
      <c r="G438" s="4">
        <v>2126001000</v>
      </c>
      <c r="H438">
        <f t="shared" si="18"/>
        <v>461</v>
      </c>
      <c r="I438">
        <f t="shared" si="19"/>
        <v>1.7142857142857142</v>
      </c>
      <c r="J438">
        <f t="shared" si="20"/>
        <v>790.28571428571422</v>
      </c>
      <c r="O438">
        <v>1403</v>
      </c>
      <c r="P438">
        <v>309.5</v>
      </c>
      <c r="R438">
        <v>1467</v>
      </c>
      <c r="S438">
        <v>0.2857142857142857</v>
      </c>
    </row>
    <row r="439" spans="1:19" ht="15" customHeight="1" x14ac:dyDescent="0.2">
      <c r="A439" s="4">
        <v>1381</v>
      </c>
      <c r="B439" s="2" t="s">
        <v>13</v>
      </c>
      <c r="C439" s="2" t="s">
        <v>14</v>
      </c>
      <c r="D439" s="2" t="s">
        <v>15</v>
      </c>
      <c r="F439" s="3">
        <v>25688</v>
      </c>
      <c r="G439" s="4">
        <v>2514001000</v>
      </c>
      <c r="H439">
        <f t="shared" si="18"/>
        <v>1091</v>
      </c>
      <c r="I439">
        <f t="shared" si="19"/>
        <v>1.7142857142857142</v>
      </c>
      <c r="J439">
        <f t="shared" si="20"/>
        <v>1870.2857142857142</v>
      </c>
      <c r="O439">
        <v>1413</v>
      </c>
      <c r="P439">
        <v>0</v>
      </c>
      <c r="R439">
        <v>1474</v>
      </c>
      <c r="S439">
        <v>0.2857142857142857</v>
      </c>
    </row>
    <row r="440" spans="1:19" ht="15" customHeight="1" x14ac:dyDescent="0.2">
      <c r="A440" s="4">
        <v>1393</v>
      </c>
      <c r="B440" s="2" t="s">
        <v>7</v>
      </c>
      <c r="C440" s="2" t="s">
        <v>8</v>
      </c>
      <c r="D440" s="2" t="s">
        <v>9</v>
      </c>
      <c r="E440" s="2">
        <v>21758</v>
      </c>
      <c r="F440" s="3">
        <v>25688</v>
      </c>
      <c r="G440" s="4">
        <v>3076001000</v>
      </c>
      <c r="H440">
        <f t="shared" si="18"/>
        <v>309.5</v>
      </c>
      <c r="I440">
        <f t="shared" si="19"/>
        <v>0.8</v>
      </c>
      <c r="J440">
        <f t="shared" si="20"/>
        <v>247.60000000000002</v>
      </c>
      <c r="O440">
        <v>1416</v>
      </c>
      <c r="P440">
        <v>629</v>
      </c>
      <c r="R440">
        <v>1490</v>
      </c>
      <c r="S440">
        <v>0.5714285714285714</v>
      </c>
    </row>
    <row r="441" spans="1:19" ht="15" customHeight="1" x14ac:dyDescent="0.2">
      <c r="A441" s="4">
        <v>1394</v>
      </c>
      <c r="B441" s="2" t="s">
        <v>13</v>
      </c>
      <c r="C441" s="2" t="s">
        <v>8</v>
      </c>
      <c r="D441" s="2" t="s">
        <v>20</v>
      </c>
      <c r="F441" s="3">
        <v>25688</v>
      </c>
      <c r="G441" s="4">
        <v>3178005000</v>
      </c>
      <c r="H441">
        <f t="shared" si="18"/>
        <v>1212</v>
      </c>
      <c r="I441">
        <f t="shared" si="19"/>
        <v>3.5714285714285712E-2</v>
      </c>
      <c r="J441">
        <f t="shared" si="20"/>
        <v>43.285714285714285</v>
      </c>
      <c r="O441">
        <v>1423</v>
      </c>
      <c r="P441">
        <v>1212</v>
      </c>
      <c r="R441">
        <v>1510</v>
      </c>
      <c r="S441">
        <v>0.66666666666666663</v>
      </c>
    </row>
    <row r="442" spans="1:19" ht="15" customHeight="1" x14ac:dyDescent="0.2">
      <c r="A442" s="4">
        <v>1395</v>
      </c>
      <c r="B442" s="2" t="s">
        <v>13</v>
      </c>
      <c r="C442" s="2" t="s">
        <v>8</v>
      </c>
      <c r="D442" s="2" t="s">
        <v>18</v>
      </c>
      <c r="E442" s="2">
        <v>12265</v>
      </c>
      <c r="F442" s="3">
        <v>25688</v>
      </c>
      <c r="G442" s="4">
        <v>1614002000</v>
      </c>
      <c r="H442">
        <f t="shared" si="18"/>
        <v>1212</v>
      </c>
      <c r="I442">
        <f t="shared" si="19"/>
        <v>2</v>
      </c>
      <c r="J442">
        <f t="shared" si="20"/>
        <v>2424</v>
      </c>
      <c r="O442">
        <v>1424</v>
      </c>
      <c r="P442">
        <v>1212</v>
      </c>
      <c r="R442">
        <v>1514</v>
      </c>
      <c r="S442">
        <v>0.5714285714285714</v>
      </c>
    </row>
    <row r="443" spans="1:19" ht="15" customHeight="1" x14ac:dyDescent="0.2">
      <c r="A443" s="4">
        <v>1396</v>
      </c>
      <c r="B443" s="2" t="s">
        <v>7</v>
      </c>
      <c r="C443" s="2" t="s">
        <v>8</v>
      </c>
      <c r="D443" s="2" t="s">
        <v>9</v>
      </c>
      <c r="E443" s="2">
        <v>6148</v>
      </c>
      <c r="F443" s="3">
        <v>25688</v>
      </c>
      <c r="G443" s="4">
        <v>2548098000</v>
      </c>
      <c r="H443">
        <f t="shared" si="18"/>
        <v>309.5</v>
      </c>
      <c r="I443">
        <f t="shared" si="19"/>
        <v>3.3333333333333333E-2</v>
      </c>
      <c r="J443">
        <f t="shared" si="20"/>
        <v>10.316666666666666</v>
      </c>
      <c r="O443">
        <v>1426</v>
      </c>
      <c r="P443">
        <v>1202.5</v>
      </c>
      <c r="R443">
        <v>1527</v>
      </c>
      <c r="S443">
        <v>0.33333333333333331</v>
      </c>
    </row>
    <row r="444" spans="1:19" ht="15" customHeight="1" x14ac:dyDescent="0.2">
      <c r="A444" s="4">
        <v>1402</v>
      </c>
      <c r="B444" s="2" t="s">
        <v>7</v>
      </c>
      <c r="C444" s="2" t="s">
        <v>8</v>
      </c>
      <c r="D444" s="2" t="s">
        <v>17</v>
      </c>
      <c r="E444" s="2">
        <v>10130</v>
      </c>
      <c r="F444" s="3">
        <v>25688</v>
      </c>
      <c r="G444" s="4">
        <v>1014001</v>
      </c>
      <c r="H444">
        <f t="shared" si="18"/>
        <v>461</v>
      </c>
      <c r="I444">
        <f t="shared" si="19"/>
        <v>3.3333333333333333E-2</v>
      </c>
      <c r="J444">
        <f t="shared" si="20"/>
        <v>15.366666666666667</v>
      </c>
      <c r="O444">
        <v>1427</v>
      </c>
      <c r="P444">
        <v>309.5</v>
      </c>
      <c r="R444">
        <v>1533</v>
      </c>
      <c r="S444">
        <v>9.5238095238095233E-2</v>
      </c>
    </row>
    <row r="445" spans="1:19" ht="15" customHeight="1" x14ac:dyDescent="0.2">
      <c r="A445" s="4">
        <v>1403</v>
      </c>
      <c r="B445" s="2" t="s">
        <v>7</v>
      </c>
      <c r="C445" s="2" t="s">
        <v>8</v>
      </c>
      <c r="D445" s="2" t="s">
        <v>9</v>
      </c>
      <c r="F445" s="3">
        <v>25688</v>
      </c>
      <c r="G445" s="4">
        <v>3300202000</v>
      </c>
      <c r="H445">
        <f t="shared" si="18"/>
        <v>309.5</v>
      </c>
      <c r="I445">
        <f t="shared" si="19"/>
        <v>0.5714285714285714</v>
      </c>
      <c r="J445">
        <f t="shared" si="20"/>
        <v>176.85714285714286</v>
      </c>
      <c r="O445">
        <v>1433</v>
      </c>
      <c r="P445">
        <v>1091</v>
      </c>
      <c r="R445">
        <v>1547</v>
      </c>
      <c r="S445">
        <v>1.4285714285714286</v>
      </c>
    </row>
    <row r="446" spans="1:19" ht="15" customHeight="1" x14ac:dyDescent="0.2">
      <c r="A446" s="4">
        <v>1413</v>
      </c>
      <c r="B446" s="2" t="s">
        <v>89</v>
      </c>
      <c r="C446" s="2" t="s">
        <v>90</v>
      </c>
      <c r="D446" s="2" t="s">
        <v>10</v>
      </c>
      <c r="F446" s="3">
        <v>25688</v>
      </c>
      <c r="G446" s="4">
        <v>1000012</v>
      </c>
      <c r="H446">
        <f t="shared" si="18"/>
        <v>0</v>
      </c>
      <c r="I446">
        <f t="shared" si="19"/>
        <v>0.5714285714285714</v>
      </c>
      <c r="J446">
        <f t="shared" si="20"/>
        <v>0</v>
      </c>
      <c r="O446">
        <v>1440</v>
      </c>
      <c r="P446">
        <v>1091</v>
      </c>
      <c r="R446">
        <v>1560</v>
      </c>
      <c r="S446">
        <v>0.33333333333333331</v>
      </c>
    </row>
    <row r="447" spans="1:19" ht="15" customHeight="1" x14ac:dyDescent="0.2">
      <c r="A447" s="4">
        <v>1416</v>
      </c>
      <c r="B447" s="2" t="s">
        <v>7</v>
      </c>
      <c r="C447" s="2" t="s">
        <v>14</v>
      </c>
      <c r="D447" s="2" t="s">
        <v>23</v>
      </c>
      <c r="E447" s="2">
        <v>6789</v>
      </c>
      <c r="F447" s="3">
        <v>25688</v>
      </c>
      <c r="G447" s="4">
        <v>1014001</v>
      </c>
      <c r="H447">
        <f t="shared" si="18"/>
        <v>629</v>
      </c>
      <c r="I447">
        <f t="shared" si="19"/>
        <v>0.66666666666666663</v>
      </c>
      <c r="J447">
        <f t="shared" si="20"/>
        <v>419.33333333333331</v>
      </c>
      <c r="O447">
        <v>1441</v>
      </c>
      <c r="P447">
        <v>461</v>
      </c>
      <c r="R447">
        <v>1579</v>
      </c>
      <c r="S447">
        <v>0.33333333333333331</v>
      </c>
    </row>
    <row r="448" spans="1:19" ht="15" customHeight="1" x14ac:dyDescent="0.2">
      <c r="A448" s="4">
        <v>1423</v>
      </c>
      <c r="B448" s="2" t="s">
        <v>13</v>
      </c>
      <c r="C448" s="2" t="s">
        <v>8</v>
      </c>
      <c r="D448" s="2" t="s">
        <v>20</v>
      </c>
      <c r="E448" s="2">
        <v>15329</v>
      </c>
      <c r="F448" s="3">
        <v>25688</v>
      </c>
      <c r="G448" s="4">
        <v>18001000</v>
      </c>
      <c r="H448">
        <f t="shared" si="18"/>
        <v>1212</v>
      </c>
      <c r="I448">
        <f t="shared" si="19"/>
        <v>0.66666666666666663</v>
      </c>
      <c r="J448">
        <f t="shared" si="20"/>
        <v>808</v>
      </c>
      <c r="O448">
        <v>1446</v>
      </c>
      <c r="P448">
        <v>309.5</v>
      </c>
      <c r="R448">
        <v>1587</v>
      </c>
      <c r="S448">
        <v>0.5714285714285714</v>
      </c>
    </row>
    <row r="449" spans="1:19" ht="15" customHeight="1" x14ac:dyDescent="0.2">
      <c r="A449" s="4">
        <v>1424</v>
      </c>
      <c r="B449" s="2" t="s">
        <v>13</v>
      </c>
      <c r="C449" s="2" t="s">
        <v>8</v>
      </c>
      <c r="D449" s="2" t="s">
        <v>20</v>
      </c>
      <c r="E449" s="2">
        <v>4091</v>
      </c>
      <c r="F449" s="3">
        <v>25688</v>
      </c>
      <c r="G449" s="4">
        <v>2126001000</v>
      </c>
      <c r="H449">
        <f t="shared" si="18"/>
        <v>1212</v>
      </c>
      <c r="I449">
        <f t="shared" si="19"/>
        <v>0.66666666666666663</v>
      </c>
      <c r="J449">
        <f t="shared" si="20"/>
        <v>808</v>
      </c>
      <c r="O449">
        <v>1451</v>
      </c>
      <c r="P449">
        <v>2720</v>
      </c>
      <c r="R449">
        <v>1598</v>
      </c>
      <c r="S449">
        <v>0.2857142857142857</v>
      </c>
    </row>
    <row r="450" spans="1:19" ht="15" customHeight="1" x14ac:dyDescent="0.2">
      <c r="A450" s="4">
        <v>1426</v>
      </c>
      <c r="B450" s="2" t="s">
        <v>13</v>
      </c>
      <c r="C450" s="2" t="s">
        <v>21</v>
      </c>
      <c r="D450" s="2" t="s">
        <v>27</v>
      </c>
      <c r="F450" s="3">
        <v>25688</v>
      </c>
      <c r="G450" s="4">
        <v>43003000</v>
      </c>
      <c r="H450">
        <f t="shared" ref="H450:H513" si="21">VLOOKUP(A450,O:P,2)</f>
        <v>1202.5</v>
      </c>
      <c r="I450">
        <f t="shared" ref="I450:I513" si="22">VLOOKUP(A450,R:S,2)</f>
        <v>2</v>
      </c>
      <c r="J450">
        <f t="shared" ref="J450:J513" si="23">H450*I450</f>
        <v>2405</v>
      </c>
      <c r="O450">
        <v>1465</v>
      </c>
      <c r="P450">
        <v>1212</v>
      </c>
      <c r="R450">
        <v>1607</v>
      </c>
      <c r="S450">
        <v>0.53333333333333333</v>
      </c>
    </row>
    <row r="451" spans="1:19" ht="15" customHeight="1" x14ac:dyDescent="0.2">
      <c r="A451" s="4">
        <v>1427</v>
      </c>
      <c r="B451" s="2" t="s">
        <v>7</v>
      </c>
      <c r="C451" s="2" t="s">
        <v>8</v>
      </c>
      <c r="D451" s="2" t="s">
        <v>9</v>
      </c>
      <c r="E451" s="2">
        <v>954</v>
      </c>
      <c r="F451" s="3">
        <v>25688</v>
      </c>
      <c r="G451" s="4">
        <v>1014001</v>
      </c>
      <c r="H451">
        <f t="shared" si="21"/>
        <v>309.5</v>
      </c>
      <c r="I451">
        <f t="shared" si="22"/>
        <v>2</v>
      </c>
      <c r="J451">
        <f t="shared" si="23"/>
        <v>619</v>
      </c>
      <c r="O451">
        <v>1466</v>
      </c>
      <c r="P451">
        <v>1212</v>
      </c>
      <c r="R451">
        <v>1627</v>
      </c>
      <c r="S451">
        <v>0.33333333333333331</v>
      </c>
    </row>
    <row r="452" spans="1:19" ht="15" customHeight="1" x14ac:dyDescent="0.2">
      <c r="A452" s="4">
        <v>1433</v>
      </c>
      <c r="B452" s="2" t="s">
        <v>13</v>
      </c>
      <c r="C452" s="2" t="s">
        <v>14</v>
      </c>
      <c r="D452" s="2" t="s">
        <v>15</v>
      </c>
      <c r="F452" s="3">
        <v>25688</v>
      </c>
      <c r="G452" s="4">
        <v>2514001000</v>
      </c>
      <c r="H452">
        <f t="shared" si="21"/>
        <v>1091</v>
      </c>
      <c r="I452">
        <f t="shared" si="22"/>
        <v>9.5714285714285724E-2</v>
      </c>
      <c r="J452">
        <f t="shared" si="23"/>
        <v>104.42428571428573</v>
      </c>
      <c r="O452">
        <v>1467</v>
      </c>
      <c r="P452">
        <v>461</v>
      </c>
      <c r="R452">
        <v>1630</v>
      </c>
      <c r="S452">
        <v>0.10714285714285714</v>
      </c>
    </row>
    <row r="453" spans="1:19" ht="15" customHeight="1" x14ac:dyDescent="0.2">
      <c r="A453" s="4">
        <v>1440</v>
      </c>
      <c r="B453" s="2" t="s">
        <v>13</v>
      </c>
      <c r="C453" s="2" t="s">
        <v>14</v>
      </c>
      <c r="D453" s="2" t="s">
        <v>15</v>
      </c>
      <c r="F453" s="3">
        <v>25688</v>
      </c>
      <c r="G453" s="4">
        <v>1165000000</v>
      </c>
      <c r="H453">
        <f t="shared" si="21"/>
        <v>1091</v>
      </c>
      <c r="I453">
        <f t="shared" si="22"/>
        <v>0.42857142857142855</v>
      </c>
      <c r="J453">
        <f t="shared" si="23"/>
        <v>467.57142857142856</v>
      </c>
      <c r="O453">
        <v>1474</v>
      </c>
      <c r="P453">
        <v>461</v>
      </c>
      <c r="R453">
        <v>1631</v>
      </c>
      <c r="S453">
        <v>0.8</v>
      </c>
    </row>
    <row r="454" spans="1:19" ht="15" customHeight="1" x14ac:dyDescent="0.2">
      <c r="A454" s="4">
        <v>1441</v>
      </c>
      <c r="B454" s="2" t="s">
        <v>7</v>
      </c>
      <c r="C454" s="2" t="s">
        <v>8</v>
      </c>
      <c r="D454" s="2" t="s">
        <v>17</v>
      </c>
      <c r="E454" s="2">
        <v>9885</v>
      </c>
      <c r="F454" s="3">
        <v>25688</v>
      </c>
      <c r="G454" s="4">
        <v>157001000</v>
      </c>
      <c r="H454">
        <f t="shared" si="21"/>
        <v>461</v>
      </c>
      <c r="I454">
        <f t="shared" si="22"/>
        <v>0.66666666666666663</v>
      </c>
      <c r="J454">
        <f t="shared" si="23"/>
        <v>307.33333333333331</v>
      </c>
      <c r="O454">
        <v>1490</v>
      </c>
      <c r="P454">
        <v>503</v>
      </c>
      <c r="R454">
        <v>1632</v>
      </c>
      <c r="S454">
        <v>3.3333333333333333E-2</v>
      </c>
    </row>
    <row r="455" spans="1:19" ht="15" customHeight="1" x14ac:dyDescent="0.2">
      <c r="A455" s="4">
        <v>1446</v>
      </c>
      <c r="B455" s="2" t="s">
        <v>7</v>
      </c>
      <c r="C455" s="2" t="s">
        <v>8</v>
      </c>
      <c r="D455" s="2" t="s">
        <v>9</v>
      </c>
      <c r="E455" s="2">
        <v>5</v>
      </c>
      <c r="F455" s="3">
        <v>25688</v>
      </c>
      <c r="G455" s="4">
        <v>2126013000</v>
      </c>
      <c r="H455">
        <f t="shared" si="21"/>
        <v>309.5</v>
      </c>
      <c r="I455">
        <f t="shared" si="22"/>
        <v>0.66666666666666663</v>
      </c>
      <c r="J455">
        <f t="shared" si="23"/>
        <v>206.33333333333331</v>
      </c>
      <c r="O455">
        <v>1505</v>
      </c>
      <c r="P455">
        <v>1212</v>
      </c>
      <c r="R455">
        <v>1635</v>
      </c>
      <c r="S455">
        <v>0.33333333333333331</v>
      </c>
    </row>
    <row r="456" spans="1:19" ht="26.1" customHeight="1" x14ac:dyDescent="0.2">
      <c r="A456" s="4">
        <v>1449</v>
      </c>
      <c r="B456" s="2" t="s">
        <v>82</v>
      </c>
      <c r="C456" s="2" t="s">
        <v>80</v>
      </c>
      <c r="D456" s="2" t="s">
        <v>83</v>
      </c>
      <c r="E456" s="2">
        <v>131024125</v>
      </c>
      <c r="F456" s="3">
        <v>25688</v>
      </c>
      <c r="G456" s="4">
        <v>1000002</v>
      </c>
      <c r="H456">
        <f t="shared" si="21"/>
        <v>309.5</v>
      </c>
      <c r="I456">
        <f t="shared" si="22"/>
        <v>0.66666666666666663</v>
      </c>
      <c r="J456">
        <f t="shared" si="23"/>
        <v>206.33333333333331</v>
      </c>
      <c r="O456">
        <v>1510</v>
      </c>
      <c r="P456">
        <v>1241.5</v>
      </c>
      <c r="R456">
        <v>1636</v>
      </c>
      <c r="S456">
        <v>0.2857142857142857</v>
      </c>
    </row>
    <row r="457" spans="1:19" ht="26.1" customHeight="1" x14ac:dyDescent="0.2">
      <c r="A457" s="4">
        <v>1451</v>
      </c>
      <c r="B457" s="2" t="s">
        <v>24</v>
      </c>
      <c r="C457" s="2" t="s">
        <v>14</v>
      </c>
      <c r="D457" s="2" t="s">
        <v>84</v>
      </c>
      <c r="F457" s="3">
        <v>25688</v>
      </c>
      <c r="G457" s="4">
        <v>2126001000</v>
      </c>
      <c r="H457">
        <f t="shared" si="21"/>
        <v>2720</v>
      </c>
      <c r="I457">
        <f t="shared" si="22"/>
        <v>0.7142857142857143</v>
      </c>
      <c r="J457">
        <f t="shared" si="23"/>
        <v>1942.8571428571429</v>
      </c>
      <c r="O457">
        <v>1514</v>
      </c>
      <c r="P457">
        <v>309.5</v>
      </c>
      <c r="R457">
        <v>1638</v>
      </c>
      <c r="S457">
        <v>0.2</v>
      </c>
    </row>
    <row r="458" spans="1:19" ht="15" customHeight="1" x14ac:dyDescent="0.2">
      <c r="A458" s="4">
        <v>1465</v>
      </c>
      <c r="B458" s="2" t="s">
        <v>13</v>
      </c>
      <c r="C458" s="2" t="s">
        <v>8</v>
      </c>
      <c r="D458" s="2" t="s">
        <v>20</v>
      </c>
      <c r="E458" s="2">
        <v>8195</v>
      </c>
      <c r="F458" s="3">
        <v>25688</v>
      </c>
      <c r="G458" s="4">
        <v>1068021000</v>
      </c>
      <c r="H458">
        <f t="shared" si="21"/>
        <v>1212</v>
      </c>
      <c r="I458">
        <f t="shared" si="22"/>
        <v>0.7142857142857143</v>
      </c>
      <c r="J458">
        <f t="shared" si="23"/>
        <v>865.71428571428578</v>
      </c>
      <c r="O458">
        <v>1524</v>
      </c>
      <c r="P458">
        <v>0</v>
      </c>
      <c r="R458">
        <v>1651</v>
      </c>
      <c r="S458">
        <v>0.23333333333333334</v>
      </c>
    </row>
    <row r="459" spans="1:19" ht="15" customHeight="1" x14ac:dyDescent="0.2">
      <c r="A459" s="4">
        <v>1466</v>
      </c>
      <c r="B459" s="2" t="s">
        <v>13</v>
      </c>
      <c r="C459" s="2" t="s">
        <v>8</v>
      </c>
      <c r="D459" s="2" t="s">
        <v>20</v>
      </c>
      <c r="E459" s="2">
        <v>8162</v>
      </c>
      <c r="F459" s="3">
        <v>25688</v>
      </c>
      <c r="G459" s="4">
        <v>43001000</v>
      </c>
      <c r="H459">
        <f t="shared" si="21"/>
        <v>1212</v>
      </c>
      <c r="I459">
        <f t="shared" si="22"/>
        <v>0.7142857142857143</v>
      </c>
      <c r="J459">
        <f t="shared" si="23"/>
        <v>865.71428571428578</v>
      </c>
      <c r="O459">
        <v>1527</v>
      </c>
      <c r="P459">
        <v>309.5</v>
      </c>
      <c r="R459">
        <v>1675</v>
      </c>
      <c r="S459">
        <v>2</v>
      </c>
    </row>
    <row r="460" spans="1:19" ht="15" customHeight="1" x14ac:dyDescent="0.2">
      <c r="A460" s="4">
        <v>1467</v>
      </c>
      <c r="B460" s="2" t="s">
        <v>7</v>
      </c>
      <c r="C460" s="2" t="s">
        <v>8</v>
      </c>
      <c r="D460" s="2" t="s">
        <v>17</v>
      </c>
      <c r="E460" s="2">
        <v>17574</v>
      </c>
      <c r="F460" s="3">
        <v>35426</v>
      </c>
      <c r="G460" s="4">
        <v>3300202000</v>
      </c>
      <c r="H460">
        <f t="shared" si="21"/>
        <v>461</v>
      </c>
      <c r="I460">
        <f t="shared" si="22"/>
        <v>0.2857142857142857</v>
      </c>
      <c r="J460">
        <f t="shared" si="23"/>
        <v>131.71428571428569</v>
      </c>
      <c r="O460">
        <v>1533</v>
      </c>
      <c r="P460">
        <v>309.5</v>
      </c>
      <c r="R460">
        <v>1696</v>
      </c>
      <c r="S460">
        <v>0.2857142857142857</v>
      </c>
    </row>
    <row r="461" spans="1:19" ht="15" customHeight="1" x14ac:dyDescent="0.2">
      <c r="A461" s="4">
        <v>1474</v>
      </c>
      <c r="B461" s="2" t="s">
        <v>7</v>
      </c>
      <c r="C461" s="2" t="s">
        <v>8</v>
      </c>
      <c r="D461" s="2" t="s">
        <v>17</v>
      </c>
      <c r="E461" s="2">
        <v>7950</v>
      </c>
      <c r="F461" s="3">
        <v>25688</v>
      </c>
      <c r="G461" s="4">
        <v>2936001000</v>
      </c>
      <c r="H461">
        <f t="shared" si="21"/>
        <v>461</v>
      </c>
      <c r="I461">
        <f t="shared" si="22"/>
        <v>0.2857142857142857</v>
      </c>
      <c r="J461">
        <f t="shared" si="23"/>
        <v>131.71428571428569</v>
      </c>
      <c r="O461">
        <v>1535</v>
      </c>
      <c r="P461">
        <v>309.5</v>
      </c>
      <c r="R461">
        <v>1700</v>
      </c>
      <c r="S461">
        <v>1.7142857142857142</v>
      </c>
    </row>
    <row r="462" spans="1:19" ht="26.1" customHeight="1" x14ac:dyDescent="0.2">
      <c r="A462" s="4">
        <v>1488</v>
      </c>
      <c r="B462" s="2" t="s">
        <v>82</v>
      </c>
      <c r="C462" s="2" t="s">
        <v>80</v>
      </c>
      <c r="D462" s="2" t="s">
        <v>83</v>
      </c>
      <c r="E462" s="2">
        <v>336175591</v>
      </c>
      <c r="F462" s="3">
        <v>35951</v>
      </c>
      <c r="G462" s="4">
        <v>1014002</v>
      </c>
      <c r="H462">
        <f t="shared" si="21"/>
        <v>461</v>
      </c>
      <c r="I462">
        <f t="shared" si="22"/>
        <v>0.2857142857142857</v>
      </c>
      <c r="J462">
        <f t="shared" si="23"/>
        <v>131.71428571428569</v>
      </c>
      <c r="O462">
        <v>1547</v>
      </c>
      <c r="P462">
        <v>1154</v>
      </c>
      <c r="R462">
        <v>1701</v>
      </c>
      <c r="S462">
        <v>0.5714285714285714</v>
      </c>
    </row>
    <row r="463" spans="1:19" ht="26.1" customHeight="1" x14ac:dyDescent="0.2">
      <c r="A463" s="4">
        <v>1490</v>
      </c>
      <c r="B463" s="2" t="s">
        <v>11</v>
      </c>
      <c r="C463" s="2" t="s">
        <v>14</v>
      </c>
      <c r="D463" s="2" t="s">
        <v>30</v>
      </c>
      <c r="F463" s="3">
        <v>25688</v>
      </c>
      <c r="G463" s="4">
        <v>43001000</v>
      </c>
      <c r="H463">
        <f t="shared" si="21"/>
        <v>503</v>
      </c>
      <c r="I463">
        <f t="shared" si="22"/>
        <v>0.5714285714285714</v>
      </c>
      <c r="J463">
        <f t="shared" si="23"/>
        <v>287.42857142857139</v>
      </c>
      <c r="O463">
        <v>1560</v>
      </c>
      <c r="P463">
        <v>1154</v>
      </c>
      <c r="R463">
        <v>1709</v>
      </c>
      <c r="S463">
        <v>6.6666666666666666E-2</v>
      </c>
    </row>
    <row r="464" spans="1:19" ht="15" customHeight="1" x14ac:dyDescent="0.2">
      <c r="A464" s="4">
        <v>1505</v>
      </c>
      <c r="B464" s="2" t="s">
        <v>7</v>
      </c>
      <c r="C464" s="2" t="s">
        <v>8</v>
      </c>
      <c r="D464" s="2" t="s">
        <v>10</v>
      </c>
      <c r="E464" s="2">
        <v>7790</v>
      </c>
      <c r="F464" s="3">
        <v>25688</v>
      </c>
      <c r="G464" s="4">
        <v>3300202000</v>
      </c>
      <c r="H464">
        <f t="shared" si="21"/>
        <v>1212</v>
      </c>
      <c r="I464">
        <f t="shared" si="22"/>
        <v>0.5714285714285714</v>
      </c>
      <c r="J464">
        <f t="shared" si="23"/>
        <v>692.57142857142856</v>
      </c>
      <c r="O464">
        <v>1579</v>
      </c>
      <c r="P464">
        <v>309.5</v>
      </c>
      <c r="R464">
        <v>1714</v>
      </c>
      <c r="S464">
        <v>0.14285714285714285</v>
      </c>
    </row>
    <row r="465" spans="1:19" ht="15" customHeight="1" x14ac:dyDescent="0.2">
      <c r="A465" s="4">
        <v>1510</v>
      </c>
      <c r="B465" s="2" t="s">
        <v>13</v>
      </c>
      <c r="C465" s="2" t="s">
        <v>8</v>
      </c>
      <c r="D465" s="2" t="s">
        <v>27</v>
      </c>
      <c r="E465" s="2">
        <v>12277</v>
      </c>
      <c r="F465" s="3">
        <v>25688</v>
      </c>
      <c r="G465" s="4">
        <v>2126013000</v>
      </c>
      <c r="H465">
        <f t="shared" si="21"/>
        <v>1241.5</v>
      </c>
      <c r="I465">
        <f t="shared" si="22"/>
        <v>0.66666666666666663</v>
      </c>
      <c r="J465">
        <f t="shared" si="23"/>
        <v>827.66666666666663</v>
      </c>
      <c r="O465">
        <v>1582</v>
      </c>
      <c r="P465">
        <v>0</v>
      </c>
      <c r="R465">
        <v>1758</v>
      </c>
      <c r="S465">
        <v>0.66666666666666663</v>
      </c>
    </row>
    <row r="466" spans="1:19" ht="15" customHeight="1" x14ac:dyDescent="0.2">
      <c r="A466" s="4">
        <v>1514</v>
      </c>
      <c r="B466" s="2" t="s">
        <v>7</v>
      </c>
      <c r="C466" s="2" t="s">
        <v>8</v>
      </c>
      <c r="D466" s="2" t="s">
        <v>9</v>
      </c>
      <c r="F466" s="3">
        <v>25688</v>
      </c>
      <c r="G466" s="4">
        <v>43001000</v>
      </c>
      <c r="H466">
        <f t="shared" si="21"/>
        <v>309.5</v>
      </c>
      <c r="I466">
        <f t="shared" si="22"/>
        <v>0.5714285714285714</v>
      </c>
      <c r="J466">
        <f t="shared" si="23"/>
        <v>176.85714285714286</v>
      </c>
      <c r="O466">
        <v>1587</v>
      </c>
      <c r="P466">
        <v>461</v>
      </c>
      <c r="R466">
        <v>1795</v>
      </c>
      <c r="S466">
        <v>3.7142857142857144</v>
      </c>
    </row>
    <row r="467" spans="1:19" ht="15" customHeight="1" x14ac:dyDescent="0.2">
      <c r="A467" s="4">
        <v>1524</v>
      </c>
      <c r="B467" s="2" t="s">
        <v>91</v>
      </c>
      <c r="C467" s="2" t="s">
        <v>14</v>
      </c>
      <c r="D467" s="2" t="s">
        <v>92</v>
      </c>
      <c r="F467" s="3">
        <v>25688</v>
      </c>
      <c r="G467" s="4">
        <v>1000007</v>
      </c>
      <c r="H467">
        <f t="shared" si="21"/>
        <v>0</v>
      </c>
      <c r="I467">
        <f t="shared" si="22"/>
        <v>0.5714285714285714</v>
      </c>
      <c r="J467">
        <f t="shared" si="23"/>
        <v>0</v>
      </c>
      <c r="O467">
        <v>1589</v>
      </c>
      <c r="P467">
        <v>0</v>
      </c>
      <c r="R467">
        <v>1801</v>
      </c>
      <c r="S467">
        <v>0.42857142857142855</v>
      </c>
    </row>
    <row r="468" spans="1:19" ht="26.1" customHeight="1" x14ac:dyDescent="0.2">
      <c r="A468" s="4">
        <v>1527</v>
      </c>
      <c r="B468" s="2" t="s">
        <v>11</v>
      </c>
      <c r="C468" s="2" t="s">
        <v>8</v>
      </c>
      <c r="D468" s="2" t="s">
        <v>9</v>
      </c>
      <c r="E468" s="2">
        <v>11111111</v>
      </c>
      <c r="F468" s="3">
        <v>25688</v>
      </c>
      <c r="G468" s="4">
        <v>157002000</v>
      </c>
      <c r="H468">
        <f t="shared" si="21"/>
        <v>309.5</v>
      </c>
      <c r="I468">
        <f t="shared" si="22"/>
        <v>0.33333333333333331</v>
      </c>
      <c r="J468">
        <f t="shared" si="23"/>
        <v>103.16666666666666</v>
      </c>
      <c r="O468">
        <v>1594</v>
      </c>
      <c r="P468">
        <v>912</v>
      </c>
      <c r="R468">
        <v>1802</v>
      </c>
      <c r="S468">
        <v>1</v>
      </c>
    </row>
    <row r="469" spans="1:19" ht="15" customHeight="1" x14ac:dyDescent="0.2">
      <c r="A469" s="4">
        <v>1533</v>
      </c>
      <c r="B469" s="2" t="s">
        <v>7</v>
      </c>
      <c r="C469" s="2" t="s">
        <v>8</v>
      </c>
      <c r="D469" s="2" t="s">
        <v>9</v>
      </c>
      <c r="F469" s="3">
        <v>25688</v>
      </c>
      <c r="G469" s="4">
        <v>3300202000</v>
      </c>
      <c r="H469">
        <f t="shared" si="21"/>
        <v>309.5</v>
      </c>
      <c r="I469">
        <f t="shared" si="22"/>
        <v>9.5238095238095233E-2</v>
      </c>
      <c r="J469">
        <f t="shared" si="23"/>
        <v>29.476190476190474</v>
      </c>
      <c r="O469">
        <v>1598</v>
      </c>
      <c r="P469">
        <v>309.5</v>
      </c>
      <c r="R469">
        <v>1806</v>
      </c>
      <c r="S469">
        <v>0.5714285714285714</v>
      </c>
    </row>
    <row r="470" spans="1:19" ht="26.1" customHeight="1" x14ac:dyDescent="0.2">
      <c r="A470" s="4">
        <v>1535</v>
      </c>
      <c r="B470" s="2" t="s">
        <v>11</v>
      </c>
      <c r="C470" s="2" t="s">
        <v>8</v>
      </c>
      <c r="D470" s="2" t="s">
        <v>9</v>
      </c>
      <c r="E470" s="2">
        <v>1524</v>
      </c>
      <c r="F470" s="3">
        <v>25688</v>
      </c>
      <c r="G470" s="4">
        <v>1014001</v>
      </c>
      <c r="H470">
        <f t="shared" si="21"/>
        <v>309.5</v>
      </c>
      <c r="I470">
        <f t="shared" si="22"/>
        <v>9.5238095238095233E-2</v>
      </c>
      <c r="J470">
        <f t="shared" si="23"/>
        <v>29.476190476190474</v>
      </c>
      <c r="O470">
        <v>1599</v>
      </c>
      <c r="P470">
        <v>0</v>
      </c>
      <c r="R470">
        <v>1807</v>
      </c>
      <c r="S470">
        <v>0.14285714285714285</v>
      </c>
    </row>
    <row r="471" spans="1:19" ht="15" customHeight="1" x14ac:dyDescent="0.2">
      <c r="A471" s="4">
        <v>1547</v>
      </c>
      <c r="B471" s="2" t="s">
        <v>7</v>
      </c>
      <c r="C471" s="2" t="s">
        <v>12</v>
      </c>
      <c r="D471" s="2" t="s">
        <v>10</v>
      </c>
      <c r="F471" s="3">
        <v>25688</v>
      </c>
      <c r="G471" s="4">
        <v>165001000</v>
      </c>
      <c r="H471">
        <f t="shared" si="21"/>
        <v>1154</v>
      </c>
      <c r="I471">
        <f t="shared" si="22"/>
        <v>1.4285714285714286</v>
      </c>
      <c r="J471">
        <f t="shared" si="23"/>
        <v>1648.5714285714287</v>
      </c>
      <c r="O471">
        <v>1606</v>
      </c>
      <c r="P471">
        <v>1135</v>
      </c>
      <c r="R471">
        <v>1808</v>
      </c>
      <c r="S471">
        <v>2</v>
      </c>
    </row>
    <row r="472" spans="1:19" ht="15" customHeight="1" x14ac:dyDescent="0.2">
      <c r="A472" s="4">
        <v>1560</v>
      </c>
      <c r="B472" s="2" t="s">
        <v>7</v>
      </c>
      <c r="C472" s="2" t="s">
        <v>12</v>
      </c>
      <c r="D472" s="2" t="s">
        <v>10</v>
      </c>
      <c r="E472" s="2">
        <v>4970</v>
      </c>
      <c r="F472" s="3">
        <v>25688</v>
      </c>
      <c r="G472" s="4">
        <v>153002000</v>
      </c>
      <c r="H472">
        <f t="shared" si="21"/>
        <v>1154</v>
      </c>
      <c r="I472">
        <f t="shared" si="22"/>
        <v>0.33333333333333331</v>
      </c>
      <c r="J472">
        <f t="shared" si="23"/>
        <v>384.66666666666663</v>
      </c>
      <c r="O472">
        <v>1607</v>
      </c>
      <c r="P472">
        <v>1135</v>
      </c>
      <c r="R472">
        <v>1812</v>
      </c>
      <c r="S472">
        <v>3</v>
      </c>
    </row>
    <row r="473" spans="1:19" ht="26.1" customHeight="1" x14ac:dyDescent="0.2">
      <c r="A473" s="4">
        <v>1579</v>
      </c>
      <c r="B473" s="2" t="s">
        <v>11</v>
      </c>
      <c r="C473" s="2" t="s">
        <v>8</v>
      </c>
      <c r="D473" s="2" t="s">
        <v>9</v>
      </c>
      <c r="F473" s="3">
        <v>25688</v>
      </c>
      <c r="G473" s="4">
        <v>157001000</v>
      </c>
      <c r="H473">
        <f t="shared" si="21"/>
        <v>309.5</v>
      </c>
      <c r="I473">
        <f t="shared" si="22"/>
        <v>0.33333333333333331</v>
      </c>
      <c r="J473">
        <f t="shared" si="23"/>
        <v>103.16666666666666</v>
      </c>
      <c r="O473">
        <v>1627</v>
      </c>
      <c r="P473">
        <v>461</v>
      </c>
      <c r="R473">
        <v>1816</v>
      </c>
      <c r="S473">
        <v>6.6666666666666666E-2</v>
      </c>
    </row>
    <row r="474" spans="1:19" ht="15" customHeight="1" x14ac:dyDescent="0.2">
      <c r="A474" s="4">
        <v>1582</v>
      </c>
      <c r="B474" s="2" t="s">
        <v>93</v>
      </c>
      <c r="C474" s="2" t="s">
        <v>80</v>
      </c>
      <c r="D474" s="2" t="s">
        <v>83</v>
      </c>
      <c r="F474" s="3">
        <v>25688</v>
      </c>
      <c r="G474" s="4">
        <v>1000012</v>
      </c>
      <c r="H474">
        <f t="shared" si="21"/>
        <v>0</v>
      </c>
      <c r="I474">
        <f t="shared" si="22"/>
        <v>0.33333333333333331</v>
      </c>
      <c r="J474">
        <f t="shared" si="23"/>
        <v>0</v>
      </c>
      <c r="O474">
        <v>1628</v>
      </c>
      <c r="P474">
        <v>1212</v>
      </c>
      <c r="R474">
        <v>1821</v>
      </c>
      <c r="S474">
        <v>0.5714285714285714</v>
      </c>
    </row>
    <row r="475" spans="1:19" ht="15" customHeight="1" x14ac:dyDescent="0.2">
      <c r="A475" s="4">
        <v>1587</v>
      </c>
      <c r="B475" s="2" t="s">
        <v>7</v>
      </c>
      <c r="C475" s="2" t="s">
        <v>8</v>
      </c>
      <c r="D475" s="2" t="s">
        <v>17</v>
      </c>
      <c r="E475" s="2">
        <v>10139</v>
      </c>
      <c r="F475" s="3">
        <v>25688</v>
      </c>
      <c r="G475" s="4">
        <v>3033001000</v>
      </c>
      <c r="H475">
        <f t="shared" si="21"/>
        <v>461</v>
      </c>
      <c r="I475">
        <f t="shared" si="22"/>
        <v>0.5714285714285714</v>
      </c>
      <c r="J475">
        <f t="shared" si="23"/>
        <v>263.42857142857139</v>
      </c>
      <c r="O475">
        <v>1630</v>
      </c>
      <c r="P475">
        <v>309.5</v>
      </c>
      <c r="R475">
        <v>1822</v>
      </c>
      <c r="S475">
        <v>0.14285714285714285</v>
      </c>
    </row>
    <row r="476" spans="1:19" ht="26.1" customHeight="1" x14ac:dyDescent="0.2">
      <c r="A476" s="4">
        <v>1589</v>
      </c>
      <c r="B476" s="2" t="s">
        <v>78</v>
      </c>
      <c r="C476" s="2" t="s">
        <v>94</v>
      </c>
      <c r="D476" s="2" t="s">
        <v>10</v>
      </c>
      <c r="F476" s="3">
        <v>25688</v>
      </c>
      <c r="G476" s="4">
        <v>1000012</v>
      </c>
      <c r="H476">
        <f t="shared" si="21"/>
        <v>0</v>
      </c>
      <c r="I476">
        <f t="shared" si="22"/>
        <v>0.5714285714285714</v>
      </c>
      <c r="J476">
        <f t="shared" si="23"/>
        <v>0</v>
      </c>
      <c r="O476">
        <v>1631</v>
      </c>
      <c r="P476">
        <v>1212</v>
      </c>
      <c r="R476">
        <v>1823</v>
      </c>
      <c r="S476">
        <v>0.67</v>
      </c>
    </row>
    <row r="477" spans="1:19" ht="26.1" customHeight="1" x14ac:dyDescent="0.2">
      <c r="A477" s="4">
        <v>1594</v>
      </c>
      <c r="B477" s="2" t="s">
        <v>95</v>
      </c>
      <c r="C477" s="2" t="s">
        <v>14</v>
      </c>
      <c r="D477" s="2" t="s">
        <v>96</v>
      </c>
      <c r="E477" s="2" t="s">
        <v>97</v>
      </c>
      <c r="F477" s="3">
        <v>35712</v>
      </c>
      <c r="G477" s="4">
        <v>66011000</v>
      </c>
      <c r="H477">
        <f t="shared" si="21"/>
        <v>912</v>
      </c>
      <c r="I477">
        <f t="shared" si="22"/>
        <v>0.5714285714285714</v>
      </c>
      <c r="J477">
        <f t="shared" si="23"/>
        <v>521.14285714285711</v>
      </c>
      <c r="O477">
        <v>1632</v>
      </c>
      <c r="P477">
        <v>1212</v>
      </c>
      <c r="R477">
        <v>1835</v>
      </c>
      <c r="S477">
        <v>9.5238095238095233E-2</v>
      </c>
    </row>
    <row r="478" spans="1:19" ht="15" customHeight="1" x14ac:dyDescent="0.2">
      <c r="A478" s="4">
        <v>1598</v>
      </c>
      <c r="B478" s="2" t="s">
        <v>7</v>
      </c>
      <c r="C478" s="2" t="s">
        <v>8</v>
      </c>
      <c r="D478" s="2" t="s">
        <v>9</v>
      </c>
      <c r="E478" s="2">
        <v>11265</v>
      </c>
      <c r="F478" s="3">
        <v>25688</v>
      </c>
      <c r="G478" s="4">
        <v>1406010000</v>
      </c>
      <c r="H478">
        <f t="shared" si="21"/>
        <v>309.5</v>
      </c>
      <c r="I478">
        <f t="shared" si="22"/>
        <v>0.2857142857142857</v>
      </c>
      <c r="J478">
        <f t="shared" si="23"/>
        <v>88.428571428571431</v>
      </c>
      <c r="O478">
        <v>1633</v>
      </c>
      <c r="P478">
        <v>1212</v>
      </c>
      <c r="R478">
        <v>1842</v>
      </c>
      <c r="S478">
        <v>0.21428571428571427</v>
      </c>
    </row>
    <row r="479" spans="1:19" ht="15" customHeight="1" x14ac:dyDescent="0.2">
      <c r="A479" s="4">
        <v>1599</v>
      </c>
      <c r="B479" s="2" t="s">
        <v>7</v>
      </c>
      <c r="C479" s="2" t="s">
        <v>47</v>
      </c>
      <c r="D479" s="2" t="s">
        <v>48</v>
      </c>
      <c r="F479" s="3">
        <v>25688</v>
      </c>
      <c r="G479" s="4">
        <v>1000008</v>
      </c>
      <c r="H479">
        <f t="shared" si="21"/>
        <v>0</v>
      </c>
      <c r="I479">
        <f t="shared" si="22"/>
        <v>0.2857142857142857</v>
      </c>
      <c r="J479">
        <f t="shared" si="23"/>
        <v>0</v>
      </c>
      <c r="O479">
        <v>1635</v>
      </c>
      <c r="P479">
        <v>1212</v>
      </c>
      <c r="R479">
        <v>1844</v>
      </c>
      <c r="S479">
        <v>2</v>
      </c>
    </row>
    <row r="480" spans="1:19" ht="15" customHeight="1" x14ac:dyDescent="0.2">
      <c r="A480" s="4">
        <v>1606</v>
      </c>
      <c r="B480" s="2" t="s">
        <v>13</v>
      </c>
      <c r="C480" s="2" t="s">
        <v>8</v>
      </c>
      <c r="D480" s="2" t="s">
        <v>36</v>
      </c>
      <c r="E480" s="2">
        <v>15322</v>
      </c>
      <c r="F480" s="3">
        <v>25688</v>
      </c>
      <c r="G480" s="4">
        <v>3234028000</v>
      </c>
      <c r="H480">
        <f t="shared" si="21"/>
        <v>1135</v>
      </c>
      <c r="I480">
        <f t="shared" si="22"/>
        <v>0.2857142857142857</v>
      </c>
      <c r="J480">
        <f t="shared" si="23"/>
        <v>324.28571428571428</v>
      </c>
      <c r="O480">
        <v>1636</v>
      </c>
      <c r="P480">
        <v>1212</v>
      </c>
      <c r="R480">
        <v>1845</v>
      </c>
      <c r="S480">
        <v>0.14285714285714285</v>
      </c>
    </row>
    <row r="481" spans="1:19" ht="15" customHeight="1" x14ac:dyDescent="0.2">
      <c r="A481" s="4">
        <v>1607</v>
      </c>
      <c r="B481" s="2" t="s">
        <v>13</v>
      </c>
      <c r="C481" s="2" t="s">
        <v>8</v>
      </c>
      <c r="D481" s="2" t="s">
        <v>98</v>
      </c>
      <c r="E481" s="2">
        <v>15323</v>
      </c>
      <c r="F481" s="3">
        <v>25688</v>
      </c>
      <c r="G481" s="4">
        <v>3248001000</v>
      </c>
      <c r="H481">
        <f t="shared" si="21"/>
        <v>1135</v>
      </c>
      <c r="I481">
        <f t="shared" si="22"/>
        <v>0.53333333333333333</v>
      </c>
      <c r="J481">
        <f t="shared" si="23"/>
        <v>605.33333333333337</v>
      </c>
      <c r="O481">
        <v>1638</v>
      </c>
      <c r="P481">
        <v>461</v>
      </c>
      <c r="R481">
        <v>1848</v>
      </c>
      <c r="S481">
        <v>0.2857142857142857</v>
      </c>
    </row>
    <row r="482" spans="1:19" ht="15" customHeight="1" x14ac:dyDescent="0.2">
      <c r="A482" s="4">
        <v>1627</v>
      </c>
      <c r="B482" s="2" t="s">
        <v>7</v>
      </c>
      <c r="C482" s="2" t="s">
        <v>8</v>
      </c>
      <c r="D482" s="2" t="s">
        <v>17</v>
      </c>
      <c r="E482" s="2">
        <v>17503</v>
      </c>
      <c r="F482" s="3">
        <v>25688</v>
      </c>
      <c r="G482" s="4">
        <v>3319001000</v>
      </c>
      <c r="H482">
        <f t="shared" si="21"/>
        <v>461</v>
      </c>
      <c r="I482">
        <f t="shared" si="22"/>
        <v>0.33333333333333331</v>
      </c>
      <c r="J482">
        <f t="shared" si="23"/>
        <v>153.66666666666666</v>
      </c>
      <c r="O482">
        <v>1651</v>
      </c>
      <c r="P482">
        <v>1212</v>
      </c>
      <c r="R482">
        <v>1850</v>
      </c>
      <c r="S482">
        <v>1.6666666666666666E-2</v>
      </c>
    </row>
    <row r="483" spans="1:19" ht="15" customHeight="1" x14ac:dyDescent="0.2">
      <c r="A483" s="4">
        <v>1628</v>
      </c>
      <c r="B483" s="2" t="s">
        <v>7</v>
      </c>
      <c r="C483" s="2" t="s">
        <v>8</v>
      </c>
      <c r="D483" s="2" t="s">
        <v>10</v>
      </c>
      <c r="E483" s="2">
        <v>17446</v>
      </c>
      <c r="F483" s="3">
        <v>25688</v>
      </c>
      <c r="G483" s="4">
        <v>2558002000</v>
      </c>
      <c r="H483">
        <f t="shared" si="21"/>
        <v>1212</v>
      </c>
      <c r="I483">
        <f t="shared" si="22"/>
        <v>0.33333333333333331</v>
      </c>
      <c r="J483">
        <f t="shared" si="23"/>
        <v>404</v>
      </c>
      <c r="O483">
        <v>1675</v>
      </c>
      <c r="P483">
        <v>1091</v>
      </c>
      <c r="R483">
        <v>1851</v>
      </c>
      <c r="S483">
        <v>0.42857142857142855</v>
      </c>
    </row>
    <row r="484" spans="1:19" ht="15" customHeight="1" x14ac:dyDescent="0.2">
      <c r="A484" s="4">
        <v>1630</v>
      </c>
      <c r="B484" s="2" t="s">
        <v>7</v>
      </c>
      <c r="C484" s="2" t="s">
        <v>8</v>
      </c>
      <c r="D484" s="2" t="s">
        <v>9</v>
      </c>
      <c r="E484" s="2">
        <v>17442</v>
      </c>
      <c r="F484" s="3">
        <v>25688</v>
      </c>
      <c r="G484" s="4">
        <v>2053001000</v>
      </c>
      <c r="H484">
        <f t="shared" si="21"/>
        <v>309.5</v>
      </c>
      <c r="I484">
        <f t="shared" si="22"/>
        <v>0.10714285714285714</v>
      </c>
      <c r="J484">
        <f t="shared" si="23"/>
        <v>33.160714285714285</v>
      </c>
      <c r="O484">
        <v>1696</v>
      </c>
      <c r="P484">
        <v>461</v>
      </c>
      <c r="R484">
        <v>1856</v>
      </c>
      <c r="S484">
        <v>0.14285714285714285</v>
      </c>
    </row>
    <row r="485" spans="1:19" ht="15" customHeight="1" x14ac:dyDescent="0.2">
      <c r="A485" s="4">
        <v>1631</v>
      </c>
      <c r="B485" s="2" t="s">
        <v>13</v>
      </c>
      <c r="C485" s="2" t="s">
        <v>8</v>
      </c>
      <c r="D485" s="2" t="s">
        <v>20</v>
      </c>
      <c r="E485" s="2">
        <v>15648</v>
      </c>
      <c r="F485" s="3">
        <v>25688</v>
      </c>
      <c r="G485" s="4">
        <v>3219001000</v>
      </c>
      <c r="H485">
        <f t="shared" si="21"/>
        <v>1212</v>
      </c>
      <c r="I485">
        <f t="shared" si="22"/>
        <v>0.8</v>
      </c>
      <c r="J485">
        <f t="shared" si="23"/>
        <v>969.6</v>
      </c>
      <c r="O485">
        <v>1699</v>
      </c>
      <c r="P485">
        <v>309.5</v>
      </c>
      <c r="R485">
        <v>1857</v>
      </c>
      <c r="S485">
        <v>0.21428571428571427</v>
      </c>
    </row>
    <row r="486" spans="1:19" ht="15" customHeight="1" x14ac:dyDescent="0.2">
      <c r="A486" s="4">
        <v>1632</v>
      </c>
      <c r="B486" s="2" t="s">
        <v>13</v>
      </c>
      <c r="C486" s="2" t="s">
        <v>8</v>
      </c>
      <c r="D486" s="2" t="s">
        <v>20</v>
      </c>
      <c r="F486" s="3">
        <v>25688</v>
      </c>
      <c r="G486" s="4">
        <v>2548017000</v>
      </c>
      <c r="H486">
        <f t="shared" si="21"/>
        <v>1212</v>
      </c>
      <c r="I486">
        <f t="shared" si="22"/>
        <v>3.3333333333333333E-2</v>
      </c>
      <c r="J486">
        <f t="shared" si="23"/>
        <v>40.4</v>
      </c>
      <c r="O486">
        <v>1700</v>
      </c>
      <c r="P486">
        <v>309.5</v>
      </c>
      <c r="R486">
        <v>1862</v>
      </c>
      <c r="S486">
        <v>0.8</v>
      </c>
    </row>
    <row r="487" spans="1:19" ht="15" customHeight="1" x14ac:dyDescent="0.2">
      <c r="A487" s="4">
        <v>1633</v>
      </c>
      <c r="B487" s="2" t="s">
        <v>13</v>
      </c>
      <c r="C487" s="2" t="s">
        <v>8</v>
      </c>
      <c r="D487" s="2" t="s">
        <v>20</v>
      </c>
      <c r="E487" s="2">
        <v>15649</v>
      </c>
      <c r="F487" s="3">
        <v>25688</v>
      </c>
      <c r="G487" s="4">
        <v>212005000</v>
      </c>
      <c r="H487">
        <f t="shared" si="21"/>
        <v>1212</v>
      </c>
      <c r="I487">
        <f t="shared" si="22"/>
        <v>3.3333333333333333E-2</v>
      </c>
      <c r="J487">
        <f t="shared" si="23"/>
        <v>40.4</v>
      </c>
      <c r="O487">
        <v>1701</v>
      </c>
      <c r="P487">
        <v>309.5</v>
      </c>
      <c r="R487">
        <v>1866</v>
      </c>
      <c r="S487">
        <v>5.5555555555555552E-2</v>
      </c>
    </row>
    <row r="488" spans="1:19" ht="15" customHeight="1" x14ac:dyDescent="0.2">
      <c r="A488" s="4">
        <v>1635</v>
      </c>
      <c r="B488" s="2" t="s">
        <v>13</v>
      </c>
      <c r="C488" s="2" t="s">
        <v>8</v>
      </c>
      <c r="D488" s="2" t="s">
        <v>20</v>
      </c>
      <c r="F488" s="3">
        <v>25688</v>
      </c>
      <c r="G488" s="4">
        <v>153002000</v>
      </c>
      <c r="H488">
        <f t="shared" si="21"/>
        <v>1212</v>
      </c>
      <c r="I488">
        <f t="shared" si="22"/>
        <v>0.33333333333333331</v>
      </c>
      <c r="J488">
        <f t="shared" si="23"/>
        <v>404</v>
      </c>
      <c r="O488">
        <v>1709</v>
      </c>
      <c r="P488">
        <v>309.5</v>
      </c>
      <c r="R488">
        <v>1873</v>
      </c>
      <c r="S488">
        <v>1</v>
      </c>
    </row>
    <row r="489" spans="1:19" ht="15" customHeight="1" x14ac:dyDescent="0.2">
      <c r="A489" s="4">
        <v>1636</v>
      </c>
      <c r="B489" s="2" t="s">
        <v>13</v>
      </c>
      <c r="C489" s="2" t="s">
        <v>8</v>
      </c>
      <c r="D489" s="2" t="s">
        <v>20</v>
      </c>
      <c r="E489" s="2">
        <v>15650</v>
      </c>
      <c r="F489" s="3">
        <v>25688</v>
      </c>
      <c r="G489" s="4">
        <v>3370005000</v>
      </c>
      <c r="H489">
        <f t="shared" si="21"/>
        <v>1212</v>
      </c>
      <c r="I489">
        <f t="shared" si="22"/>
        <v>0.2857142857142857</v>
      </c>
      <c r="J489">
        <f t="shared" si="23"/>
        <v>346.28571428571428</v>
      </c>
      <c r="O489">
        <v>1714</v>
      </c>
      <c r="P489">
        <v>1212</v>
      </c>
      <c r="R489">
        <v>1874</v>
      </c>
      <c r="S489">
        <v>0.5</v>
      </c>
    </row>
    <row r="490" spans="1:19" ht="15" customHeight="1" x14ac:dyDescent="0.2">
      <c r="A490" s="4">
        <v>1638</v>
      </c>
      <c r="B490" s="2" t="s">
        <v>7</v>
      </c>
      <c r="C490" s="2" t="s">
        <v>8</v>
      </c>
      <c r="D490" s="2" t="s">
        <v>17</v>
      </c>
      <c r="E490" s="2">
        <v>17497</v>
      </c>
      <c r="F490" s="3">
        <v>25688</v>
      </c>
      <c r="G490" s="4">
        <v>3288001000</v>
      </c>
      <c r="H490">
        <f t="shared" si="21"/>
        <v>461</v>
      </c>
      <c r="I490">
        <f t="shared" si="22"/>
        <v>0.2</v>
      </c>
      <c r="J490">
        <f t="shared" si="23"/>
        <v>92.2</v>
      </c>
      <c r="O490">
        <v>1715</v>
      </c>
      <c r="P490">
        <v>1212</v>
      </c>
      <c r="R490">
        <v>1875</v>
      </c>
      <c r="S490">
        <v>0.13333333333333333</v>
      </c>
    </row>
    <row r="491" spans="1:19" ht="15" customHeight="1" x14ac:dyDescent="0.2">
      <c r="A491" s="4">
        <v>1675</v>
      </c>
      <c r="B491" s="2" t="s">
        <v>13</v>
      </c>
      <c r="C491" s="2" t="s">
        <v>14</v>
      </c>
      <c r="D491" s="2" t="s">
        <v>15</v>
      </c>
      <c r="F491" s="3">
        <v>25688</v>
      </c>
      <c r="G491" s="4">
        <v>43006000</v>
      </c>
      <c r="H491">
        <f t="shared" si="21"/>
        <v>1091</v>
      </c>
      <c r="I491">
        <f t="shared" si="22"/>
        <v>2</v>
      </c>
      <c r="J491">
        <f t="shared" si="23"/>
        <v>2182</v>
      </c>
      <c r="O491">
        <v>1758</v>
      </c>
      <c r="P491">
        <v>461</v>
      </c>
      <c r="R491">
        <v>1877</v>
      </c>
      <c r="S491">
        <v>0.33333333333333331</v>
      </c>
    </row>
    <row r="492" spans="1:19" ht="15" customHeight="1" x14ac:dyDescent="0.2">
      <c r="A492" s="4">
        <v>1696</v>
      </c>
      <c r="B492" s="2" t="s">
        <v>7</v>
      </c>
      <c r="C492" s="2" t="s">
        <v>8</v>
      </c>
      <c r="D492" s="2" t="s">
        <v>17</v>
      </c>
      <c r="E492" s="2">
        <v>17850</v>
      </c>
      <c r="F492" s="3">
        <v>25688</v>
      </c>
      <c r="G492" s="4">
        <v>3370014000</v>
      </c>
      <c r="H492">
        <f t="shared" si="21"/>
        <v>461</v>
      </c>
      <c r="I492">
        <f t="shared" si="22"/>
        <v>0.2857142857142857</v>
      </c>
      <c r="J492">
        <f t="shared" si="23"/>
        <v>131.71428571428569</v>
      </c>
      <c r="O492">
        <v>1765</v>
      </c>
      <c r="P492">
        <v>36</v>
      </c>
      <c r="R492">
        <v>1878</v>
      </c>
      <c r="S492">
        <v>0.2857142857142857</v>
      </c>
    </row>
    <row r="493" spans="1:19" ht="15" customHeight="1" x14ac:dyDescent="0.2">
      <c r="A493" s="4">
        <v>1699</v>
      </c>
      <c r="B493" s="2" t="s">
        <v>7</v>
      </c>
      <c r="C493" s="2" t="s">
        <v>8</v>
      </c>
      <c r="D493" s="2" t="s">
        <v>9</v>
      </c>
      <c r="E493" s="2">
        <v>17867</v>
      </c>
      <c r="F493" s="3">
        <v>35431</v>
      </c>
      <c r="G493" s="4">
        <v>3042004002</v>
      </c>
      <c r="H493">
        <f t="shared" si="21"/>
        <v>309.5</v>
      </c>
      <c r="I493">
        <f t="shared" si="22"/>
        <v>0.2857142857142857</v>
      </c>
      <c r="J493">
        <f t="shared" si="23"/>
        <v>88.428571428571431</v>
      </c>
      <c r="O493">
        <v>1769</v>
      </c>
      <c r="P493">
        <v>24</v>
      </c>
      <c r="R493">
        <v>1882</v>
      </c>
      <c r="S493">
        <v>0.26666666666666666</v>
      </c>
    </row>
    <row r="494" spans="1:19" ht="15" customHeight="1" x14ac:dyDescent="0.2">
      <c r="A494" s="4">
        <v>1700</v>
      </c>
      <c r="B494" s="2" t="s">
        <v>7</v>
      </c>
      <c r="C494" s="2" t="s">
        <v>8</v>
      </c>
      <c r="D494" s="2" t="s">
        <v>9</v>
      </c>
      <c r="E494" s="2">
        <v>17822</v>
      </c>
      <c r="F494" s="3">
        <v>35431</v>
      </c>
      <c r="G494" s="4">
        <v>2126001000</v>
      </c>
      <c r="H494">
        <f t="shared" si="21"/>
        <v>309.5</v>
      </c>
      <c r="I494">
        <f t="shared" si="22"/>
        <v>1.7142857142857142</v>
      </c>
      <c r="J494">
        <f t="shared" si="23"/>
        <v>530.57142857142856</v>
      </c>
      <c r="O494">
        <v>1795</v>
      </c>
      <c r="P494">
        <v>576</v>
      </c>
      <c r="R494">
        <v>1885</v>
      </c>
      <c r="S494">
        <v>1.7142857142857142</v>
      </c>
    </row>
    <row r="495" spans="1:19" ht="15" customHeight="1" x14ac:dyDescent="0.2">
      <c r="A495" s="4">
        <v>1701</v>
      </c>
      <c r="B495" s="2" t="s">
        <v>7</v>
      </c>
      <c r="C495" s="2" t="s">
        <v>8</v>
      </c>
      <c r="D495" s="2" t="s">
        <v>9</v>
      </c>
      <c r="E495" s="2">
        <v>17799</v>
      </c>
      <c r="F495" s="3">
        <v>35431</v>
      </c>
      <c r="G495" s="4">
        <v>1165000000</v>
      </c>
      <c r="H495">
        <f t="shared" si="21"/>
        <v>309.5</v>
      </c>
      <c r="I495">
        <f t="shared" si="22"/>
        <v>0.5714285714285714</v>
      </c>
      <c r="J495">
        <f t="shared" si="23"/>
        <v>176.85714285714286</v>
      </c>
      <c r="O495">
        <v>1796</v>
      </c>
      <c r="P495">
        <v>1243.5</v>
      </c>
      <c r="R495">
        <v>1886</v>
      </c>
      <c r="S495">
        <v>0.42857142857142855</v>
      </c>
    </row>
    <row r="496" spans="1:19" ht="15" customHeight="1" x14ac:dyDescent="0.2">
      <c r="A496" s="4">
        <v>1709</v>
      </c>
      <c r="B496" s="2" t="s">
        <v>7</v>
      </c>
      <c r="C496" s="2" t="s">
        <v>8</v>
      </c>
      <c r="D496" s="2" t="s">
        <v>9</v>
      </c>
      <c r="E496" s="2">
        <v>17873</v>
      </c>
      <c r="F496" s="3">
        <v>35431</v>
      </c>
      <c r="G496" s="4">
        <v>2905001000</v>
      </c>
      <c r="H496">
        <f t="shared" si="21"/>
        <v>309.5</v>
      </c>
      <c r="I496">
        <f t="shared" si="22"/>
        <v>6.6666666666666666E-2</v>
      </c>
      <c r="J496">
        <f t="shared" si="23"/>
        <v>20.633333333333333</v>
      </c>
      <c r="O496">
        <v>1801</v>
      </c>
      <c r="P496">
        <v>1243.5</v>
      </c>
      <c r="R496">
        <v>1887</v>
      </c>
      <c r="S496">
        <v>0.83333333333333337</v>
      </c>
    </row>
    <row r="497" spans="1:19" ht="15" customHeight="1" x14ac:dyDescent="0.2">
      <c r="A497" s="4">
        <v>1714</v>
      </c>
      <c r="B497" s="2" t="s">
        <v>13</v>
      </c>
      <c r="C497" s="2" t="s">
        <v>8</v>
      </c>
      <c r="D497" s="2" t="s">
        <v>20</v>
      </c>
      <c r="E497" s="2">
        <v>15996</v>
      </c>
      <c r="F497" s="3">
        <v>25688</v>
      </c>
      <c r="G497" s="4">
        <v>3249002000</v>
      </c>
      <c r="H497">
        <f t="shared" si="21"/>
        <v>1212</v>
      </c>
      <c r="I497">
        <f t="shared" si="22"/>
        <v>0.14285714285714285</v>
      </c>
      <c r="J497">
        <f t="shared" si="23"/>
        <v>173.14285714285714</v>
      </c>
      <c r="O497">
        <v>1802</v>
      </c>
      <c r="P497">
        <v>1243.5</v>
      </c>
      <c r="R497">
        <v>1888</v>
      </c>
      <c r="S497">
        <v>2</v>
      </c>
    </row>
    <row r="498" spans="1:19" ht="15" customHeight="1" x14ac:dyDescent="0.2">
      <c r="A498" s="4">
        <v>1715</v>
      </c>
      <c r="B498" s="2" t="s">
        <v>13</v>
      </c>
      <c r="C498" s="2" t="s">
        <v>8</v>
      </c>
      <c r="D498" s="2" t="s">
        <v>20</v>
      </c>
      <c r="E498" s="2">
        <v>15989</v>
      </c>
      <c r="F498" s="3">
        <v>25688</v>
      </c>
      <c r="G498" s="4">
        <v>1532001000</v>
      </c>
      <c r="H498">
        <f t="shared" si="21"/>
        <v>1212</v>
      </c>
      <c r="I498">
        <f t="shared" si="22"/>
        <v>0.14285714285714285</v>
      </c>
      <c r="J498">
        <f t="shared" si="23"/>
        <v>173.14285714285714</v>
      </c>
      <c r="O498">
        <v>1806</v>
      </c>
      <c r="P498">
        <v>1243.5</v>
      </c>
      <c r="R498">
        <v>1889</v>
      </c>
      <c r="S498">
        <v>1.7142857142857142</v>
      </c>
    </row>
    <row r="499" spans="1:19" ht="15" customHeight="1" x14ac:dyDescent="0.2">
      <c r="A499" s="4">
        <v>1744</v>
      </c>
      <c r="B499" s="2" t="s">
        <v>79</v>
      </c>
      <c r="C499" s="2" t="s">
        <v>80</v>
      </c>
      <c r="D499" s="2" t="s">
        <v>81</v>
      </c>
      <c r="F499" s="3">
        <v>35671</v>
      </c>
      <c r="G499" s="4">
        <v>66034000</v>
      </c>
      <c r="H499">
        <f t="shared" si="21"/>
        <v>1212</v>
      </c>
      <c r="I499">
        <f t="shared" si="22"/>
        <v>0.14285714285714285</v>
      </c>
      <c r="J499">
        <f t="shared" si="23"/>
        <v>173.14285714285714</v>
      </c>
      <c r="O499">
        <v>1807</v>
      </c>
      <c r="P499">
        <v>1243.5</v>
      </c>
      <c r="R499">
        <v>1890</v>
      </c>
      <c r="S499">
        <v>0.66666666666666663</v>
      </c>
    </row>
    <row r="500" spans="1:19" ht="15" customHeight="1" x14ac:dyDescent="0.2">
      <c r="A500" s="4">
        <v>1758</v>
      </c>
      <c r="B500" s="2" t="s">
        <v>7</v>
      </c>
      <c r="C500" s="2" t="s">
        <v>8</v>
      </c>
      <c r="D500" s="2" t="s">
        <v>17</v>
      </c>
      <c r="E500" s="2">
        <v>17854</v>
      </c>
      <c r="F500" s="3">
        <v>35686</v>
      </c>
      <c r="G500" s="4">
        <v>3300200000</v>
      </c>
      <c r="H500">
        <f t="shared" si="21"/>
        <v>461</v>
      </c>
      <c r="I500">
        <f t="shared" si="22"/>
        <v>0.66666666666666663</v>
      </c>
      <c r="J500">
        <f t="shared" si="23"/>
        <v>307.33333333333331</v>
      </c>
      <c r="O500">
        <v>1808</v>
      </c>
      <c r="P500">
        <v>992.5</v>
      </c>
      <c r="R500">
        <v>1891</v>
      </c>
      <c r="S500">
        <v>7.1428571428571425E-2</v>
      </c>
    </row>
    <row r="501" spans="1:19" ht="15" customHeight="1" x14ac:dyDescent="0.2">
      <c r="A501" s="4">
        <v>1765</v>
      </c>
      <c r="B501" s="2" t="s">
        <v>99</v>
      </c>
      <c r="C501" s="2" t="s">
        <v>14</v>
      </c>
      <c r="D501" s="2" t="s">
        <v>10</v>
      </c>
      <c r="E501" s="2">
        <v>34943</v>
      </c>
      <c r="F501" s="3">
        <v>25688</v>
      </c>
      <c r="G501" s="4">
        <v>1014001</v>
      </c>
      <c r="H501">
        <f t="shared" si="21"/>
        <v>36</v>
      </c>
      <c r="I501">
        <f t="shared" si="22"/>
        <v>0.66666666666666663</v>
      </c>
      <c r="J501">
        <f t="shared" si="23"/>
        <v>24</v>
      </c>
      <c r="O501">
        <v>1809</v>
      </c>
      <c r="P501">
        <v>309.5</v>
      </c>
      <c r="R501">
        <v>1892</v>
      </c>
      <c r="S501">
        <v>1.7142857142857142</v>
      </c>
    </row>
    <row r="502" spans="1:19" ht="15" customHeight="1" x14ac:dyDescent="0.2">
      <c r="A502" s="4">
        <v>1769</v>
      </c>
      <c r="B502" s="2" t="s">
        <v>100</v>
      </c>
      <c r="C502" s="2" t="s">
        <v>14</v>
      </c>
      <c r="D502" s="2" t="s">
        <v>10</v>
      </c>
      <c r="E502" s="2">
        <v>35247</v>
      </c>
      <c r="F502" s="3">
        <v>25688</v>
      </c>
      <c r="G502" s="4">
        <v>2514001000</v>
      </c>
      <c r="H502">
        <f t="shared" si="21"/>
        <v>24</v>
      </c>
      <c r="I502">
        <f t="shared" si="22"/>
        <v>0.66666666666666663</v>
      </c>
      <c r="J502">
        <f t="shared" si="23"/>
        <v>16</v>
      </c>
      <c r="O502">
        <v>1812</v>
      </c>
      <c r="P502">
        <v>2720</v>
      </c>
      <c r="R502">
        <v>1893</v>
      </c>
      <c r="S502">
        <v>0.33333333333333331</v>
      </c>
    </row>
    <row r="503" spans="1:19" ht="15" customHeight="1" x14ac:dyDescent="0.2">
      <c r="A503" s="4">
        <v>1785</v>
      </c>
      <c r="B503" s="2" t="s">
        <v>79</v>
      </c>
      <c r="C503" s="2" t="s">
        <v>80</v>
      </c>
      <c r="D503" s="2" t="s">
        <v>101</v>
      </c>
      <c r="F503" s="3">
        <v>35724</v>
      </c>
      <c r="G503" s="4">
        <v>153002000</v>
      </c>
      <c r="H503">
        <f t="shared" si="21"/>
        <v>24</v>
      </c>
      <c r="I503">
        <f t="shared" si="22"/>
        <v>0.66666666666666663</v>
      </c>
      <c r="J503">
        <f t="shared" si="23"/>
        <v>16</v>
      </c>
      <c r="O503">
        <v>1816</v>
      </c>
      <c r="P503">
        <v>576</v>
      </c>
      <c r="R503">
        <v>1894</v>
      </c>
      <c r="S503">
        <v>0.33333333333333331</v>
      </c>
    </row>
    <row r="504" spans="1:19" ht="26.1" customHeight="1" x14ac:dyDescent="0.2">
      <c r="A504" s="4">
        <v>1790</v>
      </c>
      <c r="B504" s="2" t="s">
        <v>82</v>
      </c>
      <c r="C504" s="2" t="s">
        <v>80</v>
      </c>
      <c r="D504" s="2" t="s">
        <v>83</v>
      </c>
      <c r="E504" s="2">
        <v>335973574</v>
      </c>
      <c r="F504" s="3">
        <v>35725</v>
      </c>
      <c r="G504" s="4">
        <v>1000003</v>
      </c>
      <c r="H504">
        <f t="shared" si="21"/>
        <v>24</v>
      </c>
      <c r="I504">
        <f t="shared" si="22"/>
        <v>0.66666666666666663</v>
      </c>
      <c r="J504">
        <f t="shared" si="23"/>
        <v>16</v>
      </c>
      <c r="O504">
        <v>1817</v>
      </c>
      <c r="P504">
        <v>512</v>
      </c>
      <c r="R504">
        <v>1895</v>
      </c>
      <c r="S504">
        <v>2</v>
      </c>
    </row>
    <row r="505" spans="1:19" ht="15" customHeight="1" x14ac:dyDescent="0.2">
      <c r="A505" s="4">
        <v>1795</v>
      </c>
      <c r="B505" s="2" t="s">
        <v>13</v>
      </c>
      <c r="C505" s="2" t="s">
        <v>14</v>
      </c>
      <c r="D505" s="2" t="s">
        <v>102</v>
      </c>
      <c r="F505" s="3">
        <v>35816</v>
      </c>
      <c r="G505" s="4">
        <v>1014002</v>
      </c>
      <c r="H505">
        <f t="shared" si="21"/>
        <v>576</v>
      </c>
      <c r="I505">
        <f t="shared" si="22"/>
        <v>3.7142857142857144</v>
      </c>
      <c r="J505">
        <f t="shared" si="23"/>
        <v>2139.4285714285716</v>
      </c>
      <c r="O505">
        <v>1821</v>
      </c>
      <c r="P505">
        <v>1243.5</v>
      </c>
      <c r="R505">
        <v>1897</v>
      </c>
      <c r="S505">
        <v>0.2857142857142857</v>
      </c>
    </row>
    <row r="506" spans="1:19" ht="15" customHeight="1" x14ac:dyDescent="0.2">
      <c r="A506" s="4">
        <v>1796</v>
      </c>
      <c r="B506" s="2" t="s">
        <v>13</v>
      </c>
      <c r="C506" s="2" t="s">
        <v>14</v>
      </c>
      <c r="D506" s="2" t="s">
        <v>46</v>
      </c>
      <c r="E506" s="2">
        <v>3869</v>
      </c>
      <c r="F506" s="3">
        <v>35816</v>
      </c>
      <c r="G506" s="4">
        <v>1014001</v>
      </c>
      <c r="H506">
        <f t="shared" si="21"/>
        <v>1243.5</v>
      </c>
      <c r="I506">
        <f t="shared" si="22"/>
        <v>3.7142857142857144</v>
      </c>
      <c r="J506">
        <f t="shared" si="23"/>
        <v>4618.7142857142862</v>
      </c>
      <c r="O506">
        <v>1822</v>
      </c>
      <c r="P506">
        <v>576</v>
      </c>
      <c r="R506">
        <v>1900</v>
      </c>
      <c r="S506">
        <v>0.42857142857142855</v>
      </c>
    </row>
    <row r="507" spans="1:19" ht="15" customHeight="1" x14ac:dyDescent="0.2">
      <c r="A507" s="4">
        <v>1801</v>
      </c>
      <c r="B507" s="2" t="s">
        <v>13</v>
      </c>
      <c r="C507" s="2" t="s">
        <v>14</v>
      </c>
      <c r="D507" s="2" t="s">
        <v>46</v>
      </c>
      <c r="E507" s="2">
        <v>3868</v>
      </c>
      <c r="F507" s="3">
        <v>35868</v>
      </c>
      <c r="G507" s="4">
        <v>3370013000</v>
      </c>
      <c r="H507">
        <f t="shared" si="21"/>
        <v>1243.5</v>
      </c>
      <c r="I507">
        <f t="shared" si="22"/>
        <v>0.42857142857142855</v>
      </c>
      <c r="J507">
        <f t="shared" si="23"/>
        <v>532.92857142857144</v>
      </c>
      <c r="O507">
        <v>1823</v>
      </c>
      <c r="P507">
        <v>1243.5</v>
      </c>
      <c r="R507">
        <v>1906</v>
      </c>
      <c r="S507">
        <v>0.2857142857142857</v>
      </c>
    </row>
    <row r="508" spans="1:19" ht="15" customHeight="1" x14ac:dyDescent="0.2">
      <c r="A508" s="4">
        <v>1802</v>
      </c>
      <c r="B508" s="2" t="s">
        <v>13</v>
      </c>
      <c r="C508" s="2" t="s">
        <v>14</v>
      </c>
      <c r="D508" s="2" t="s">
        <v>46</v>
      </c>
      <c r="E508" s="2">
        <v>3870</v>
      </c>
      <c r="F508" s="3">
        <v>35867</v>
      </c>
      <c r="G508" s="4">
        <v>2777001000</v>
      </c>
      <c r="H508">
        <f t="shared" si="21"/>
        <v>1243.5</v>
      </c>
      <c r="I508">
        <f t="shared" si="22"/>
        <v>1</v>
      </c>
      <c r="J508">
        <f t="shared" si="23"/>
        <v>1243.5</v>
      </c>
      <c r="O508">
        <v>1830</v>
      </c>
      <c r="P508">
        <v>992.5</v>
      </c>
      <c r="R508">
        <v>1908</v>
      </c>
      <c r="S508">
        <v>0.5714285714285714</v>
      </c>
    </row>
    <row r="509" spans="1:19" ht="15" customHeight="1" x14ac:dyDescent="0.2">
      <c r="A509" s="4">
        <v>1806</v>
      </c>
      <c r="B509" s="2" t="s">
        <v>13</v>
      </c>
      <c r="C509" s="2" t="s">
        <v>14</v>
      </c>
      <c r="D509" s="2" t="s">
        <v>46</v>
      </c>
      <c r="E509" s="2">
        <v>3834</v>
      </c>
      <c r="F509" s="3">
        <v>35797</v>
      </c>
      <c r="G509" s="4">
        <v>3207002000</v>
      </c>
      <c r="H509">
        <f t="shared" si="21"/>
        <v>1243.5</v>
      </c>
      <c r="I509">
        <f t="shared" si="22"/>
        <v>0.5714285714285714</v>
      </c>
      <c r="J509">
        <f t="shared" si="23"/>
        <v>710.57142857142856</v>
      </c>
      <c r="O509">
        <v>1831</v>
      </c>
      <c r="P509">
        <v>992.5</v>
      </c>
      <c r="R509">
        <v>1909</v>
      </c>
      <c r="S509">
        <v>1.4285714285714286</v>
      </c>
    </row>
    <row r="510" spans="1:19" ht="15" customHeight="1" x14ac:dyDescent="0.2">
      <c r="A510" s="4">
        <v>1807</v>
      </c>
      <c r="B510" s="2" t="s">
        <v>13</v>
      </c>
      <c r="C510" s="2" t="s">
        <v>14</v>
      </c>
      <c r="D510" s="2" t="s">
        <v>46</v>
      </c>
      <c r="E510" s="2">
        <v>3836</v>
      </c>
      <c r="F510" s="3">
        <v>35797</v>
      </c>
      <c r="G510" s="4">
        <v>165005000</v>
      </c>
      <c r="H510">
        <f t="shared" si="21"/>
        <v>1243.5</v>
      </c>
      <c r="I510">
        <f t="shared" si="22"/>
        <v>0.14285714285714285</v>
      </c>
      <c r="J510">
        <f t="shared" si="23"/>
        <v>177.64285714285714</v>
      </c>
      <c r="O510">
        <v>1835</v>
      </c>
      <c r="P510">
        <v>576</v>
      </c>
      <c r="R510">
        <v>1911</v>
      </c>
      <c r="S510">
        <v>1</v>
      </c>
    </row>
    <row r="511" spans="1:19" ht="15" customHeight="1" x14ac:dyDescent="0.2">
      <c r="A511" s="4">
        <v>1808</v>
      </c>
      <c r="B511" s="2" t="s">
        <v>13</v>
      </c>
      <c r="C511" s="2" t="s">
        <v>14</v>
      </c>
      <c r="D511" s="2" t="s">
        <v>70</v>
      </c>
      <c r="E511" s="2">
        <v>224</v>
      </c>
      <c r="F511" s="3">
        <v>35797</v>
      </c>
      <c r="G511" s="4">
        <v>193012000</v>
      </c>
      <c r="H511">
        <f t="shared" si="21"/>
        <v>992.5</v>
      </c>
      <c r="I511">
        <f t="shared" si="22"/>
        <v>2</v>
      </c>
      <c r="J511">
        <f t="shared" si="23"/>
        <v>1985</v>
      </c>
      <c r="O511">
        <v>1842</v>
      </c>
      <c r="P511">
        <v>1212</v>
      </c>
      <c r="R511">
        <v>1913</v>
      </c>
      <c r="S511">
        <v>0.42857142857142855</v>
      </c>
    </row>
    <row r="512" spans="1:19" ht="26.1" customHeight="1" x14ac:dyDescent="0.2">
      <c r="A512" s="4">
        <v>1809</v>
      </c>
      <c r="B512" s="2" t="s">
        <v>11</v>
      </c>
      <c r="C512" s="2" t="s">
        <v>8</v>
      </c>
      <c r="D512" s="2" t="s">
        <v>9</v>
      </c>
      <c r="E512" s="2">
        <v>18348</v>
      </c>
      <c r="F512" s="3">
        <v>35797</v>
      </c>
      <c r="G512" s="4">
        <v>66011000</v>
      </c>
      <c r="H512">
        <f t="shared" si="21"/>
        <v>309.5</v>
      </c>
      <c r="I512">
        <f t="shared" si="22"/>
        <v>2</v>
      </c>
      <c r="J512">
        <f t="shared" si="23"/>
        <v>619</v>
      </c>
      <c r="O512">
        <v>1843</v>
      </c>
      <c r="P512">
        <v>1212</v>
      </c>
      <c r="R512">
        <v>1915</v>
      </c>
      <c r="S512">
        <v>0.2857142857142857</v>
      </c>
    </row>
    <row r="513" spans="1:19" ht="26.1" customHeight="1" x14ac:dyDescent="0.2">
      <c r="A513" s="4">
        <v>1811</v>
      </c>
      <c r="B513" s="2" t="s">
        <v>82</v>
      </c>
      <c r="C513" s="2" t="s">
        <v>80</v>
      </c>
      <c r="D513" s="2" t="s">
        <v>83</v>
      </c>
      <c r="E513" s="2" t="s">
        <v>103</v>
      </c>
      <c r="F513" s="3">
        <v>36101</v>
      </c>
      <c r="G513" s="4">
        <v>1014002</v>
      </c>
      <c r="H513">
        <f t="shared" si="21"/>
        <v>309.5</v>
      </c>
      <c r="I513">
        <f t="shared" si="22"/>
        <v>2</v>
      </c>
      <c r="J513">
        <f t="shared" si="23"/>
        <v>619</v>
      </c>
      <c r="O513">
        <v>1844</v>
      </c>
      <c r="P513">
        <v>1212</v>
      </c>
      <c r="R513">
        <v>1916</v>
      </c>
      <c r="S513">
        <v>1.111111111111111E-2</v>
      </c>
    </row>
    <row r="514" spans="1:19" ht="15" customHeight="1" x14ac:dyDescent="0.2">
      <c r="A514" s="4">
        <v>1816</v>
      </c>
      <c r="B514" s="2" t="s">
        <v>13</v>
      </c>
      <c r="C514" s="2" t="s">
        <v>14</v>
      </c>
      <c r="D514" s="2" t="s">
        <v>102</v>
      </c>
      <c r="F514" s="3">
        <v>36100</v>
      </c>
      <c r="G514" s="4">
        <v>1550001000</v>
      </c>
      <c r="H514">
        <f t="shared" ref="H514:H577" si="24">VLOOKUP(A514,O:P,2)</f>
        <v>576</v>
      </c>
      <c r="I514">
        <f t="shared" ref="I514:I577" si="25">VLOOKUP(A514,R:S,2)</f>
        <v>6.6666666666666666E-2</v>
      </c>
      <c r="J514">
        <f t="shared" ref="J514:J577" si="26">H514*I514</f>
        <v>38.4</v>
      </c>
      <c r="O514">
        <v>1845</v>
      </c>
      <c r="P514">
        <v>1212</v>
      </c>
      <c r="R514">
        <v>1917</v>
      </c>
      <c r="S514">
        <v>0.5714285714285714</v>
      </c>
    </row>
    <row r="515" spans="1:19" ht="15" customHeight="1" x14ac:dyDescent="0.2">
      <c r="A515" s="4">
        <v>1817</v>
      </c>
      <c r="B515" s="2" t="s">
        <v>51</v>
      </c>
      <c r="C515" s="2" t="s">
        <v>14</v>
      </c>
      <c r="D515" s="2" t="s">
        <v>60</v>
      </c>
      <c r="E515" s="2">
        <v>12721</v>
      </c>
      <c r="F515" s="3">
        <v>36100</v>
      </c>
      <c r="G515" s="4">
        <v>2126001000</v>
      </c>
      <c r="H515">
        <f t="shared" si="24"/>
        <v>512</v>
      </c>
      <c r="I515">
        <f t="shared" si="25"/>
        <v>6.6666666666666666E-2</v>
      </c>
      <c r="J515">
        <f t="shared" si="26"/>
        <v>34.133333333333333</v>
      </c>
      <c r="O515">
        <v>1848</v>
      </c>
      <c r="P515">
        <v>309.5</v>
      </c>
      <c r="R515">
        <v>1918</v>
      </c>
      <c r="S515">
        <v>0.2857142857142857</v>
      </c>
    </row>
    <row r="516" spans="1:19" ht="15" customHeight="1" x14ac:dyDescent="0.2">
      <c r="A516" s="4">
        <v>1821</v>
      </c>
      <c r="B516" s="2" t="s">
        <v>13</v>
      </c>
      <c r="C516" s="2" t="s">
        <v>14</v>
      </c>
      <c r="D516" s="2" t="s">
        <v>46</v>
      </c>
      <c r="E516" s="2">
        <v>3866</v>
      </c>
      <c r="F516" s="3">
        <v>35797</v>
      </c>
      <c r="G516" s="4">
        <v>2814003000</v>
      </c>
      <c r="H516">
        <f t="shared" si="24"/>
        <v>1243.5</v>
      </c>
      <c r="I516">
        <f t="shared" si="25"/>
        <v>0.5714285714285714</v>
      </c>
      <c r="J516">
        <f t="shared" si="26"/>
        <v>710.57142857142856</v>
      </c>
      <c r="O516">
        <v>1850</v>
      </c>
      <c r="P516">
        <v>309.5</v>
      </c>
      <c r="R516">
        <v>1919</v>
      </c>
      <c r="S516">
        <v>0.2857142857142857</v>
      </c>
    </row>
    <row r="517" spans="1:19" ht="15" customHeight="1" x14ac:dyDescent="0.2">
      <c r="A517" s="4">
        <v>1822</v>
      </c>
      <c r="B517" s="2" t="s">
        <v>13</v>
      </c>
      <c r="C517" s="2" t="s">
        <v>14</v>
      </c>
      <c r="D517" s="2" t="s">
        <v>102</v>
      </c>
      <c r="E517" s="2">
        <v>4596</v>
      </c>
      <c r="F517" s="3">
        <v>35797</v>
      </c>
      <c r="G517" s="4">
        <v>66011000</v>
      </c>
      <c r="H517">
        <f t="shared" si="24"/>
        <v>576</v>
      </c>
      <c r="I517">
        <f t="shared" si="25"/>
        <v>0.14285714285714285</v>
      </c>
      <c r="J517">
        <f t="shared" si="26"/>
        <v>82.285714285714278</v>
      </c>
      <c r="O517">
        <v>1851</v>
      </c>
      <c r="P517">
        <v>309.5</v>
      </c>
      <c r="R517">
        <v>1920</v>
      </c>
      <c r="S517">
        <v>0.13333333333333333</v>
      </c>
    </row>
    <row r="518" spans="1:19" ht="15" customHeight="1" x14ac:dyDescent="0.2">
      <c r="A518" s="4">
        <v>1823</v>
      </c>
      <c r="B518" s="2" t="s">
        <v>13</v>
      </c>
      <c r="C518" s="2" t="s">
        <v>14</v>
      </c>
      <c r="D518" s="2" t="s">
        <v>46</v>
      </c>
      <c r="E518" s="2">
        <v>3843</v>
      </c>
      <c r="F518" s="3">
        <v>35797</v>
      </c>
      <c r="G518" s="4">
        <v>1014001</v>
      </c>
      <c r="H518">
        <f t="shared" si="24"/>
        <v>1243.5</v>
      </c>
      <c r="I518">
        <f t="shared" si="25"/>
        <v>0.67</v>
      </c>
      <c r="J518">
        <f t="shared" si="26"/>
        <v>833.1450000000001</v>
      </c>
      <c r="O518">
        <v>1856</v>
      </c>
      <c r="P518">
        <v>532</v>
      </c>
      <c r="R518">
        <v>1920</v>
      </c>
      <c r="S518">
        <v>4</v>
      </c>
    </row>
    <row r="519" spans="1:19" ht="15" customHeight="1" x14ac:dyDescent="0.2">
      <c r="A519" s="4">
        <v>1830</v>
      </c>
      <c r="B519" s="2" t="s">
        <v>13</v>
      </c>
      <c r="C519" s="2" t="s">
        <v>14</v>
      </c>
      <c r="D519" s="2" t="s">
        <v>70</v>
      </c>
      <c r="E519" s="2">
        <v>220</v>
      </c>
      <c r="F519" s="3">
        <v>35712</v>
      </c>
      <c r="G519" s="4">
        <v>2126001000</v>
      </c>
      <c r="H519">
        <f t="shared" si="24"/>
        <v>992.5</v>
      </c>
      <c r="I519">
        <f t="shared" si="25"/>
        <v>0.67</v>
      </c>
      <c r="J519">
        <f t="shared" si="26"/>
        <v>664.97500000000002</v>
      </c>
      <c r="O519">
        <v>1857</v>
      </c>
      <c r="P519">
        <v>461</v>
      </c>
      <c r="R519">
        <v>1921</v>
      </c>
      <c r="S519">
        <v>0.13333333333333333</v>
      </c>
    </row>
    <row r="520" spans="1:19" ht="15" customHeight="1" x14ac:dyDescent="0.2">
      <c r="A520" s="4">
        <v>1831</v>
      </c>
      <c r="B520" s="2" t="s">
        <v>13</v>
      </c>
      <c r="C520" s="2" t="s">
        <v>14</v>
      </c>
      <c r="D520" s="2" t="s">
        <v>70</v>
      </c>
      <c r="E520" s="2">
        <v>226</v>
      </c>
      <c r="F520" s="3">
        <v>35712</v>
      </c>
      <c r="G520" s="4">
        <v>2126001000</v>
      </c>
      <c r="H520">
        <f t="shared" si="24"/>
        <v>992.5</v>
      </c>
      <c r="I520">
        <f t="shared" si="25"/>
        <v>0.67</v>
      </c>
      <c r="J520">
        <f t="shared" si="26"/>
        <v>664.97500000000002</v>
      </c>
      <c r="O520">
        <v>1862</v>
      </c>
      <c r="P520">
        <v>309.5</v>
      </c>
      <c r="R520">
        <v>1925</v>
      </c>
      <c r="S520">
        <v>0.5714285714285714</v>
      </c>
    </row>
    <row r="521" spans="1:19" ht="15" customHeight="1" x14ac:dyDescent="0.2">
      <c r="A521" s="4">
        <v>1835</v>
      </c>
      <c r="B521" s="2" t="s">
        <v>13</v>
      </c>
      <c r="C521" s="2" t="s">
        <v>14</v>
      </c>
      <c r="D521" s="2" t="s">
        <v>102</v>
      </c>
      <c r="E521" s="2">
        <v>4609</v>
      </c>
      <c r="F521" s="3">
        <v>35712</v>
      </c>
      <c r="G521" s="4">
        <v>3042060001</v>
      </c>
      <c r="H521">
        <f t="shared" si="24"/>
        <v>576</v>
      </c>
      <c r="I521">
        <f t="shared" si="25"/>
        <v>9.5238095238095233E-2</v>
      </c>
      <c r="J521">
        <f t="shared" si="26"/>
        <v>54.857142857142854</v>
      </c>
      <c r="O521">
        <v>1865</v>
      </c>
      <c r="P521">
        <v>1243.5</v>
      </c>
      <c r="R521">
        <v>1926</v>
      </c>
      <c r="S521">
        <v>10</v>
      </c>
    </row>
    <row r="522" spans="1:19" ht="26.1" customHeight="1" x14ac:dyDescent="0.2">
      <c r="A522" s="4">
        <v>1841</v>
      </c>
      <c r="B522" s="2" t="s">
        <v>104</v>
      </c>
      <c r="C522" s="2" t="s">
        <v>69</v>
      </c>
      <c r="D522" s="2" t="s">
        <v>10</v>
      </c>
      <c r="F522" s="3">
        <v>36096</v>
      </c>
      <c r="G522" s="4">
        <v>1925001000</v>
      </c>
      <c r="H522">
        <f t="shared" si="24"/>
        <v>576</v>
      </c>
      <c r="I522">
        <f t="shared" si="25"/>
        <v>9.5238095238095233E-2</v>
      </c>
      <c r="J522">
        <f t="shared" si="26"/>
        <v>54.857142857142854</v>
      </c>
      <c r="O522">
        <v>1866</v>
      </c>
      <c r="P522">
        <v>360</v>
      </c>
      <c r="R522">
        <v>1935</v>
      </c>
      <c r="S522">
        <v>3</v>
      </c>
    </row>
    <row r="523" spans="1:19" ht="15" customHeight="1" x14ac:dyDescent="0.2">
      <c r="A523" s="4">
        <v>1842</v>
      </c>
      <c r="B523" s="2" t="s">
        <v>13</v>
      </c>
      <c r="C523" s="2" t="s">
        <v>8</v>
      </c>
      <c r="D523" s="2" t="s">
        <v>18</v>
      </c>
      <c r="E523" s="2">
        <v>17735</v>
      </c>
      <c r="F523" s="3">
        <v>36168</v>
      </c>
      <c r="G523" s="4">
        <v>3370011000</v>
      </c>
      <c r="H523">
        <f t="shared" si="24"/>
        <v>1212</v>
      </c>
      <c r="I523">
        <f t="shared" si="25"/>
        <v>0.21428571428571427</v>
      </c>
      <c r="J523">
        <f t="shared" si="26"/>
        <v>259.71428571428572</v>
      </c>
      <c r="O523">
        <v>1873</v>
      </c>
      <c r="P523">
        <v>309.5</v>
      </c>
      <c r="R523">
        <v>1936</v>
      </c>
      <c r="S523">
        <v>0.1</v>
      </c>
    </row>
    <row r="524" spans="1:19" ht="15" customHeight="1" x14ac:dyDescent="0.2">
      <c r="A524" s="4">
        <v>1843</v>
      </c>
      <c r="B524" s="2" t="s">
        <v>13</v>
      </c>
      <c r="C524" s="2" t="s">
        <v>8</v>
      </c>
      <c r="D524" s="2" t="s">
        <v>18</v>
      </c>
      <c r="E524" s="2">
        <v>17748</v>
      </c>
      <c r="F524" s="3">
        <v>36169</v>
      </c>
      <c r="G524" s="4">
        <v>2126001000</v>
      </c>
      <c r="H524">
        <f t="shared" si="24"/>
        <v>1212</v>
      </c>
      <c r="I524">
        <f t="shared" si="25"/>
        <v>0.21428571428571427</v>
      </c>
      <c r="J524">
        <f t="shared" si="26"/>
        <v>259.71428571428572</v>
      </c>
      <c r="O524">
        <v>1874</v>
      </c>
      <c r="P524">
        <v>309.5</v>
      </c>
      <c r="R524">
        <v>1937</v>
      </c>
      <c r="S524">
        <v>5</v>
      </c>
    </row>
    <row r="525" spans="1:19" ht="15" customHeight="1" x14ac:dyDescent="0.2">
      <c r="A525" s="4">
        <v>1844</v>
      </c>
      <c r="B525" s="2" t="s">
        <v>13</v>
      </c>
      <c r="C525" s="2" t="s">
        <v>8</v>
      </c>
      <c r="D525" s="2" t="s">
        <v>18</v>
      </c>
      <c r="E525" s="2">
        <v>17750</v>
      </c>
      <c r="F525" s="3">
        <v>36165</v>
      </c>
      <c r="G525" s="4">
        <v>1967007000</v>
      </c>
      <c r="H525">
        <f t="shared" si="24"/>
        <v>1212</v>
      </c>
      <c r="I525">
        <f t="shared" si="25"/>
        <v>2</v>
      </c>
      <c r="J525">
        <f t="shared" si="26"/>
        <v>2424</v>
      </c>
      <c r="O525">
        <v>1875</v>
      </c>
      <c r="P525">
        <v>309.5</v>
      </c>
      <c r="R525">
        <v>1938</v>
      </c>
      <c r="S525">
        <v>3</v>
      </c>
    </row>
    <row r="526" spans="1:19" ht="15" customHeight="1" x14ac:dyDescent="0.2">
      <c r="A526" s="4">
        <v>1845</v>
      </c>
      <c r="B526" s="2" t="s">
        <v>13</v>
      </c>
      <c r="C526" s="2" t="s">
        <v>8</v>
      </c>
      <c r="D526" s="2" t="s">
        <v>18</v>
      </c>
      <c r="E526" s="2">
        <v>17721</v>
      </c>
      <c r="F526" s="3">
        <v>36168</v>
      </c>
      <c r="G526" s="4">
        <v>1014002</v>
      </c>
      <c r="H526">
        <f t="shared" si="24"/>
        <v>1212</v>
      </c>
      <c r="I526">
        <f t="shared" si="25"/>
        <v>0.14285714285714285</v>
      </c>
      <c r="J526">
        <f t="shared" si="26"/>
        <v>173.14285714285714</v>
      </c>
      <c r="O526">
        <v>1877</v>
      </c>
      <c r="P526">
        <v>309.5</v>
      </c>
      <c r="R526">
        <v>1939</v>
      </c>
      <c r="S526">
        <v>0.4</v>
      </c>
    </row>
    <row r="527" spans="1:19" ht="15" customHeight="1" x14ac:dyDescent="0.2">
      <c r="A527" s="4">
        <v>1848</v>
      </c>
      <c r="B527" s="2" t="s">
        <v>7</v>
      </c>
      <c r="C527" s="2" t="s">
        <v>8</v>
      </c>
      <c r="D527" s="2" t="s">
        <v>9</v>
      </c>
      <c r="E527" s="2">
        <v>20305</v>
      </c>
      <c r="F527" s="3">
        <v>36165</v>
      </c>
      <c r="G527" s="4">
        <v>2548092000</v>
      </c>
      <c r="H527">
        <f t="shared" si="24"/>
        <v>309.5</v>
      </c>
      <c r="I527">
        <f t="shared" si="25"/>
        <v>0.2857142857142857</v>
      </c>
      <c r="J527">
        <f t="shared" si="26"/>
        <v>88.428571428571431</v>
      </c>
      <c r="O527">
        <v>1878</v>
      </c>
      <c r="P527">
        <v>309.5</v>
      </c>
      <c r="R527">
        <v>1940</v>
      </c>
      <c r="S527">
        <v>1.4285714285714286</v>
      </c>
    </row>
    <row r="528" spans="1:19" ht="15" customHeight="1" x14ac:dyDescent="0.2">
      <c r="A528" s="4">
        <v>1850</v>
      </c>
      <c r="B528" s="2" t="s">
        <v>7</v>
      </c>
      <c r="C528" s="2" t="s">
        <v>8</v>
      </c>
      <c r="D528" s="2" t="s">
        <v>9</v>
      </c>
      <c r="E528" s="2">
        <v>20314</v>
      </c>
      <c r="F528" s="3">
        <v>36168</v>
      </c>
      <c r="G528" s="4">
        <v>3234004000</v>
      </c>
      <c r="H528">
        <f t="shared" si="24"/>
        <v>309.5</v>
      </c>
      <c r="I528">
        <f t="shared" si="25"/>
        <v>1.6666666666666666E-2</v>
      </c>
      <c r="J528">
        <f t="shared" si="26"/>
        <v>5.1583333333333332</v>
      </c>
      <c r="O528">
        <v>1881</v>
      </c>
      <c r="P528">
        <v>1212</v>
      </c>
      <c r="R528">
        <v>1941</v>
      </c>
      <c r="S528">
        <v>0.66666666666666663</v>
      </c>
    </row>
    <row r="529" spans="1:19" ht="15" customHeight="1" x14ac:dyDescent="0.2">
      <c r="A529" s="4">
        <v>1851</v>
      </c>
      <c r="B529" s="2" t="s">
        <v>7</v>
      </c>
      <c r="C529" s="2" t="s">
        <v>8</v>
      </c>
      <c r="D529" s="2" t="s">
        <v>9</v>
      </c>
      <c r="E529" s="2">
        <v>20297</v>
      </c>
      <c r="F529" s="3">
        <v>36165</v>
      </c>
      <c r="G529" s="4">
        <v>3228002000</v>
      </c>
      <c r="H529">
        <f t="shared" si="24"/>
        <v>309.5</v>
      </c>
      <c r="I529">
        <f t="shared" si="25"/>
        <v>0.42857142857142855</v>
      </c>
      <c r="J529">
        <f t="shared" si="26"/>
        <v>132.64285714285714</v>
      </c>
      <c r="O529">
        <v>1882</v>
      </c>
      <c r="P529">
        <v>1212</v>
      </c>
      <c r="R529">
        <v>1942</v>
      </c>
      <c r="S529">
        <v>0.2857142857142857</v>
      </c>
    </row>
    <row r="530" spans="1:19" ht="26.1" customHeight="1" x14ac:dyDescent="0.2">
      <c r="A530" s="4">
        <v>1855</v>
      </c>
      <c r="B530" s="2" t="s">
        <v>82</v>
      </c>
      <c r="C530" s="2" t="s">
        <v>80</v>
      </c>
      <c r="D530" s="2" t="s">
        <v>83</v>
      </c>
      <c r="E530" s="2">
        <v>338315152</v>
      </c>
      <c r="F530" s="3">
        <v>36211</v>
      </c>
      <c r="G530" s="4">
        <v>1014002</v>
      </c>
      <c r="H530">
        <f t="shared" si="24"/>
        <v>309.5</v>
      </c>
      <c r="I530">
        <f t="shared" si="25"/>
        <v>0.42857142857142855</v>
      </c>
      <c r="J530">
        <f t="shared" si="26"/>
        <v>132.64285714285714</v>
      </c>
      <c r="O530">
        <v>1883</v>
      </c>
      <c r="P530">
        <v>1212</v>
      </c>
      <c r="R530">
        <v>1943</v>
      </c>
      <c r="S530">
        <v>0.5</v>
      </c>
    </row>
    <row r="531" spans="1:19" ht="15" customHeight="1" x14ac:dyDescent="0.2">
      <c r="A531" s="4">
        <v>1856</v>
      </c>
      <c r="B531" s="2" t="s">
        <v>7</v>
      </c>
      <c r="C531" s="2" t="s">
        <v>12</v>
      </c>
      <c r="D531" s="2" t="s">
        <v>19</v>
      </c>
      <c r="F531" s="3">
        <v>36165</v>
      </c>
      <c r="G531" s="4">
        <v>212007000</v>
      </c>
      <c r="H531">
        <f t="shared" si="24"/>
        <v>532</v>
      </c>
      <c r="I531">
        <f t="shared" si="25"/>
        <v>0.14285714285714285</v>
      </c>
      <c r="J531">
        <f t="shared" si="26"/>
        <v>76</v>
      </c>
      <c r="O531">
        <v>1885</v>
      </c>
      <c r="P531">
        <v>309.5</v>
      </c>
      <c r="R531">
        <v>1945</v>
      </c>
      <c r="S531">
        <v>0.1</v>
      </c>
    </row>
    <row r="532" spans="1:19" ht="15" customHeight="1" x14ac:dyDescent="0.2">
      <c r="A532" s="4">
        <v>1857</v>
      </c>
      <c r="B532" s="2" t="s">
        <v>7</v>
      </c>
      <c r="C532" s="2" t="s">
        <v>8</v>
      </c>
      <c r="D532" s="2" t="s">
        <v>17</v>
      </c>
      <c r="E532" s="2">
        <v>8731</v>
      </c>
      <c r="F532" s="3">
        <v>25688</v>
      </c>
      <c r="G532" s="4">
        <v>953013000</v>
      </c>
      <c r="H532">
        <f t="shared" si="24"/>
        <v>461</v>
      </c>
      <c r="I532">
        <f t="shared" si="25"/>
        <v>0.21428571428571427</v>
      </c>
      <c r="J532">
        <f t="shared" si="26"/>
        <v>98.785714285714278</v>
      </c>
      <c r="O532">
        <v>1886</v>
      </c>
      <c r="P532">
        <v>309.5</v>
      </c>
      <c r="R532">
        <v>1946</v>
      </c>
      <c r="S532">
        <v>0.14285714285714285</v>
      </c>
    </row>
    <row r="533" spans="1:19" ht="26.1" customHeight="1" x14ac:dyDescent="0.2">
      <c r="A533" s="4">
        <v>1862</v>
      </c>
      <c r="B533" s="2" t="s">
        <v>11</v>
      </c>
      <c r="C533" s="2" t="s">
        <v>8</v>
      </c>
      <c r="D533" s="2" t="s">
        <v>9</v>
      </c>
      <c r="E533" s="2">
        <v>3321</v>
      </c>
      <c r="F533" s="3">
        <v>36162</v>
      </c>
      <c r="G533" s="4">
        <v>2889001000</v>
      </c>
      <c r="H533">
        <f t="shared" si="24"/>
        <v>309.5</v>
      </c>
      <c r="I533">
        <f t="shared" si="25"/>
        <v>0.8</v>
      </c>
      <c r="J533">
        <f t="shared" si="26"/>
        <v>247.60000000000002</v>
      </c>
      <c r="O533">
        <v>1887</v>
      </c>
      <c r="P533">
        <v>309.5</v>
      </c>
      <c r="R533">
        <v>1949</v>
      </c>
      <c r="S533">
        <v>0.53333333333333333</v>
      </c>
    </row>
    <row r="534" spans="1:19" ht="15" customHeight="1" x14ac:dyDescent="0.2">
      <c r="A534" s="4">
        <v>1865</v>
      </c>
      <c r="B534" s="2" t="s">
        <v>13</v>
      </c>
      <c r="C534" s="2" t="s">
        <v>14</v>
      </c>
      <c r="D534" s="2" t="s">
        <v>46</v>
      </c>
      <c r="E534" s="2">
        <v>3842</v>
      </c>
      <c r="F534" s="3">
        <v>35712</v>
      </c>
      <c r="G534" s="4">
        <v>1014001</v>
      </c>
      <c r="H534">
        <f t="shared" si="24"/>
        <v>1243.5</v>
      </c>
      <c r="I534">
        <f t="shared" si="25"/>
        <v>0.8</v>
      </c>
      <c r="J534">
        <f t="shared" si="26"/>
        <v>994.80000000000007</v>
      </c>
      <c r="O534">
        <v>1888</v>
      </c>
      <c r="P534">
        <v>309.5</v>
      </c>
      <c r="R534">
        <v>1953</v>
      </c>
      <c r="S534">
        <v>1</v>
      </c>
    </row>
    <row r="535" spans="1:19" ht="15" customHeight="1" x14ac:dyDescent="0.2">
      <c r="A535" s="4">
        <v>1866</v>
      </c>
      <c r="B535" s="2" t="s">
        <v>7</v>
      </c>
      <c r="C535" s="2" t="s">
        <v>8</v>
      </c>
      <c r="D535" s="2" t="s">
        <v>105</v>
      </c>
      <c r="E535" s="2">
        <v>5414</v>
      </c>
      <c r="F535" s="3">
        <v>25688</v>
      </c>
      <c r="G535" s="4">
        <v>2126006000</v>
      </c>
      <c r="H535">
        <f t="shared" si="24"/>
        <v>360</v>
      </c>
      <c r="I535">
        <f t="shared" si="25"/>
        <v>5.5555555555555552E-2</v>
      </c>
      <c r="J535">
        <f t="shared" si="26"/>
        <v>20</v>
      </c>
      <c r="O535">
        <v>1889</v>
      </c>
      <c r="P535">
        <v>309.5</v>
      </c>
      <c r="R535">
        <v>1954</v>
      </c>
      <c r="S535">
        <v>0.13333333333333333</v>
      </c>
    </row>
    <row r="536" spans="1:19" ht="15" customHeight="1" x14ac:dyDescent="0.2">
      <c r="A536" s="4">
        <v>1868</v>
      </c>
      <c r="B536" s="2" t="s">
        <v>79</v>
      </c>
      <c r="C536" s="2" t="s">
        <v>80</v>
      </c>
      <c r="D536" s="2" t="s">
        <v>101</v>
      </c>
      <c r="F536" s="3">
        <v>36437</v>
      </c>
      <c r="G536" s="4">
        <v>1000002</v>
      </c>
      <c r="H536">
        <f t="shared" si="24"/>
        <v>360</v>
      </c>
      <c r="I536">
        <f t="shared" si="25"/>
        <v>5.5555555555555552E-2</v>
      </c>
      <c r="J536">
        <f t="shared" si="26"/>
        <v>20</v>
      </c>
      <c r="O536">
        <v>1890</v>
      </c>
      <c r="P536">
        <v>309.5</v>
      </c>
      <c r="R536">
        <v>1956</v>
      </c>
      <c r="S536">
        <v>0.66666666666666663</v>
      </c>
    </row>
    <row r="537" spans="1:19" ht="15" customHeight="1" x14ac:dyDescent="0.2">
      <c r="A537" s="4">
        <v>1873</v>
      </c>
      <c r="B537" s="2" t="s">
        <v>7</v>
      </c>
      <c r="C537" s="2" t="s">
        <v>8</v>
      </c>
      <c r="D537" s="2" t="s">
        <v>9</v>
      </c>
      <c r="E537" s="2">
        <v>21244</v>
      </c>
      <c r="F537" s="3">
        <v>36494</v>
      </c>
      <c r="G537" s="4">
        <v>1014001</v>
      </c>
      <c r="H537">
        <f t="shared" si="24"/>
        <v>309.5</v>
      </c>
      <c r="I537">
        <f t="shared" si="25"/>
        <v>1</v>
      </c>
      <c r="J537">
        <f t="shared" si="26"/>
        <v>309.5</v>
      </c>
      <c r="O537">
        <v>1891</v>
      </c>
      <c r="P537">
        <v>309.5</v>
      </c>
      <c r="R537">
        <v>1957</v>
      </c>
      <c r="S537">
        <v>6.6666666666666666E-2</v>
      </c>
    </row>
    <row r="538" spans="1:19" ht="15" customHeight="1" x14ac:dyDescent="0.2">
      <c r="A538" s="4">
        <v>1874</v>
      </c>
      <c r="B538" s="2" t="s">
        <v>7</v>
      </c>
      <c r="C538" s="2" t="s">
        <v>8</v>
      </c>
      <c r="D538" s="2" t="s">
        <v>9</v>
      </c>
      <c r="E538" s="2">
        <v>21203</v>
      </c>
      <c r="F538" s="3">
        <v>36494</v>
      </c>
      <c r="G538" s="4">
        <v>3168001000</v>
      </c>
      <c r="H538">
        <f t="shared" si="24"/>
        <v>309.5</v>
      </c>
      <c r="I538">
        <f t="shared" si="25"/>
        <v>0.5</v>
      </c>
      <c r="J538">
        <f t="shared" si="26"/>
        <v>154.75</v>
      </c>
      <c r="O538">
        <v>1892</v>
      </c>
      <c r="P538">
        <v>309.5</v>
      </c>
      <c r="R538">
        <v>1958</v>
      </c>
      <c r="S538">
        <v>2</v>
      </c>
    </row>
    <row r="539" spans="1:19" ht="15" customHeight="1" x14ac:dyDescent="0.2">
      <c r="A539" s="4">
        <v>1875</v>
      </c>
      <c r="B539" s="2" t="s">
        <v>7</v>
      </c>
      <c r="C539" s="2" t="s">
        <v>8</v>
      </c>
      <c r="D539" s="2" t="s">
        <v>9</v>
      </c>
      <c r="E539" s="2">
        <v>21243</v>
      </c>
      <c r="F539" s="3">
        <v>36494</v>
      </c>
      <c r="G539" s="4">
        <v>1925001000</v>
      </c>
      <c r="H539">
        <f t="shared" si="24"/>
        <v>309.5</v>
      </c>
      <c r="I539">
        <f t="shared" si="25"/>
        <v>0.13333333333333333</v>
      </c>
      <c r="J539">
        <f t="shared" si="26"/>
        <v>41.266666666666666</v>
      </c>
      <c r="O539">
        <v>1893</v>
      </c>
      <c r="P539">
        <v>309.5</v>
      </c>
      <c r="R539">
        <v>1965</v>
      </c>
      <c r="S539">
        <v>2.222222222222222E-2</v>
      </c>
    </row>
    <row r="540" spans="1:19" ht="26.1" customHeight="1" x14ac:dyDescent="0.2">
      <c r="A540" s="4">
        <v>1877</v>
      </c>
      <c r="B540" s="2" t="s">
        <v>11</v>
      </c>
      <c r="C540" s="2" t="s">
        <v>8</v>
      </c>
      <c r="D540" s="2" t="s">
        <v>9</v>
      </c>
      <c r="E540" s="2">
        <v>21335</v>
      </c>
      <c r="F540" s="3">
        <v>36494</v>
      </c>
      <c r="G540" s="4">
        <v>1014001</v>
      </c>
      <c r="H540">
        <f t="shared" si="24"/>
        <v>309.5</v>
      </c>
      <c r="I540">
        <f t="shared" si="25"/>
        <v>0.33333333333333331</v>
      </c>
      <c r="J540">
        <f t="shared" si="26"/>
        <v>103.16666666666666</v>
      </c>
      <c r="O540">
        <v>1894</v>
      </c>
      <c r="P540">
        <v>1212</v>
      </c>
      <c r="R540">
        <v>1969</v>
      </c>
      <c r="S540">
        <v>0.14285714285714285</v>
      </c>
    </row>
    <row r="541" spans="1:19" ht="15" customHeight="1" x14ac:dyDescent="0.2">
      <c r="A541" s="4">
        <v>1878</v>
      </c>
      <c r="B541" s="2" t="s">
        <v>7</v>
      </c>
      <c r="C541" s="2" t="s">
        <v>8</v>
      </c>
      <c r="D541" s="2" t="s">
        <v>9</v>
      </c>
      <c r="E541" s="2">
        <v>21248</v>
      </c>
      <c r="F541" s="3">
        <v>36494</v>
      </c>
      <c r="G541" s="4">
        <v>61007000</v>
      </c>
      <c r="H541">
        <f t="shared" si="24"/>
        <v>309.5</v>
      </c>
      <c r="I541">
        <f t="shared" si="25"/>
        <v>0.2857142857142857</v>
      </c>
      <c r="J541">
        <f t="shared" si="26"/>
        <v>88.428571428571431</v>
      </c>
      <c r="O541">
        <v>1895</v>
      </c>
      <c r="P541">
        <v>1212</v>
      </c>
      <c r="R541">
        <v>1971</v>
      </c>
      <c r="S541">
        <v>2</v>
      </c>
    </row>
    <row r="542" spans="1:19" ht="15" customHeight="1" x14ac:dyDescent="0.2">
      <c r="A542" s="4">
        <v>1881</v>
      </c>
      <c r="B542" s="2" t="s">
        <v>13</v>
      </c>
      <c r="C542" s="2" t="s">
        <v>8</v>
      </c>
      <c r="D542" s="2" t="s">
        <v>18</v>
      </c>
      <c r="E542" s="2">
        <v>18429</v>
      </c>
      <c r="F542" s="3">
        <v>36494</v>
      </c>
      <c r="G542" s="4">
        <v>2126001000</v>
      </c>
      <c r="H542">
        <f t="shared" si="24"/>
        <v>1212</v>
      </c>
      <c r="I542">
        <f t="shared" si="25"/>
        <v>0.2857142857142857</v>
      </c>
      <c r="J542">
        <f t="shared" si="26"/>
        <v>346.28571428571428</v>
      </c>
      <c r="O542">
        <v>1896</v>
      </c>
      <c r="P542">
        <v>1212</v>
      </c>
      <c r="R542">
        <v>1972</v>
      </c>
      <c r="S542">
        <v>0.26666666666666666</v>
      </c>
    </row>
    <row r="543" spans="1:19" ht="15" customHeight="1" x14ac:dyDescent="0.2">
      <c r="A543" s="4">
        <v>1882</v>
      </c>
      <c r="B543" s="2" t="s">
        <v>13</v>
      </c>
      <c r="C543" s="2" t="s">
        <v>8</v>
      </c>
      <c r="D543" s="2" t="s">
        <v>18</v>
      </c>
      <c r="E543" s="2">
        <v>18388</v>
      </c>
      <c r="F543" s="3">
        <v>36493</v>
      </c>
      <c r="G543" s="4">
        <v>1068018000</v>
      </c>
      <c r="H543">
        <f t="shared" si="24"/>
        <v>1212</v>
      </c>
      <c r="I543">
        <f t="shared" si="25"/>
        <v>0.26666666666666666</v>
      </c>
      <c r="J543">
        <f t="shared" si="26"/>
        <v>323.2</v>
      </c>
      <c r="O543">
        <v>1897</v>
      </c>
      <c r="P543">
        <v>1212</v>
      </c>
      <c r="R543">
        <v>1978</v>
      </c>
      <c r="S543">
        <v>0.8571428571428571</v>
      </c>
    </row>
    <row r="544" spans="1:19" ht="15" customHeight="1" x14ac:dyDescent="0.2">
      <c r="A544" s="4">
        <v>1883</v>
      </c>
      <c r="B544" s="2" t="s">
        <v>13</v>
      </c>
      <c r="C544" s="2" t="s">
        <v>8</v>
      </c>
      <c r="D544" s="2" t="s">
        <v>18</v>
      </c>
      <c r="E544" s="2">
        <v>18499</v>
      </c>
      <c r="F544" s="3">
        <v>36494</v>
      </c>
      <c r="G544" s="4">
        <v>2126001000</v>
      </c>
      <c r="H544">
        <f t="shared" si="24"/>
        <v>1212</v>
      </c>
      <c r="I544">
        <f t="shared" si="25"/>
        <v>0.26666666666666666</v>
      </c>
      <c r="J544">
        <f t="shared" si="26"/>
        <v>323.2</v>
      </c>
      <c r="O544">
        <v>1900</v>
      </c>
      <c r="P544">
        <v>3600</v>
      </c>
      <c r="R544">
        <v>1979</v>
      </c>
      <c r="S544">
        <v>0.26666666666666666</v>
      </c>
    </row>
    <row r="545" spans="1:19" ht="15" customHeight="1" x14ac:dyDescent="0.2">
      <c r="A545" s="4">
        <v>1885</v>
      </c>
      <c r="B545" s="2" t="s">
        <v>7</v>
      </c>
      <c r="C545" s="2" t="s">
        <v>8</v>
      </c>
      <c r="D545" s="2" t="s">
        <v>9</v>
      </c>
      <c r="E545" s="2">
        <v>21303</v>
      </c>
      <c r="F545" s="3">
        <v>36494</v>
      </c>
      <c r="G545" s="4">
        <v>2126001000</v>
      </c>
      <c r="H545">
        <f t="shared" si="24"/>
        <v>309.5</v>
      </c>
      <c r="I545">
        <f t="shared" si="25"/>
        <v>1.7142857142857142</v>
      </c>
      <c r="J545">
        <f t="shared" si="26"/>
        <v>530.57142857142856</v>
      </c>
      <c r="O545">
        <v>1902</v>
      </c>
      <c r="P545">
        <v>309.5</v>
      </c>
      <c r="R545">
        <v>1980</v>
      </c>
      <c r="S545">
        <v>2</v>
      </c>
    </row>
    <row r="546" spans="1:19" ht="15" customHeight="1" x14ac:dyDescent="0.2">
      <c r="A546" s="4">
        <v>1886</v>
      </c>
      <c r="B546" s="2" t="s">
        <v>7</v>
      </c>
      <c r="C546" s="2" t="s">
        <v>8</v>
      </c>
      <c r="D546" s="2" t="s">
        <v>9</v>
      </c>
      <c r="E546" s="2">
        <v>21237</v>
      </c>
      <c r="F546" s="3">
        <v>36494</v>
      </c>
      <c r="G546" s="4">
        <v>1550001000</v>
      </c>
      <c r="H546">
        <f t="shared" si="24"/>
        <v>309.5</v>
      </c>
      <c r="I546">
        <f t="shared" si="25"/>
        <v>0.42857142857142855</v>
      </c>
      <c r="J546">
        <f t="shared" si="26"/>
        <v>132.64285714285714</v>
      </c>
      <c r="O546">
        <v>1906</v>
      </c>
      <c r="P546">
        <v>309.5</v>
      </c>
      <c r="R546">
        <v>1982</v>
      </c>
      <c r="S546">
        <v>0.14285714285714285</v>
      </c>
    </row>
    <row r="547" spans="1:19" ht="15" customHeight="1" x14ac:dyDescent="0.2">
      <c r="A547" s="4">
        <v>1887</v>
      </c>
      <c r="B547" s="2" t="s">
        <v>7</v>
      </c>
      <c r="C547" s="2" t="s">
        <v>8</v>
      </c>
      <c r="D547" s="2" t="s">
        <v>9</v>
      </c>
      <c r="E547" s="2">
        <v>21201</v>
      </c>
      <c r="F547" s="3">
        <v>36494</v>
      </c>
      <c r="G547" s="4">
        <v>3116001000</v>
      </c>
      <c r="H547">
        <f t="shared" si="24"/>
        <v>309.5</v>
      </c>
      <c r="I547">
        <f t="shared" si="25"/>
        <v>0.83333333333333337</v>
      </c>
      <c r="J547">
        <f t="shared" si="26"/>
        <v>257.91666666666669</v>
      </c>
      <c r="O547">
        <v>1908</v>
      </c>
      <c r="P547">
        <v>309.5</v>
      </c>
      <c r="R547">
        <v>1984</v>
      </c>
      <c r="S547">
        <v>2</v>
      </c>
    </row>
    <row r="548" spans="1:19" ht="15" customHeight="1" x14ac:dyDescent="0.2">
      <c r="A548" s="4">
        <v>1888</v>
      </c>
      <c r="B548" s="2" t="s">
        <v>7</v>
      </c>
      <c r="C548" s="2" t="s">
        <v>8</v>
      </c>
      <c r="D548" s="2" t="s">
        <v>9</v>
      </c>
      <c r="E548" s="2">
        <v>21240</v>
      </c>
      <c r="F548" s="3">
        <v>36494</v>
      </c>
      <c r="G548" s="4">
        <v>43006000</v>
      </c>
      <c r="H548">
        <f t="shared" si="24"/>
        <v>309.5</v>
      </c>
      <c r="I548">
        <f t="shared" si="25"/>
        <v>2</v>
      </c>
      <c r="J548">
        <f t="shared" si="26"/>
        <v>619</v>
      </c>
      <c r="O548">
        <v>1909</v>
      </c>
      <c r="P548">
        <v>309.5</v>
      </c>
      <c r="R548">
        <v>1985</v>
      </c>
      <c r="S548">
        <v>0.14285714285714285</v>
      </c>
    </row>
    <row r="549" spans="1:19" ht="15" customHeight="1" x14ac:dyDescent="0.2">
      <c r="A549" s="4">
        <v>1889</v>
      </c>
      <c r="B549" s="2" t="s">
        <v>7</v>
      </c>
      <c r="C549" s="2" t="s">
        <v>8</v>
      </c>
      <c r="D549" s="2" t="s">
        <v>9</v>
      </c>
      <c r="E549" s="2">
        <v>21202</v>
      </c>
      <c r="F549" s="3">
        <v>36494</v>
      </c>
      <c r="G549" s="4">
        <v>2126001000</v>
      </c>
      <c r="H549">
        <f t="shared" si="24"/>
        <v>309.5</v>
      </c>
      <c r="I549">
        <f t="shared" si="25"/>
        <v>1.7142857142857142</v>
      </c>
      <c r="J549">
        <f t="shared" si="26"/>
        <v>530.57142857142856</v>
      </c>
      <c r="O549">
        <v>1910</v>
      </c>
      <c r="P549">
        <v>309.5</v>
      </c>
      <c r="R549">
        <v>2003</v>
      </c>
      <c r="S549">
        <v>2</v>
      </c>
    </row>
    <row r="550" spans="1:19" ht="15" customHeight="1" x14ac:dyDescent="0.2">
      <c r="A550" s="4">
        <v>1890</v>
      </c>
      <c r="B550" s="2" t="s">
        <v>7</v>
      </c>
      <c r="C550" s="2" t="s">
        <v>8</v>
      </c>
      <c r="D550" s="2" t="s">
        <v>9</v>
      </c>
      <c r="E550" s="2">
        <v>21255</v>
      </c>
      <c r="F550" s="3">
        <v>36494</v>
      </c>
      <c r="G550" s="4">
        <v>3119003000</v>
      </c>
      <c r="H550">
        <f t="shared" si="24"/>
        <v>309.5</v>
      </c>
      <c r="I550">
        <f t="shared" si="25"/>
        <v>0.66666666666666663</v>
      </c>
      <c r="J550">
        <f t="shared" si="26"/>
        <v>206.33333333333331</v>
      </c>
      <c r="O550">
        <v>1911</v>
      </c>
      <c r="P550">
        <v>309.5</v>
      </c>
      <c r="R550">
        <v>2004</v>
      </c>
      <c r="S550">
        <v>0.42857142857142855</v>
      </c>
    </row>
    <row r="551" spans="1:19" ht="15" customHeight="1" x14ac:dyDescent="0.2">
      <c r="A551" s="4">
        <v>1891</v>
      </c>
      <c r="B551" s="2" t="s">
        <v>7</v>
      </c>
      <c r="C551" s="2" t="s">
        <v>8</v>
      </c>
      <c r="D551" s="2" t="s">
        <v>9</v>
      </c>
      <c r="E551" s="2">
        <v>21297</v>
      </c>
      <c r="F551" s="3">
        <v>36494</v>
      </c>
      <c r="G551" s="4">
        <v>1720001000</v>
      </c>
      <c r="H551">
        <f t="shared" si="24"/>
        <v>309.5</v>
      </c>
      <c r="I551">
        <f t="shared" si="25"/>
        <v>7.1428571428571425E-2</v>
      </c>
      <c r="J551">
        <f t="shared" si="26"/>
        <v>22.107142857142858</v>
      </c>
      <c r="O551">
        <v>1912</v>
      </c>
      <c r="P551">
        <v>1212</v>
      </c>
      <c r="R551">
        <v>2005</v>
      </c>
      <c r="S551">
        <v>1</v>
      </c>
    </row>
    <row r="552" spans="1:19" ht="15" customHeight="1" x14ac:dyDescent="0.2">
      <c r="A552" s="4">
        <v>1892</v>
      </c>
      <c r="B552" s="2" t="s">
        <v>7</v>
      </c>
      <c r="C552" s="2" t="s">
        <v>8</v>
      </c>
      <c r="D552" s="2" t="s">
        <v>9</v>
      </c>
      <c r="E552" s="2">
        <v>21256</v>
      </c>
      <c r="F552" s="3">
        <v>36494</v>
      </c>
      <c r="G552" s="4">
        <v>2126001000</v>
      </c>
      <c r="H552">
        <f t="shared" si="24"/>
        <v>309.5</v>
      </c>
      <c r="I552">
        <f t="shared" si="25"/>
        <v>1.7142857142857142</v>
      </c>
      <c r="J552">
        <f t="shared" si="26"/>
        <v>530.57142857142856</v>
      </c>
      <c r="O552">
        <v>1913</v>
      </c>
      <c r="P552">
        <v>1212</v>
      </c>
      <c r="R552">
        <v>2013</v>
      </c>
      <c r="S552">
        <v>3.7142857142857144</v>
      </c>
    </row>
    <row r="553" spans="1:19" ht="26.1" customHeight="1" x14ac:dyDescent="0.2">
      <c r="A553" s="4">
        <v>1893</v>
      </c>
      <c r="B553" s="2" t="s">
        <v>11</v>
      </c>
      <c r="C553" s="2" t="s">
        <v>8</v>
      </c>
      <c r="D553" s="2" t="s">
        <v>9</v>
      </c>
      <c r="E553" s="2">
        <v>21245</v>
      </c>
      <c r="F553" s="3">
        <v>36494</v>
      </c>
      <c r="G553" s="4">
        <v>953011000</v>
      </c>
      <c r="H553">
        <f t="shared" si="24"/>
        <v>309.5</v>
      </c>
      <c r="I553">
        <f t="shared" si="25"/>
        <v>0.33333333333333331</v>
      </c>
      <c r="J553">
        <f t="shared" si="26"/>
        <v>103.16666666666666</v>
      </c>
      <c r="O553">
        <v>1915</v>
      </c>
      <c r="P553">
        <v>1212</v>
      </c>
      <c r="R553">
        <v>2017</v>
      </c>
      <c r="S553">
        <v>0.14285714285714285</v>
      </c>
    </row>
    <row r="554" spans="1:19" ht="15" customHeight="1" x14ac:dyDescent="0.2">
      <c r="A554" s="4">
        <v>1894</v>
      </c>
      <c r="B554" s="2" t="s">
        <v>13</v>
      </c>
      <c r="C554" s="2" t="s">
        <v>8</v>
      </c>
      <c r="D554" s="2" t="s">
        <v>18</v>
      </c>
      <c r="E554" s="2">
        <v>18424</v>
      </c>
      <c r="F554" s="3">
        <v>36596</v>
      </c>
      <c r="G554" s="4">
        <v>153002000</v>
      </c>
      <c r="H554">
        <f t="shared" si="24"/>
        <v>1212</v>
      </c>
      <c r="I554">
        <f t="shared" si="25"/>
        <v>0.33333333333333331</v>
      </c>
      <c r="J554">
        <f t="shared" si="26"/>
        <v>404</v>
      </c>
      <c r="O554">
        <v>1916</v>
      </c>
      <c r="P554">
        <v>1212</v>
      </c>
      <c r="R554">
        <v>2018</v>
      </c>
      <c r="S554">
        <v>0.2</v>
      </c>
    </row>
    <row r="555" spans="1:19" ht="15" customHeight="1" x14ac:dyDescent="0.2">
      <c r="A555" s="4">
        <v>1895</v>
      </c>
      <c r="B555" s="2" t="s">
        <v>13</v>
      </c>
      <c r="C555" s="2" t="s">
        <v>8</v>
      </c>
      <c r="D555" s="2" t="s">
        <v>20</v>
      </c>
      <c r="F555" s="3">
        <v>36573</v>
      </c>
      <c r="G555" s="4">
        <v>157005000</v>
      </c>
      <c r="H555">
        <f t="shared" si="24"/>
        <v>1212</v>
      </c>
      <c r="I555">
        <f t="shared" si="25"/>
        <v>2</v>
      </c>
      <c r="J555">
        <f t="shared" si="26"/>
        <v>2424</v>
      </c>
      <c r="O555">
        <v>1917</v>
      </c>
      <c r="P555">
        <v>1212</v>
      </c>
      <c r="R555">
        <v>2020</v>
      </c>
      <c r="S555">
        <v>0.2857142857142857</v>
      </c>
    </row>
    <row r="556" spans="1:19" ht="15" customHeight="1" x14ac:dyDescent="0.2">
      <c r="A556" s="4">
        <v>1896</v>
      </c>
      <c r="B556" s="2" t="s">
        <v>13</v>
      </c>
      <c r="C556" s="2" t="s">
        <v>8</v>
      </c>
      <c r="D556" s="2" t="s">
        <v>18</v>
      </c>
      <c r="E556" s="2">
        <v>18432</v>
      </c>
      <c r="F556" s="3">
        <v>36494</v>
      </c>
      <c r="G556" s="4">
        <v>1068013000</v>
      </c>
      <c r="H556">
        <f t="shared" si="24"/>
        <v>1212</v>
      </c>
      <c r="I556">
        <f t="shared" si="25"/>
        <v>2</v>
      </c>
      <c r="J556">
        <f t="shared" si="26"/>
        <v>2424</v>
      </c>
      <c r="O556">
        <v>1918</v>
      </c>
      <c r="P556">
        <v>1212</v>
      </c>
      <c r="R556">
        <v>2021</v>
      </c>
      <c r="S556">
        <v>0.14285714285714285</v>
      </c>
    </row>
    <row r="557" spans="1:19" ht="15" customHeight="1" x14ac:dyDescent="0.2">
      <c r="A557" s="4">
        <v>1897</v>
      </c>
      <c r="B557" s="2" t="s">
        <v>13</v>
      </c>
      <c r="C557" s="2" t="s">
        <v>8</v>
      </c>
      <c r="D557" s="2" t="s">
        <v>18</v>
      </c>
      <c r="E557" s="2">
        <v>18442</v>
      </c>
      <c r="F557" s="3">
        <v>36494</v>
      </c>
      <c r="G557" s="4">
        <v>3207012000</v>
      </c>
      <c r="H557">
        <f t="shared" si="24"/>
        <v>1212</v>
      </c>
      <c r="I557">
        <f t="shared" si="25"/>
        <v>0.2857142857142857</v>
      </c>
      <c r="J557">
        <f t="shared" si="26"/>
        <v>346.28571428571428</v>
      </c>
      <c r="O557">
        <v>1919</v>
      </c>
      <c r="P557">
        <v>1212</v>
      </c>
      <c r="R557">
        <v>2026</v>
      </c>
      <c r="S557">
        <v>0.2857142857142857</v>
      </c>
    </row>
    <row r="558" spans="1:19" ht="15" customHeight="1" x14ac:dyDescent="0.2">
      <c r="A558" s="4">
        <v>1899</v>
      </c>
      <c r="B558" s="2" t="s">
        <v>79</v>
      </c>
      <c r="C558" s="2" t="s">
        <v>80</v>
      </c>
      <c r="D558" s="2" t="s">
        <v>101</v>
      </c>
      <c r="F558" s="3">
        <v>36167</v>
      </c>
      <c r="G558" s="4">
        <v>1014002</v>
      </c>
      <c r="H558">
        <f t="shared" si="24"/>
        <v>1212</v>
      </c>
      <c r="I558">
        <f t="shared" si="25"/>
        <v>0.2857142857142857</v>
      </c>
      <c r="J558">
        <f t="shared" si="26"/>
        <v>346.28571428571428</v>
      </c>
      <c r="O558">
        <v>1920</v>
      </c>
      <c r="P558">
        <v>1212</v>
      </c>
      <c r="R558">
        <v>2027</v>
      </c>
      <c r="S558">
        <v>7.1428571428571425E-2</v>
      </c>
    </row>
    <row r="559" spans="1:19" ht="26.1" customHeight="1" x14ac:dyDescent="0.2">
      <c r="A559" s="4">
        <v>1900</v>
      </c>
      <c r="B559" s="2" t="s">
        <v>106</v>
      </c>
      <c r="C559" s="2" t="s">
        <v>107</v>
      </c>
      <c r="D559" s="2" t="s">
        <v>108</v>
      </c>
      <c r="F559" s="3">
        <v>35905</v>
      </c>
      <c r="G559" s="4">
        <v>2514001000</v>
      </c>
      <c r="H559">
        <f t="shared" si="24"/>
        <v>3600</v>
      </c>
      <c r="I559">
        <f t="shared" si="25"/>
        <v>0.42857142857142855</v>
      </c>
      <c r="J559">
        <f t="shared" si="26"/>
        <v>1542.8571428571427</v>
      </c>
      <c r="O559">
        <v>1921</v>
      </c>
      <c r="P559">
        <v>1212</v>
      </c>
      <c r="R559">
        <v>2030</v>
      </c>
      <c r="S559">
        <v>1</v>
      </c>
    </row>
    <row r="560" spans="1:19" ht="15" customHeight="1" x14ac:dyDescent="0.2">
      <c r="A560" s="4">
        <v>1902</v>
      </c>
      <c r="B560" s="2" t="s">
        <v>7</v>
      </c>
      <c r="C560" s="2" t="s">
        <v>8</v>
      </c>
      <c r="D560" s="2" t="s">
        <v>9</v>
      </c>
      <c r="E560" s="2">
        <v>21591</v>
      </c>
      <c r="F560" s="3">
        <v>36602</v>
      </c>
      <c r="G560" s="4">
        <v>1023000</v>
      </c>
      <c r="H560">
        <f t="shared" si="24"/>
        <v>309.5</v>
      </c>
      <c r="I560">
        <f t="shared" si="25"/>
        <v>0.42857142857142855</v>
      </c>
      <c r="J560">
        <f t="shared" si="26"/>
        <v>132.64285714285714</v>
      </c>
      <c r="O560">
        <v>1924</v>
      </c>
      <c r="P560">
        <v>1212</v>
      </c>
      <c r="R560">
        <v>2036</v>
      </c>
      <c r="S560">
        <v>1.3333333333333333</v>
      </c>
    </row>
    <row r="561" spans="1:19" ht="15" customHeight="1" x14ac:dyDescent="0.2">
      <c r="A561" s="4">
        <v>1906</v>
      </c>
      <c r="B561" s="2" t="s">
        <v>7</v>
      </c>
      <c r="C561" s="2" t="s">
        <v>8</v>
      </c>
      <c r="D561" s="2" t="s">
        <v>9</v>
      </c>
      <c r="E561" s="2">
        <v>21593</v>
      </c>
      <c r="F561" s="3">
        <v>36602</v>
      </c>
      <c r="G561" s="4">
        <v>3042036001</v>
      </c>
      <c r="H561">
        <f t="shared" si="24"/>
        <v>309.5</v>
      </c>
      <c r="I561">
        <f t="shared" si="25"/>
        <v>0.2857142857142857</v>
      </c>
      <c r="J561">
        <f t="shared" si="26"/>
        <v>88.428571428571431</v>
      </c>
      <c r="O561">
        <v>1925</v>
      </c>
      <c r="P561">
        <v>1212</v>
      </c>
      <c r="R561">
        <v>2037</v>
      </c>
      <c r="S561">
        <v>0.5</v>
      </c>
    </row>
    <row r="562" spans="1:19" ht="15" customHeight="1" x14ac:dyDescent="0.2">
      <c r="A562" s="4">
        <v>1908</v>
      </c>
      <c r="B562" s="2" t="s">
        <v>7</v>
      </c>
      <c r="C562" s="2" t="s">
        <v>8</v>
      </c>
      <c r="D562" s="2" t="s">
        <v>9</v>
      </c>
      <c r="E562" s="2">
        <v>21592</v>
      </c>
      <c r="F562" s="3">
        <v>36602</v>
      </c>
      <c r="G562" s="4">
        <v>43001000</v>
      </c>
      <c r="H562">
        <f t="shared" si="24"/>
        <v>309.5</v>
      </c>
      <c r="I562">
        <f t="shared" si="25"/>
        <v>0.5714285714285714</v>
      </c>
      <c r="J562">
        <f t="shared" si="26"/>
        <v>176.85714285714286</v>
      </c>
      <c r="O562">
        <v>1926</v>
      </c>
      <c r="P562">
        <v>1212</v>
      </c>
      <c r="R562">
        <v>2040</v>
      </c>
      <c r="S562">
        <v>0.14285714285714285</v>
      </c>
    </row>
    <row r="563" spans="1:19" ht="15" customHeight="1" x14ac:dyDescent="0.2">
      <c r="A563" s="4">
        <v>1909</v>
      </c>
      <c r="B563" s="2" t="s">
        <v>7</v>
      </c>
      <c r="C563" s="2" t="s">
        <v>8</v>
      </c>
      <c r="D563" s="2" t="s">
        <v>9</v>
      </c>
      <c r="E563" s="2">
        <v>21516</v>
      </c>
      <c r="F563" s="3">
        <v>36602</v>
      </c>
      <c r="G563" s="4">
        <v>2126001000</v>
      </c>
      <c r="H563">
        <f t="shared" si="24"/>
        <v>309.5</v>
      </c>
      <c r="I563">
        <f t="shared" si="25"/>
        <v>1.4285714285714286</v>
      </c>
      <c r="J563">
        <f t="shared" si="26"/>
        <v>442.14285714285717</v>
      </c>
      <c r="O563">
        <v>1935</v>
      </c>
      <c r="P563">
        <v>309.5</v>
      </c>
      <c r="R563">
        <v>2041</v>
      </c>
      <c r="S563">
        <v>0.2857142857142857</v>
      </c>
    </row>
    <row r="564" spans="1:19" ht="15" customHeight="1" x14ac:dyDescent="0.2">
      <c r="A564" s="4">
        <v>1910</v>
      </c>
      <c r="B564" s="2" t="s">
        <v>7</v>
      </c>
      <c r="C564" s="2" t="s">
        <v>8</v>
      </c>
      <c r="D564" s="2" t="s">
        <v>9</v>
      </c>
      <c r="E564" s="2">
        <v>21589</v>
      </c>
      <c r="F564" s="3">
        <v>36602</v>
      </c>
      <c r="G564" s="4">
        <v>3127001000</v>
      </c>
      <c r="H564">
        <f t="shared" si="24"/>
        <v>309.5</v>
      </c>
      <c r="I564">
        <f t="shared" si="25"/>
        <v>1.4285714285714286</v>
      </c>
      <c r="J564">
        <f t="shared" si="26"/>
        <v>442.14285714285717</v>
      </c>
      <c r="O564">
        <v>1936</v>
      </c>
      <c r="P564">
        <v>309.5</v>
      </c>
      <c r="R564">
        <v>2042</v>
      </c>
      <c r="S564">
        <v>0.14285714285714285</v>
      </c>
    </row>
    <row r="565" spans="1:19" ht="15" customHeight="1" x14ac:dyDescent="0.2">
      <c r="A565" s="4">
        <v>1911</v>
      </c>
      <c r="B565" s="2" t="s">
        <v>7</v>
      </c>
      <c r="C565" s="2" t="s">
        <v>8</v>
      </c>
      <c r="D565" s="2" t="s">
        <v>9</v>
      </c>
      <c r="E565" s="2">
        <v>21588</v>
      </c>
      <c r="F565" s="3">
        <v>36602</v>
      </c>
      <c r="G565" s="4">
        <v>61007000</v>
      </c>
      <c r="H565">
        <f t="shared" si="24"/>
        <v>309.5</v>
      </c>
      <c r="I565">
        <f t="shared" si="25"/>
        <v>1</v>
      </c>
      <c r="J565">
        <f t="shared" si="26"/>
        <v>309.5</v>
      </c>
      <c r="O565">
        <v>1937</v>
      </c>
      <c r="P565">
        <v>309.5</v>
      </c>
      <c r="R565">
        <v>2046</v>
      </c>
      <c r="S565">
        <v>1</v>
      </c>
    </row>
    <row r="566" spans="1:19" ht="39.200000000000003" customHeight="1" x14ac:dyDescent="0.2">
      <c r="A566" s="4">
        <v>1912</v>
      </c>
      <c r="B566" s="2" t="s">
        <v>13</v>
      </c>
      <c r="C566" s="2" t="s">
        <v>8</v>
      </c>
      <c r="D566" s="2" t="s">
        <v>18</v>
      </c>
      <c r="E566" s="2">
        <v>1111111111111</v>
      </c>
      <c r="F566" s="3">
        <v>25570</v>
      </c>
      <c r="G566" s="4">
        <v>3116001000</v>
      </c>
      <c r="H566">
        <f t="shared" si="24"/>
        <v>1212</v>
      </c>
      <c r="I566">
        <f t="shared" si="25"/>
        <v>1</v>
      </c>
      <c r="J566">
        <f t="shared" si="26"/>
        <v>1212</v>
      </c>
      <c r="O566">
        <v>1938</v>
      </c>
      <c r="P566">
        <v>309.5</v>
      </c>
      <c r="R566">
        <v>2047</v>
      </c>
      <c r="S566">
        <v>0.1</v>
      </c>
    </row>
    <row r="567" spans="1:19" ht="15" customHeight="1" x14ac:dyDescent="0.2">
      <c r="A567" s="4">
        <v>1913</v>
      </c>
      <c r="B567" s="2" t="s">
        <v>13</v>
      </c>
      <c r="C567" s="2" t="s">
        <v>8</v>
      </c>
      <c r="D567" s="2" t="s">
        <v>18</v>
      </c>
      <c r="E567" s="2">
        <v>18662</v>
      </c>
      <c r="F567" s="3">
        <v>36602</v>
      </c>
      <c r="G567" s="4">
        <v>3042058002</v>
      </c>
      <c r="H567">
        <f t="shared" si="24"/>
        <v>1212</v>
      </c>
      <c r="I567">
        <f t="shared" si="25"/>
        <v>0.42857142857142855</v>
      </c>
      <c r="J567">
        <f t="shared" si="26"/>
        <v>519.42857142857144</v>
      </c>
      <c r="O567">
        <v>1939</v>
      </c>
      <c r="P567">
        <v>309.5</v>
      </c>
      <c r="R567">
        <v>2049</v>
      </c>
      <c r="S567">
        <v>6</v>
      </c>
    </row>
    <row r="568" spans="1:19" ht="15" customHeight="1" x14ac:dyDescent="0.2">
      <c r="A568" s="4">
        <v>1915</v>
      </c>
      <c r="B568" s="2" t="s">
        <v>13</v>
      </c>
      <c r="C568" s="2" t="s">
        <v>8</v>
      </c>
      <c r="D568" s="2" t="s">
        <v>18</v>
      </c>
      <c r="E568" s="2">
        <v>18666</v>
      </c>
      <c r="F568" s="3">
        <v>36602</v>
      </c>
      <c r="G568" s="4">
        <v>3042096001</v>
      </c>
      <c r="H568">
        <f t="shared" si="24"/>
        <v>1212</v>
      </c>
      <c r="I568">
        <f t="shared" si="25"/>
        <v>0.2857142857142857</v>
      </c>
      <c r="J568">
        <f t="shared" si="26"/>
        <v>346.28571428571428</v>
      </c>
      <c r="O568">
        <v>1940</v>
      </c>
      <c r="P568">
        <v>309.5</v>
      </c>
      <c r="R568">
        <v>2050</v>
      </c>
      <c r="S568">
        <v>0.5714285714285714</v>
      </c>
    </row>
    <row r="569" spans="1:19" ht="15" customHeight="1" x14ac:dyDescent="0.2">
      <c r="A569" s="4">
        <v>1916</v>
      </c>
      <c r="B569" s="2" t="s">
        <v>13</v>
      </c>
      <c r="C569" s="2" t="s">
        <v>8</v>
      </c>
      <c r="D569" s="2" t="s">
        <v>18</v>
      </c>
      <c r="E569" s="2">
        <v>18687</v>
      </c>
      <c r="F569" s="3">
        <v>36602</v>
      </c>
      <c r="G569" s="4">
        <v>2867001000</v>
      </c>
      <c r="H569">
        <f t="shared" si="24"/>
        <v>1212</v>
      </c>
      <c r="I569">
        <f t="shared" si="25"/>
        <v>1.111111111111111E-2</v>
      </c>
      <c r="J569">
        <f t="shared" si="26"/>
        <v>13.466666666666665</v>
      </c>
      <c r="O569">
        <v>1941</v>
      </c>
      <c r="P569">
        <v>309.5</v>
      </c>
      <c r="R569">
        <v>2051</v>
      </c>
      <c r="S569">
        <v>0.14285714285714285</v>
      </c>
    </row>
    <row r="570" spans="1:19" ht="15" customHeight="1" x14ac:dyDescent="0.2">
      <c r="A570" s="4">
        <v>1917</v>
      </c>
      <c r="B570" s="2" t="s">
        <v>13</v>
      </c>
      <c r="C570" s="2" t="s">
        <v>8</v>
      </c>
      <c r="D570" s="2" t="s">
        <v>18</v>
      </c>
      <c r="E570" s="2">
        <v>18652</v>
      </c>
      <c r="F570" s="3">
        <v>36602</v>
      </c>
      <c r="G570" s="4">
        <v>2814003000</v>
      </c>
      <c r="H570">
        <f t="shared" si="24"/>
        <v>1212</v>
      </c>
      <c r="I570">
        <f t="shared" si="25"/>
        <v>0.5714285714285714</v>
      </c>
      <c r="J570">
        <f t="shared" si="26"/>
        <v>692.57142857142856</v>
      </c>
      <c r="O570">
        <v>1942</v>
      </c>
      <c r="P570">
        <v>309.5</v>
      </c>
      <c r="R570">
        <v>2054</v>
      </c>
      <c r="S570">
        <v>3</v>
      </c>
    </row>
    <row r="571" spans="1:19" ht="15" customHeight="1" x14ac:dyDescent="0.2">
      <c r="A571" s="4">
        <v>1918</v>
      </c>
      <c r="B571" s="2" t="s">
        <v>13</v>
      </c>
      <c r="C571" s="2" t="s">
        <v>8</v>
      </c>
      <c r="D571" s="2" t="s">
        <v>18</v>
      </c>
      <c r="E571" s="2">
        <v>18686</v>
      </c>
      <c r="F571" s="3">
        <v>36602</v>
      </c>
      <c r="G571" s="4">
        <v>2675001000</v>
      </c>
      <c r="H571">
        <f t="shared" si="24"/>
        <v>1212</v>
      </c>
      <c r="I571">
        <f t="shared" si="25"/>
        <v>0.2857142857142857</v>
      </c>
      <c r="J571">
        <f t="shared" si="26"/>
        <v>346.28571428571428</v>
      </c>
      <c r="O571">
        <v>1943</v>
      </c>
      <c r="P571">
        <v>309.5</v>
      </c>
      <c r="R571">
        <v>2056</v>
      </c>
      <c r="S571">
        <v>0.21428571428571427</v>
      </c>
    </row>
    <row r="572" spans="1:19" ht="15" customHeight="1" x14ac:dyDescent="0.2">
      <c r="A572" s="4">
        <v>1919</v>
      </c>
      <c r="B572" s="2" t="s">
        <v>13</v>
      </c>
      <c r="C572" s="2" t="s">
        <v>8</v>
      </c>
      <c r="D572" s="2" t="s">
        <v>18</v>
      </c>
      <c r="E572" s="2">
        <v>18664</v>
      </c>
      <c r="F572" s="3">
        <v>36602</v>
      </c>
      <c r="G572" s="4">
        <v>2552001000</v>
      </c>
      <c r="H572">
        <f t="shared" si="24"/>
        <v>1212</v>
      </c>
      <c r="I572">
        <f t="shared" si="25"/>
        <v>0.2857142857142857</v>
      </c>
      <c r="J572">
        <f t="shared" si="26"/>
        <v>346.28571428571428</v>
      </c>
      <c r="O572">
        <v>1945</v>
      </c>
      <c r="P572">
        <v>309.5</v>
      </c>
      <c r="R572">
        <v>2057</v>
      </c>
      <c r="S572">
        <v>0.5714285714285714</v>
      </c>
    </row>
    <row r="573" spans="1:19" ht="15" customHeight="1" x14ac:dyDescent="0.2">
      <c r="A573" s="4">
        <v>1920</v>
      </c>
      <c r="B573" s="2" t="s">
        <v>13</v>
      </c>
      <c r="C573" s="2" t="s">
        <v>8</v>
      </c>
      <c r="D573" s="2" t="s">
        <v>18</v>
      </c>
      <c r="E573" s="2">
        <v>18681</v>
      </c>
      <c r="F573" s="3">
        <v>36602</v>
      </c>
      <c r="G573" s="4">
        <v>1068010000</v>
      </c>
      <c r="H573">
        <f t="shared" si="24"/>
        <v>1212</v>
      </c>
      <c r="I573">
        <f t="shared" si="25"/>
        <v>4</v>
      </c>
      <c r="J573">
        <f t="shared" si="26"/>
        <v>4848</v>
      </c>
      <c r="O573">
        <v>1946</v>
      </c>
      <c r="P573">
        <v>1212</v>
      </c>
      <c r="R573">
        <v>2058</v>
      </c>
      <c r="S573">
        <v>0.1</v>
      </c>
    </row>
    <row r="574" spans="1:19" ht="15" customHeight="1" x14ac:dyDescent="0.2">
      <c r="A574" s="4">
        <v>1921</v>
      </c>
      <c r="B574" s="2" t="s">
        <v>13</v>
      </c>
      <c r="C574" s="2" t="s">
        <v>8</v>
      </c>
      <c r="D574" s="2" t="s">
        <v>18</v>
      </c>
      <c r="E574" s="2">
        <v>18654</v>
      </c>
      <c r="F574" s="3">
        <v>36602</v>
      </c>
      <c r="G574" s="4">
        <v>1165000000</v>
      </c>
      <c r="H574">
        <f t="shared" si="24"/>
        <v>1212</v>
      </c>
      <c r="I574">
        <f t="shared" si="25"/>
        <v>0.13333333333333333</v>
      </c>
      <c r="J574">
        <f t="shared" si="26"/>
        <v>161.6</v>
      </c>
      <c r="O574">
        <v>1949</v>
      </c>
      <c r="P574">
        <v>309.5</v>
      </c>
      <c r="R574">
        <v>2059</v>
      </c>
      <c r="S574">
        <v>0.2857142857142857</v>
      </c>
    </row>
    <row r="575" spans="1:19" ht="15" customHeight="1" x14ac:dyDescent="0.2">
      <c r="A575" s="4">
        <v>1924</v>
      </c>
      <c r="B575" s="2" t="s">
        <v>13</v>
      </c>
      <c r="C575" s="2" t="s">
        <v>8</v>
      </c>
      <c r="D575" s="2" t="s">
        <v>18</v>
      </c>
      <c r="E575" s="2">
        <v>18651</v>
      </c>
      <c r="F575" s="3">
        <v>36602</v>
      </c>
      <c r="G575" s="4">
        <v>3219001000</v>
      </c>
      <c r="H575">
        <f t="shared" si="24"/>
        <v>1212</v>
      </c>
      <c r="I575">
        <f t="shared" si="25"/>
        <v>0.13333333333333333</v>
      </c>
      <c r="J575">
        <f t="shared" si="26"/>
        <v>161.6</v>
      </c>
      <c r="O575">
        <v>1950</v>
      </c>
      <c r="P575">
        <v>309.5</v>
      </c>
      <c r="R575">
        <v>2062</v>
      </c>
      <c r="S575">
        <v>2</v>
      </c>
    </row>
    <row r="576" spans="1:19" ht="15" customHeight="1" x14ac:dyDescent="0.2">
      <c r="A576" s="4">
        <v>1925</v>
      </c>
      <c r="B576" s="2" t="s">
        <v>13</v>
      </c>
      <c r="C576" s="2" t="s">
        <v>8</v>
      </c>
      <c r="D576" s="2" t="s">
        <v>18</v>
      </c>
      <c r="E576" s="2">
        <v>18661</v>
      </c>
      <c r="F576" s="3">
        <v>36602</v>
      </c>
      <c r="G576" s="4">
        <v>2641003000</v>
      </c>
      <c r="H576">
        <f t="shared" si="24"/>
        <v>1212</v>
      </c>
      <c r="I576">
        <f t="shared" si="25"/>
        <v>0.5714285714285714</v>
      </c>
      <c r="J576">
        <f t="shared" si="26"/>
        <v>692.57142857142856</v>
      </c>
      <c r="O576">
        <v>1951</v>
      </c>
      <c r="P576">
        <v>461</v>
      </c>
      <c r="R576">
        <v>2063</v>
      </c>
      <c r="S576">
        <v>1.4285714285714286</v>
      </c>
    </row>
    <row r="577" spans="1:19" ht="15" customHeight="1" x14ac:dyDescent="0.2">
      <c r="A577" s="4">
        <v>1926</v>
      </c>
      <c r="B577" s="2" t="s">
        <v>13</v>
      </c>
      <c r="C577" s="2" t="s">
        <v>8</v>
      </c>
      <c r="D577" s="2" t="s">
        <v>18</v>
      </c>
      <c r="E577" s="2">
        <v>18677</v>
      </c>
      <c r="F577" s="3">
        <v>36602</v>
      </c>
      <c r="G577" s="4">
        <v>1014002</v>
      </c>
      <c r="H577">
        <f t="shared" si="24"/>
        <v>1212</v>
      </c>
      <c r="I577">
        <f t="shared" si="25"/>
        <v>10</v>
      </c>
      <c r="J577">
        <f t="shared" si="26"/>
        <v>12120</v>
      </c>
      <c r="O577">
        <v>1953</v>
      </c>
      <c r="P577">
        <v>461</v>
      </c>
      <c r="R577">
        <v>2071</v>
      </c>
      <c r="S577">
        <v>0.5714285714285714</v>
      </c>
    </row>
    <row r="578" spans="1:19" ht="15" customHeight="1" x14ac:dyDescent="0.2">
      <c r="A578" s="4">
        <v>1935</v>
      </c>
      <c r="B578" s="2" t="s">
        <v>7</v>
      </c>
      <c r="C578" s="2" t="s">
        <v>8</v>
      </c>
      <c r="D578" s="2" t="s">
        <v>9</v>
      </c>
      <c r="E578" s="2">
        <v>21690</v>
      </c>
      <c r="F578" s="3">
        <v>36646</v>
      </c>
      <c r="G578" s="4">
        <v>193012000</v>
      </c>
      <c r="H578">
        <f t="shared" ref="H578:H641" si="27">VLOOKUP(A578,O:P,2)</f>
        <v>309.5</v>
      </c>
      <c r="I578">
        <f t="shared" ref="I578:I641" si="28">VLOOKUP(A578,R:S,2)</f>
        <v>3</v>
      </c>
      <c r="J578">
        <f t="shared" ref="J578:J641" si="29">H578*I578</f>
        <v>928.5</v>
      </c>
      <c r="O578">
        <v>1954</v>
      </c>
      <c r="P578">
        <v>461</v>
      </c>
      <c r="R578">
        <v>2072</v>
      </c>
      <c r="S578">
        <v>1.4285714285714286</v>
      </c>
    </row>
    <row r="579" spans="1:19" ht="15" customHeight="1" x14ac:dyDescent="0.2">
      <c r="A579" s="4">
        <v>1936</v>
      </c>
      <c r="B579" s="2" t="s">
        <v>7</v>
      </c>
      <c r="C579" s="2" t="s">
        <v>8</v>
      </c>
      <c r="D579" s="2" t="s">
        <v>9</v>
      </c>
      <c r="E579" s="2">
        <v>21717</v>
      </c>
      <c r="F579" s="3">
        <v>36728</v>
      </c>
      <c r="G579" s="4">
        <v>153002000</v>
      </c>
      <c r="H579">
        <f t="shared" si="27"/>
        <v>309.5</v>
      </c>
      <c r="I579">
        <f t="shared" si="28"/>
        <v>0.1</v>
      </c>
      <c r="J579">
        <f t="shared" si="29"/>
        <v>30.950000000000003</v>
      </c>
      <c r="O579">
        <v>1955</v>
      </c>
      <c r="P579">
        <v>1212</v>
      </c>
      <c r="R579">
        <v>2074</v>
      </c>
      <c r="S579">
        <v>1</v>
      </c>
    </row>
    <row r="580" spans="1:19" ht="26.1" customHeight="1" x14ac:dyDescent="0.2">
      <c r="A580" s="4">
        <v>1937</v>
      </c>
      <c r="B580" s="2" t="s">
        <v>11</v>
      </c>
      <c r="C580" s="2" t="s">
        <v>8</v>
      </c>
      <c r="D580" s="2" t="s">
        <v>9</v>
      </c>
      <c r="E580" s="2">
        <v>21755</v>
      </c>
      <c r="F580" s="3">
        <v>36646</v>
      </c>
      <c r="G580" s="4">
        <v>1967012000</v>
      </c>
      <c r="H580">
        <f t="shared" si="27"/>
        <v>309.5</v>
      </c>
      <c r="I580">
        <f t="shared" si="28"/>
        <v>5</v>
      </c>
      <c r="J580">
        <f t="shared" si="29"/>
        <v>1547.5</v>
      </c>
      <c r="O580">
        <v>1956</v>
      </c>
      <c r="P580">
        <v>1212</v>
      </c>
      <c r="R580">
        <v>2076</v>
      </c>
      <c r="S580">
        <v>9.5238095238095233E-2</v>
      </c>
    </row>
    <row r="581" spans="1:19" ht="26.1" customHeight="1" x14ac:dyDescent="0.2">
      <c r="A581" s="4">
        <v>1938</v>
      </c>
      <c r="B581" s="2" t="s">
        <v>11</v>
      </c>
      <c r="C581" s="2" t="s">
        <v>8</v>
      </c>
      <c r="D581" s="2" t="s">
        <v>9</v>
      </c>
      <c r="E581" s="2">
        <v>21767</v>
      </c>
      <c r="F581" s="3">
        <v>36648</v>
      </c>
      <c r="G581" s="4">
        <v>2147001000</v>
      </c>
      <c r="H581">
        <f t="shared" si="27"/>
        <v>309.5</v>
      </c>
      <c r="I581">
        <f t="shared" si="28"/>
        <v>3</v>
      </c>
      <c r="J581">
        <f t="shared" si="29"/>
        <v>928.5</v>
      </c>
      <c r="O581">
        <v>1957</v>
      </c>
      <c r="P581">
        <v>1212</v>
      </c>
      <c r="R581">
        <v>2077</v>
      </c>
      <c r="S581">
        <v>0.5</v>
      </c>
    </row>
    <row r="582" spans="1:19" ht="15" customHeight="1" x14ac:dyDescent="0.2">
      <c r="A582" s="4">
        <v>1939</v>
      </c>
      <c r="B582" s="2" t="s">
        <v>7</v>
      </c>
      <c r="C582" s="2" t="s">
        <v>8</v>
      </c>
      <c r="D582" s="2" t="s">
        <v>9</v>
      </c>
      <c r="E582" s="2">
        <v>21760</v>
      </c>
      <c r="F582" s="3">
        <v>36648</v>
      </c>
      <c r="G582" s="4">
        <v>153002000</v>
      </c>
      <c r="H582">
        <f t="shared" si="27"/>
        <v>309.5</v>
      </c>
      <c r="I582">
        <f t="shared" si="28"/>
        <v>0.4</v>
      </c>
      <c r="J582">
        <f t="shared" si="29"/>
        <v>123.80000000000001</v>
      </c>
      <c r="O582">
        <v>1958</v>
      </c>
      <c r="P582">
        <v>1212</v>
      </c>
      <c r="R582">
        <v>2078</v>
      </c>
      <c r="S582">
        <v>0.26666666666666666</v>
      </c>
    </row>
    <row r="583" spans="1:19" ht="15" customHeight="1" x14ac:dyDescent="0.2">
      <c r="A583" s="4">
        <v>1940</v>
      </c>
      <c r="B583" s="2" t="s">
        <v>7</v>
      </c>
      <c r="C583" s="2" t="s">
        <v>8</v>
      </c>
      <c r="D583" s="2" t="s">
        <v>9</v>
      </c>
      <c r="E583" s="2">
        <v>21752</v>
      </c>
      <c r="F583" s="3">
        <v>36648</v>
      </c>
      <c r="G583" s="4">
        <v>2126001000</v>
      </c>
      <c r="H583">
        <f t="shared" si="27"/>
        <v>309.5</v>
      </c>
      <c r="I583">
        <f t="shared" si="28"/>
        <v>1.4285714285714286</v>
      </c>
      <c r="J583">
        <f t="shared" si="29"/>
        <v>442.14285714285717</v>
      </c>
      <c r="O583">
        <v>1965</v>
      </c>
      <c r="P583">
        <v>461</v>
      </c>
      <c r="R583">
        <v>2079</v>
      </c>
      <c r="S583">
        <v>0.14285714285714285</v>
      </c>
    </row>
    <row r="584" spans="1:19" ht="15" customHeight="1" x14ac:dyDescent="0.2">
      <c r="A584" s="4">
        <v>1941</v>
      </c>
      <c r="B584" s="2" t="s">
        <v>7</v>
      </c>
      <c r="C584" s="2" t="s">
        <v>8</v>
      </c>
      <c r="D584" s="2" t="s">
        <v>9</v>
      </c>
      <c r="E584" s="2">
        <v>21770</v>
      </c>
      <c r="F584" s="3">
        <v>36648</v>
      </c>
      <c r="G584" s="4">
        <v>3319001000</v>
      </c>
      <c r="H584">
        <f t="shared" si="27"/>
        <v>309.5</v>
      </c>
      <c r="I584">
        <f t="shared" si="28"/>
        <v>0.66666666666666663</v>
      </c>
      <c r="J584">
        <f t="shared" si="29"/>
        <v>206.33333333333331</v>
      </c>
      <c r="O584">
        <v>1968</v>
      </c>
      <c r="P584">
        <v>1212</v>
      </c>
      <c r="R584">
        <v>2081</v>
      </c>
      <c r="S584">
        <v>0.66666666666666663</v>
      </c>
    </row>
    <row r="585" spans="1:19" ht="15" customHeight="1" x14ac:dyDescent="0.2">
      <c r="A585" s="4">
        <v>1942</v>
      </c>
      <c r="B585" s="2" t="s">
        <v>7</v>
      </c>
      <c r="C585" s="2" t="s">
        <v>8</v>
      </c>
      <c r="D585" s="2" t="s">
        <v>9</v>
      </c>
      <c r="E585" s="2">
        <v>21691</v>
      </c>
      <c r="F585" s="3">
        <v>36648</v>
      </c>
      <c r="G585" s="4">
        <v>1406001000</v>
      </c>
      <c r="H585">
        <f t="shared" si="27"/>
        <v>309.5</v>
      </c>
      <c r="I585">
        <f t="shared" si="28"/>
        <v>0.2857142857142857</v>
      </c>
      <c r="J585">
        <f t="shared" si="29"/>
        <v>88.428571428571431</v>
      </c>
      <c r="O585">
        <v>1969</v>
      </c>
      <c r="P585">
        <v>1212</v>
      </c>
      <c r="R585">
        <v>2083</v>
      </c>
      <c r="S585">
        <v>0.33333333333333331</v>
      </c>
    </row>
    <row r="586" spans="1:19" ht="26.1" customHeight="1" x14ac:dyDescent="0.2">
      <c r="A586" s="4">
        <v>1943</v>
      </c>
      <c r="B586" s="2" t="s">
        <v>11</v>
      </c>
      <c r="C586" s="2" t="s">
        <v>8</v>
      </c>
      <c r="D586" s="2" t="s">
        <v>9</v>
      </c>
      <c r="E586" s="2">
        <v>21761</v>
      </c>
      <c r="F586" s="3">
        <v>36648</v>
      </c>
      <c r="G586" s="4">
        <v>2994001000</v>
      </c>
      <c r="H586">
        <f t="shared" si="27"/>
        <v>309.5</v>
      </c>
      <c r="I586">
        <f t="shared" si="28"/>
        <v>0.5</v>
      </c>
      <c r="J586">
        <f t="shared" si="29"/>
        <v>154.75</v>
      </c>
      <c r="O586">
        <v>1971</v>
      </c>
      <c r="P586">
        <v>461</v>
      </c>
      <c r="R586">
        <v>2084</v>
      </c>
      <c r="S586">
        <v>0.14285714285714285</v>
      </c>
    </row>
    <row r="587" spans="1:19" ht="26.1" customHeight="1" x14ac:dyDescent="0.2">
      <c r="A587" s="4">
        <v>1945</v>
      </c>
      <c r="B587" s="2" t="s">
        <v>11</v>
      </c>
      <c r="C587" s="2" t="s">
        <v>8</v>
      </c>
      <c r="D587" s="2" t="s">
        <v>9</v>
      </c>
      <c r="E587" s="2">
        <v>21756</v>
      </c>
      <c r="F587" s="3">
        <v>36648</v>
      </c>
      <c r="G587" s="4">
        <v>3134001000</v>
      </c>
      <c r="H587">
        <f t="shared" si="27"/>
        <v>309.5</v>
      </c>
      <c r="I587">
        <f t="shared" si="28"/>
        <v>0.1</v>
      </c>
      <c r="J587">
        <f t="shared" si="29"/>
        <v>30.950000000000003</v>
      </c>
      <c r="O587">
        <v>1972</v>
      </c>
      <c r="P587">
        <v>1212</v>
      </c>
      <c r="R587">
        <v>2092</v>
      </c>
      <c r="S587">
        <v>0.14285714285714285</v>
      </c>
    </row>
    <row r="588" spans="1:19" ht="26.1" customHeight="1" x14ac:dyDescent="0.2">
      <c r="A588" s="4">
        <v>1946</v>
      </c>
      <c r="B588" s="2" t="s">
        <v>7</v>
      </c>
      <c r="C588" s="2" t="s">
        <v>8</v>
      </c>
      <c r="D588" s="2" t="s">
        <v>10</v>
      </c>
      <c r="E588" s="2">
        <v>111111111</v>
      </c>
      <c r="F588" s="3">
        <v>36658</v>
      </c>
      <c r="G588" s="4">
        <v>3152001000</v>
      </c>
      <c r="H588">
        <f t="shared" si="27"/>
        <v>1212</v>
      </c>
      <c r="I588">
        <f t="shared" si="28"/>
        <v>0.14285714285714285</v>
      </c>
      <c r="J588">
        <f t="shared" si="29"/>
        <v>173.14285714285714</v>
      </c>
      <c r="O588">
        <v>1977</v>
      </c>
      <c r="P588">
        <v>461</v>
      </c>
      <c r="R588">
        <v>2110</v>
      </c>
      <c r="S588">
        <v>0.2857142857142857</v>
      </c>
    </row>
    <row r="589" spans="1:19" ht="15" customHeight="1" x14ac:dyDescent="0.2">
      <c r="A589" s="4">
        <v>1949</v>
      </c>
      <c r="B589" s="2" t="s">
        <v>7</v>
      </c>
      <c r="C589" s="2" t="s">
        <v>8</v>
      </c>
      <c r="D589" s="2" t="s">
        <v>9</v>
      </c>
      <c r="E589" s="2">
        <v>21754</v>
      </c>
      <c r="F589" s="3">
        <v>36648</v>
      </c>
      <c r="G589" s="4">
        <v>3279001000</v>
      </c>
      <c r="H589">
        <f t="shared" si="27"/>
        <v>309.5</v>
      </c>
      <c r="I589">
        <f t="shared" si="28"/>
        <v>0.53333333333333333</v>
      </c>
      <c r="J589">
        <f t="shared" si="29"/>
        <v>165.06666666666666</v>
      </c>
      <c r="O589">
        <v>1978</v>
      </c>
      <c r="P589">
        <v>461</v>
      </c>
      <c r="R589">
        <v>2111</v>
      </c>
      <c r="S589">
        <v>7.1428571428571425E-2</v>
      </c>
    </row>
    <row r="590" spans="1:19" ht="15" customHeight="1" x14ac:dyDescent="0.2">
      <c r="A590" s="4">
        <v>1950</v>
      </c>
      <c r="B590" s="2" t="s">
        <v>7</v>
      </c>
      <c r="C590" s="2" t="s">
        <v>8</v>
      </c>
      <c r="D590" s="2" t="s">
        <v>9</v>
      </c>
      <c r="E590" s="2">
        <v>21710</v>
      </c>
      <c r="F590" s="3">
        <v>36648</v>
      </c>
      <c r="G590" s="4">
        <v>2126001000</v>
      </c>
      <c r="H590">
        <f t="shared" si="27"/>
        <v>309.5</v>
      </c>
      <c r="I590">
        <f t="shared" si="28"/>
        <v>0.53333333333333333</v>
      </c>
      <c r="J590">
        <f t="shared" si="29"/>
        <v>165.06666666666666</v>
      </c>
      <c r="O590">
        <v>1979</v>
      </c>
      <c r="P590">
        <v>461</v>
      </c>
      <c r="R590">
        <v>2112</v>
      </c>
      <c r="S590">
        <v>0.66666666666666663</v>
      </c>
    </row>
    <row r="591" spans="1:19" ht="15" customHeight="1" x14ac:dyDescent="0.2">
      <c r="A591" s="4">
        <v>1951</v>
      </c>
      <c r="B591" s="2" t="s">
        <v>7</v>
      </c>
      <c r="C591" s="2" t="s">
        <v>8</v>
      </c>
      <c r="D591" s="2" t="s">
        <v>17</v>
      </c>
      <c r="E591" s="2">
        <v>21671</v>
      </c>
      <c r="F591" s="3">
        <v>36648</v>
      </c>
      <c r="G591" s="4">
        <v>529001000</v>
      </c>
      <c r="H591">
        <f t="shared" si="27"/>
        <v>461</v>
      </c>
      <c r="I591">
        <f t="shared" si="28"/>
        <v>0.53333333333333333</v>
      </c>
      <c r="J591">
        <f t="shared" si="29"/>
        <v>245.86666666666667</v>
      </c>
      <c r="O591">
        <v>1980</v>
      </c>
      <c r="P591">
        <v>461</v>
      </c>
      <c r="R591">
        <v>2128</v>
      </c>
      <c r="S591">
        <v>0.66666666666666663</v>
      </c>
    </row>
    <row r="592" spans="1:19" ht="15" customHeight="1" x14ac:dyDescent="0.2">
      <c r="A592" s="4">
        <v>1953</v>
      </c>
      <c r="B592" s="2" t="s">
        <v>7</v>
      </c>
      <c r="C592" s="2" t="s">
        <v>8</v>
      </c>
      <c r="D592" s="2" t="s">
        <v>17</v>
      </c>
      <c r="E592" s="2">
        <v>21730</v>
      </c>
      <c r="F592" s="3">
        <v>36648</v>
      </c>
      <c r="G592" s="4">
        <v>1848001000</v>
      </c>
      <c r="H592">
        <f t="shared" si="27"/>
        <v>461</v>
      </c>
      <c r="I592">
        <f t="shared" si="28"/>
        <v>1</v>
      </c>
      <c r="J592">
        <f t="shared" si="29"/>
        <v>461</v>
      </c>
      <c r="O592">
        <v>1982</v>
      </c>
      <c r="P592">
        <v>1212</v>
      </c>
      <c r="R592">
        <v>2134</v>
      </c>
      <c r="S592">
        <v>0.5714285714285714</v>
      </c>
    </row>
    <row r="593" spans="1:19" ht="15" customHeight="1" x14ac:dyDescent="0.2">
      <c r="A593" s="4">
        <v>1954</v>
      </c>
      <c r="B593" s="2" t="s">
        <v>7</v>
      </c>
      <c r="C593" s="2" t="s">
        <v>8</v>
      </c>
      <c r="D593" s="2" t="s">
        <v>17</v>
      </c>
      <c r="E593" s="2">
        <v>21787</v>
      </c>
      <c r="F593" s="3">
        <v>36648</v>
      </c>
      <c r="G593" s="4">
        <v>1014001</v>
      </c>
      <c r="H593">
        <f t="shared" si="27"/>
        <v>461</v>
      </c>
      <c r="I593">
        <f t="shared" si="28"/>
        <v>0.13333333333333333</v>
      </c>
      <c r="J593">
        <f t="shared" si="29"/>
        <v>61.466666666666669</v>
      </c>
      <c r="O593">
        <v>1984</v>
      </c>
      <c r="P593">
        <v>1212</v>
      </c>
      <c r="R593">
        <v>2153</v>
      </c>
      <c r="S593">
        <v>2</v>
      </c>
    </row>
    <row r="594" spans="1:19" ht="15" customHeight="1" x14ac:dyDescent="0.2">
      <c r="A594" s="4">
        <v>1955</v>
      </c>
      <c r="B594" s="2" t="s">
        <v>13</v>
      </c>
      <c r="C594" s="2" t="s">
        <v>8</v>
      </c>
      <c r="D594" s="2" t="s">
        <v>18</v>
      </c>
      <c r="E594" s="2">
        <v>18900</v>
      </c>
      <c r="F594" s="3">
        <v>36648</v>
      </c>
      <c r="G594" s="4">
        <v>1967007000</v>
      </c>
      <c r="H594">
        <f t="shared" si="27"/>
        <v>1212</v>
      </c>
      <c r="I594">
        <f t="shared" si="28"/>
        <v>0.13333333333333333</v>
      </c>
      <c r="J594">
        <f t="shared" si="29"/>
        <v>161.6</v>
      </c>
      <c r="O594">
        <v>1985</v>
      </c>
      <c r="P594">
        <v>1212</v>
      </c>
      <c r="R594">
        <v>2182</v>
      </c>
      <c r="S594">
        <v>0.2857142857142857</v>
      </c>
    </row>
    <row r="595" spans="1:19" ht="15" customHeight="1" x14ac:dyDescent="0.2">
      <c r="A595" s="4">
        <v>1956</v>
      </c>
      <c r="B595" s="2" t="s">
        <v>13</v>
      </c>
      <c r="C595" s="2" t="s">
        <v>8</v>
      </c>
      <c r="D595" s="2" t="s">
        <v>18</v>
      </c>
      <c r="E595" s="2">
        <v>18891</v>
      </c>
      <c r="F595" s="3">
        <v>36648</v>
      </c>
      <c r="G595" s="4">
        <v>3134001000</v>
      </c>
      <c r="H595">
        <f t="shared" si="27"/>
        <v>1212</v>
      </c>
      <c r="I595">
        <f t="shared" si="28"/>
        <v>0.66666666666666663</v>
      </c>
      <c r="J595">
        <f t="shared" si="29"/>
        <v>808</v>
      </c>
      <c r="O595">
        <v>2003</v>
      </c>
      <c r="P595">
        <v>1154</v>
      </c>
      <c r="R595">
        <v>2183</v>
      </c>
      <c r="S595">
        <v>0.5714285714285714</v>
      </c>
    </row>
    <row r="596" spans="1:19" ht="15" customHeight="1" x14ac:dyDescent="0.2">
      <c r="A596" s="4">
        <v>1957</v>
      </c>
      <c r="B596" s="2" t="s">
        <v>13</v>
      </c>
      <c r="C596" s="2" t="s">
        <v>8</v>
      </c>
      <c r="D596" s="2" t="s">
        <v>18</v>
      </c>
      <c r="E596" s="2">
        <v>18904</v>
      </c>
      <c r="F596" s="3">
        <v>36648</v>
      </c>
      <c r="G596" s="4">
        <v>1014001</v>
      </c>
      <c r="H596">
        <f t="shared" si="27"/>
        <v>1212</v>
      </c>
      <c r="I596">
        <f t="shared" si="28"/>
        <v>6.6666666666666666E-2</v>
      </c>
      <c r="J596">
        <f t="shared" si="29"/>
        <v>80.8</v>
      </c>
      <c r="O596">
        <v>2004</v>
      </c>
      <c r="P596">
        <v>318.5</v>
      </c>
      <c r="R596">
        <v>2194</v>
      </c>
      <c r="S596">
        <v>1.4285714285714286</v>
      </c>
    </row>
    <row r="597" spans="1:19" ht="15" customHeight="1" x14ac:dyDescent="0.2">
      <c r="A597" s="4">
        <v>1958</v>
      </c>
      <c r="B597" s="2" t="s">
        <v>13</v>
      </c>
      <c r="C597" s="2" t="s">
        <v>8</v>
      </c>
      <c r="D597" s="2" t="s">
        <v>18</v>
      </c>
      <c r="E597" s="2">
        <v>18896</v>
      </c>
      <c r="F597" s="3">
        <v>36648</v>
      </c>
      <c r="G597" s="4">
        <v>3370002000</v>
      </c>
      <c r="H597">
        <f t="shared" si="27"/>
        <v>1212</v>
      </c>
      <c r="I597">
        <f t="shared" si="28"/>
        <v>2</v>
      </c>
      <c r="J597">
        <f t="shared" si="29"/>
        <v>2424</v>
      </c>
      <c r="O597">
        <v>2005</v>
      </c>
      <c r="P597">
        <v>1154</v>
      </c>
      <c r="R597">
        <v>2195</v>
      </c>
      <c r="S597">
        <v>0.5</v>
      </c>
    </row>
    <row r="598" spans="1:19" ht="15" customHeight="1" x14ac:dyDescent="0.2">
      <c r="A598" s="4">
        <v>1965</v>
      </c>
      <c r="B598" s="2" t="s">
        <v>7</v>
      </c>
      <c r="C598" s="2" t="s">
        <v>8</v>
      </c>
      <c r="D598" s="2" t="s">
        <v>17</v>
      </c>
      <c r="E598" s="2">
        <v>21776</v>
      </c>
      <c r="F598" s="3">
        <v>36665</v>
      </c>
      <c r="G598" s="4">
        <v>2867001000</v>
      </c>
      <c r="H598">
        <f t="shared" si="27"/>
        <v>461</v>
      </c>
      <c r="I598">
        <f t="shared" si="28"/>
        <v>2.222222222222222E-2</v>
      </c>
      <c r="J598">
        <f t="shared" si="29"/>
        <v>10.244444444444444</v>
      </c>
      <c r="O598">
        <v>2009</v>
      </c>
      <c r="P598">
        <v>765</v>
      </c>
      <c r="R598">
        <v>2196</v>
      </c>
      <c r="S598">
        <v>7.1428571428571425E-2</v>
      </c>
    </row>
    <row r="599" spans="1:19" ht="15" customHeight="1" x14ac:dyDescent="0.2">
      <c r="A599" s="4">
        <v>1968</v>
      </c>
      <c r="B599" s="2" t="s">
        <v>13</v>
      </c>
      <c r="C599" s="2" t="s">
        <v>8</v>
      </c>
      <c r="D599" s="2" t="s">
        <v>18</v>
      </c>
      <c r="E599" s="2">
        <v>18942</v>
      </c>
      <c r="F599" s="3">
        <v>36665</v>
      </c>
      <c r="G599" s="4">
        <v>2924001000</v>
      </c>
      <c r="H599">
        <f t="shared" si="27"/>
        <v>1212</v>
      </c>
      <c r="I599">
        <f t="shared" si="28"/>
        <v>2.222222222222222E-2</v>
      </c>
      <c r="J599">
        <f t="shared" si="29"/>
        <v>26.93333333333333</v>
      </c>
      <c r="O599">
        <v>2012</v>
      </c>
      <c r="P599">
        <v>765</v>
      </c>
      <c r="R599">
        <v>2200</v>
      </c>
      <c r="S599">
        <v>0.2857142857142857</v>
      </c>
    </row>
    <row r="600" spans="1:19" ht="15" customHeight="1" x14ac:dyDescent="0.2">
      <c r="A600" s="4">
        <v>1969</v>
      </c>
      <c r="B600" s="2" t="s">
        <v>13</v>
      </c>
      <c r="C600" s="2" t="s">
        <v>8</v>
      </c>
      <c r="D600" s="2" t="s">
        <v>18</v>
      </c>
      <c r="E600" s="2">
        <v>18971</v>
      </c>
      <c r="F600" s="3">
        <v>36665</v>
      </c>
      <c r="G600" s="4">
        <v>66011000</v>
      </c>
      <c r="H600">
        <f t="shared" si="27"/>
        <v>1212</v>
      </c>
      <c r="I600">
        <f t="shared" si="28"/>
        <v>0.14285714285714285</v>
      </c>
      <c r="J600">
        <f t="shared" si="29"/>
        <v>173.14285714285714</v>
      </c>
      <c r="O600">
        <v>2013</v>
      </c>
      <c r="P600">
        <v>765</v>
      </c>
      <c r="R600">
        <v>2201</v>
      </c>
      <c r="S600">
        <v>0.2857142857142857</v>
      </c>
    </row>
    <row r="601" spans="1:19" ht="15" customHeight="1" x14ac:dyDescent="0.2">
      <c r="A601" s="4">
        <v>1971</v>
      </c>
      <c r="B601" s="2" t="s">
        <v>7</v>
      </c>
      <c r="C601" s="2" t="s">
        <v>8</v>
      </c>
      <c r="D601" s="2" t="s">
        <v>17</v>
      </c>
      <c r="E601" s="2">
        <v>21799</v>
      </c>
      <c r="F601" s="3">
        <v>36648</v>
      </c>
      <c r="G601" s="4">
        <v>43003000</v>
      </c>
      <c r="H601">
        <f t="shared" si="27"/>
        <v>461</v>
      </c>
      <c r="I601">
        <f t="shared" si="28"/>
        <v>2</v>
      </c>
      <c r="J601">
        <f t="shared" si="29"/>
        <v>922</v>
      </c>
      <c r="O601">
        <v>2017</v>
      </c>
      <c r="P601">
        <v>765</v>
      </c>
      <c r="R601">
        <v>2203</v>
      </c>
      <c r="S601">
        <v>2</v>
      </c>
    </row>
    <row r="602" spans="1:19" ht="15" customHeight="1" x14ac:dyDescent="0.2">
      <c r="A602" s="4">
        <v>1972</v>
      </c>
      <c r="B602" s="2" t="s">
        <v>13</v>
      </c>
      <c r="C602" s="2" t="s">
        <v>8</v>
      </c>
      <c r="D602" s="2" t="s">
        <v>18</v>
      </c>
      <c r="E602" s="2">
        <v>18961</v>
      </c>
      <c r="F602" s="3">
        <v>36648</v>
      </c>
      <c r="G602" s="4">
        <v>2341001000</v>
      </c>
      <c r="H602">
        <f t="shared" si="27"/>
        <v>1212</v>
      </c>
      <c r="I602">
        <f t="shared" si="28"/>
        <v>0.26666666666666666</v>
      </c>
      <c r="J602">
        <f t="shared" si="29"/>
        <v>323.2</v>
      </c>
      <c r="O602">
        <v>2018</v>
      </c>
      <c r="P602">
        <v>765</v>
      </c>
      <c r="R602">
        <v>2205</v>
      </c>
      <c r="S602">
        <v>1.7142857142857142</v>
      </c>
    </row>
    <row r="603" spans="1:19" ht="15" customHeight="1" x14ac:dyDescent="0.2">
      <c r="A603" s="4">
        <v>1977</v>
      </c>
      <c r="B603" s="2" t="s">
        <v>7</v>
      </c>
      <c r="C603" s="2" t="s">
        <v>8</v>
      </c>
      <c r="D603" s="2" t="s">
        <v>17</v>
      </c>
      <c r="E603" s="2">
        <v>21938</v>
      </c>
      <c r="F603" s="3">
        <v>36684</v>
      </c>
      <c r="G603" s="4">
        <v>1014001</v>
      </c>
      <c r="H603">
        <f t="shared" si="27"/>
        <v>461</v>
      </c>
      <c r="I603">
        <f t="shared" si="28"/>
        <v>0.26666666666666666</v>
      </c>
      <c r="J603">
        <f t="shared" si="29"/>
        <v>122.93333333333334</v>
      </c>
      <c r="O603">
        <v>2020</v>
      </c>
      <c r="P603">
        <v>851</v>
      </c>
      <c r="R603">
        <v>2206</v>
      </c>
      <c r="S603">
        <v>0.14285714285714285</v>
      </c>
    </row>
    <row r="604" spans="1:19" ht="15" customHeight="1" x14ac:dyDescent="0.2">
      <c r="A604" s="4">
        <v>1978</v>
      </c>
      <c r="B604" s="2" t="s">
        <v>7</v>
      </c>
      <c r="C604" s="2" t="s">
        <v>8</v>
      </c>
      <c r="D604" s="2" t="s">
        <v>17</v>
      </c>
      <c r="E604" s="2">
        <v>21945</v>
      </c>
      <c r="F604" s="3">
        <v>36684</v>
      </c>
      <c r="G604" s="4">
        <v>1967007000</v>
      </c>
      <c r="H604">
        <f t="shared" si="27"/>
        <v>461</v>
      </c>
      <c r="I604">
        <f t="shared" si="28"/>
        <v>0.8571428571428571</v>
      </c>
      <c r="J604">
        <f t="shared" si="29"/>
        <v>395.14285714285711</v>
      </c>
      <c r="O604">
        <v>2021</v>
      </c>
      <c r="P604">
        <v>765</v>
      </c>
      <c r="R604">
        <v>2207</v>
      </c>
      <c r="S604">
        <v>2</v>
      </c>
    </row>
    <row r="605" spans="1:19" ht="15" customHeight="1" x14ac:dyDescent="0.2">
      <c r="A605" s="4">
        <v>1979</v>
      </c>
      <c r="B605" s="2" t="s">
        <v>7</v>
      </c>
      <c r="C605" s="2" t="s">
        <v>8</v>
      </c>
      <c r="D605" s="2" t="s">
        <v>17</v>
      </c>
      <c r="E605" s="2">
        <v>21937</v>
      </c>
      <c r="F605" s="3">
        <v>36684</v>
      </c>
      <c r="G605" s="4">
        <v>3219001000</v>
      </c>
      <c r="H605">
        <f t="shared" si="27"/>
        <v>461</v>
      </c>
      <c r="I605">
        <f t="shared" si="28"/>
        <v>0.26666666666666666</v>
      </c>
      <c r="J605">
        <f t="shared" si="29"/>
        <v>122.93333333333334</v>
      </c>
      <c r="O605">
        <v>2026</v>
      </c>
      <c r="P605">
        <v>765</v>
      </c>
      <c r="R605">
        <v>2208</v>
      </c>
      <c r="S605">
        <v>0.2857142857142857</v>
      </c>
    </row>
    <row r="606" spans="1:19" ht="15" customHeight="1" x14ac:dyDescent="0.2">
      <c r="A606" s="4">
        <v>1980</v>
      </c>
      <c r="B606" s="2" t="s">
        <v>7</v>
      </c>
      <c r="C606" s="2" t="s">
        <v>8</v>
      </c>
      <c r="D606" s="2" t="s">
        <v>17</v>
      </c>
      <c r="E606" s="2">
        <v>21940</v>
      </c>
      <c r="F606" s="3">
        <v>36684</v>
      </c>
      <c r="G606" s="4">
        <v>43001000</v>
      </c>
      <c r="H606">
        <f t="shared" si="27"/>
        <v>461</v>
      </c>
      <c r="I606">
        <f t="shared" si="28"/>
        <v>2</v>
      </c>
      <c r="J606">
        <f t="shared" si="29"/>
        <v>922</v>
      </c>
      <c r="O606">
        <v>2027</v>
      </c>
      <c r="P606">
        <v>765</v>
      </c>
      <c r="R606">
        <v>2210</v>
      </c>
      <c r="S606">
        <v>3</v>
      </c>
    </row>
    <row r="607" spans="1:19" ht="15" customHeight="1" x14ac:dyDescent="0.2">
      <c r="A607" s="4">
        <v>1982</v>
      </c>
      <c r="B607" s="2" t="s">
        <v>13</v>
      </c>
      <c r="C607" s="2" t="s">
        <v>8</v>
      </c>
      <c r="D607" s="2" t="s">
        <v>18</v>
      </c>
      <c r="E607" s="2">
        <v>18928</v>
      </c>
      <c r="F607" s="3">
        <v>36665</v>
      </c>
      <c r="G607" s="4">
        <v>1406010000</v>
      </c>
      <c r="H607">
        <f t="shared" si="27"/>
        <v>1212</v>
      </c>
      <c r="I607">
        <f t="shared" si="28"/>
        <v>0.14285714285714285</v>
      </c>
      <c r="J607">
        <f t="shared" si="29"/>
        <v>173.14285714285714</v>
      </c>
      <c r="O607">
        <v>2028</v>
      </c>
      <c r="P607">
        <v>765</v>
      </c>
      <c r="R607">
        <v>2211</v>
      </c>
      <c r="S607">
        <v>0.2857142857142857</v>
      </c>
    </row>
    <row r="608" spans="1:19" ht="15" customHeight="1" x14ac:dyDescent="0.2">
      <c r="A608" s="4">
        <v>1984</v>
      </c>
      <c r="B608" s="2" t="s">
        <v>13</v>
      </c>
      <c r="C608" s="2" t="s">
        <v>8</v>
      </c>
      <c r="D608" s="2" t="s">
        <v>20</v>
      </c>
      <c r="E608" s="2">
        <v>12345</v>
      </c>
      <c r="F608" s="3">
        <v>36665</v>
      </c>
      <c r="G608" s="4">
        <v>3116001000</v>
      </c>
      <c r="H608">
        <f t="shared" si="27"/>
        <v>1212</v>
      </c>
      <c r="I608">
        <f t="shared" si="28"/>
        <v>2</v>
      </c>
      <c r="J608">
        <f t="shared" si="29"/>
        <v>2424</v>
      </c>
      <c r="O608">
        <v>2030</v>
      </c>
      <c r="P608">
        <v>765</v>
      </c>
      <c r="R608">
        <v>2212</v>
      </c>
      <c r="S608">
        <v>0.2857142857142857</v>
      </c>
    </row>
    <row r="609" spans="1:19" ht="15" customHeight="1" x14ac:dyDescent="0.2">
      <c r="A609" s="4">
        <v>1985</v>
      </c>
      <c r="B609" s="2" t="s">
        <v>13</v>
      </c>
      <c r="C609" s="2" t="s">
        <v>8</v>
      </c>
      <c r="D609" s="2" t="s">
        <v>18</v>
      </c>
      <c r="E609" s="2">
        <v>18940</v>
      </c>
      <c r="F609" s="3">
        <v>36665</v>
      </c>
      <c r="G609" s="4">
        <v>66011000</v>
      </c>
      <c r="H609">
        <f t="shared" si="27"/>
        <v>1212</v>
      </c>
      <c r="I609">
        <f t="shared" si="28"/>
        <v>0.14285714285714285</v>
      </c>
      <c r="J609">
        <f t="shared" si="29"/>
        <v>173.14285714285714</v>
      </c>
      <c r="O609">
        <v>2036</v>
      </c>
      <c r="P609">
        <v>765</v>
      </c>
      <c r="R609">
        <v>2214</v>
      </c>
      <c r="S609">
        <v>2</v>
      </c>
    </row>
    <row r="610" spans="1:19" ht="26.1" customHeight="1" x14ac:dyDescent="0.2">
      <c r="A610" s="4">
        <v>1987</v>
      </c>
      <c r="B610" s="2" t="s">
        <v>55</v>
      </c>
      <c r="C610" s="2" t="s">
        <v>109</v>
      </c>
      <c r="D610" s="2" t="s">
        <v>110</v>
      </c>
      <c r="F610" s="3">
        <v>36706</v>
      </c>
      <c r="G610" s="4">
        <v>1000012</v>
      </c>
      <c r="H610">
        <f t="shared" si="27"/>
        <v>1212</v>
      </c>
      <c r="I610">
        <f t="shared" si="28"/>
        <v>0.14285714285714285</v>
      </c>
      <c r="J610">
        <f t="shared" si="29"/>
        <v>173.14285714285714</v>
      </c>
      <c r="O610">
        <v>2037</v>
      </c>
      <c r="P610">
        <v>765</v>
      </c>
      <c r="R610">
        <v>2216</v>
      </c>
      <c r="S610">
        <v>0.13333333333333333</v>
      </c>
    </row>
    <row r="611" spans="1:19" ht="26.1" customHeight="1" x14ac:dyDescent="0.2">
      <c r="A611" s="4">
        <v>2000</v>
      </c>
      <c r="B611" s="2" t="s">
        <v>82</v>
      </c>
      <c r="C611" s="2" t="s">
        <v>111</v>
      </c>
      <c r="D611" s="2" t="s">
        <v>112</v>
      </c>
      <c r="E611" s="2">
        <v>1587393026</v>
      </c>
      <c r="F611" s="3">
        <v>36728</v>
      </c>
      <c r="G611" s="4">
        <v>1000012</v>
      </c>
      <c r="H611">
        <f t="shared" si="27"/>
        <v>1212</v>
      </c>
      <c r="I611">
        <f t="shared" si="28"/>
        <v>0.14285714285714285</v>
      </c>
      <c r="J611">
        <f t="shared" si="29"/>
        <v>173.14285714285714</v>
      </c>
      <c r="O611">
        <v>2040</v>
      </c>
      <c r="P611">
        <v>765</v>
      </c>
      <c r="R611">
        <v>2223</v>
      </c>
      <c r="S611">
        <v>0.1</v>
      </c>
    </row>
    <row r="612" spans="1:19" ht="15" customHeight="1" x14ac:dyDescent="0.2">
      <c r="A612" s="4">
        <v>2003</v>
      </c>
      <c r="B612" s="2" t="s">
        <v>7</v>
      </c>
      <c r="C612" s="2" t="s">
        <v>12</v>
      </c>
      <c r="D612" s="2" t="s">
        <v>10</v>
      </c>
      <c r="F612" s="3">
        <v>36728</v>
      </c>
      <c r="G612" s="4">
        <v>66011000</v>
      </c>
      <c r="H612">
        <f t="shared" si="27"/>
        <v>1154</v>
      </c>
      <c r="I612">
        <f t="shared" si="28"/>
        <v>2</v>
      </c>
      <c r="J612">
        <f t="shared" si="29"/>
        <v>2308</v>
      </c>
      <c r="O612">
        <v>2041</v>
      </c>
      <c r="P612">
        <v>765</v>
      </c>
      <c r="R612">
        <v>2258</v>
      </c>
      <c r="S612">
        <v>1.4285714285714286</v>
      </c>
    </row>
    <row r="613" spans="1:19" ht="15" customHeight="1" x14ac:dyDescent="0.2">
      <c r="A613" s="4">
        <v>2004</v>
      </c>
      <c r="B613" s="2" t="s">
        <v>7</v>
      </c>
      <c r="C613" s="2" t="s">
        <v>12</v>
      </c>
      <c r="D613" s="2" t="s">
        <v>43</v>
      </c>
      <c r="E613" s="2">
        <v>20286</v>
      </c>
      <c r="F613" s="3">
        <v>36728</v>
      </c>
      <c r="G613" s="4">
        <v>2735001000</v>
      </c>
      <c r="H613">
        <f t="shared" si="27"/>
        <v>318.5</v>
      </c>
      <c r="I613">
        <f t="shared" si="28"/>
        <v>0.42857142857142855</v>
      </c>
      <c r="J613">
        <f t="shared" si="29"/>
        <v>136.5</v>
      </c>
      <c r="O613">
        <v>2042</v>
      </c>
      <c r="P613">
        <v>765</v>
      </c>
      <c r="R613">
        <v>2279</v>
      </c>
      <c r="S613">
        <v>0.42857142857142855</v>
      </c>
    </row>
    <row r="614" spans="1:19" ht="15" customHeight="1" x14ac:dyDescent="0.2">
      <c r="A614" s="4">
        <v>2005</v>
      </c>
      <c r="B614" s="2" t="s">
        <v>7</v>
      </c>
      <c r="C614" s="2" t="s">
        <v>12</v>
      </c>
      <c r="D614" s="2" t="s">
        <v>10</v>
      </c>
      <c r="F614" s="3">
        <v>36728</v>
      </c>
      <c r="G614" s="4">
        <v>2548013000</v>
      </c>
      <c r="H614">
        <f t="shared" si="27"/>
        <v>1154</v>
      </c>
      <c r="I614">
        <f t="shared" si="28"/>
        <v>1</v>
      </c>
      <c r="J614">
        <f t="shared" si="29"/>
        <v>1154</v>
      </c>
      <c r="O614">
        <v>2046</v>
      </c>
      <c r="P614">
        <v>765</v>
      </c>
      <c r="R614">
        <v>2280</v>
      </c>
      <c r="S614">
        <v>0.33333333333333331</v>
      </c>
    </row>
    <row r="615" spans="1:19" ht="15" customHeight="1" x14ac:dyDescent="0.2">
      <c r="A615" s="4">
        <v>2009</v>
      </c>
      <c r="B615" s="2" t="s">
        <v>13</v>
      </c>
      <c r="C615" s="2" t="s">
        <v>40</v>
      </c>
      <c r="D615" s="2" t="s">
        <v>113</v>
      </c>
      <c r="F615" s="3">
        <v>36858</v>
      </c>
      <c r="G615" s="4">
        <v>1014007</v>
      </c>
      <c r="H615">
        <f t="shared" si="27"/>
        <v>765</v>
      </c>
      <c r="I615">
        <f t="shared" si="28"/>
        <v>1</v>
      </c>
      <c r="J615">
        <f t="shared" si="29"/>
        <v>765</v>
      </c>
      <c r="O615">
        <v>2047</v>
      </c>
      <c r="P615">
        <v>318.5</v>
      </c>
      <c r="R615">
        <v>2283</v>
      </c>
      <c r="S615">
        <v>0.1</v>
      </c>
    </row>
    <row r="616" spans="1:19" ht="15" customHeight="1" x14ac:dyDescent="0.2">
      <c r="A616" s="4">
        <v>2012</v>
      </c>
      <c r="B616" s="2" t="s">
        <v>13</v>
      </c>
      <c r="C616" s="2" t="s">
        <v>40</v>
      </c>
      <c r="D616" s="2" t="s">
        <v>113</v>
      </c>
      <c r="F616" s="3">
        <v>36858</v>
      </c>
      <c r="G616" s="4">
        <v>3073001000</v>
      </c>
      <c r="H616">
        <f t="shared" si="27"/>
        <v>765</v>
      </c>
      <c r="I616">
        <f t="shared" si="28"/>
        <v>1</v>
      </c>
      <c r="J616">
        <f t="shared" si="29"/>
        <v>765</v>
      </c>
      <c r="O616">
        <v>2049</v>
      </c>
      <c r="P616">
        <v>1632</v>
      </c>
      <c r="R616">
        <v>2287</v>
      </c>
      <c r="S616">
        <v>0.5714285714285714</v>
      </c>
    </row>
    <row r="617" spans="1:19" ht="15" customHeight="1" x14ac:dyDescent="0.2">
      <c r="A617" s="4">
        <v>2013</v>
      </c>
      <c r="B617" s="2" t="s">
        <v>13</v>
      </c>
      <c r="C617" s="2" t="s">
        <v>40</v>
      </c>
      <c r="D617" s="2" t="s">
        <v>113</v>
      </c>
      <c r="F617" s="3">
        <v>36858</v>
      </c>
      <c r="G617" s="4">
        <v>165001000</v>
      </c>
      <c r="H617">
        <f t="shared" si="27"/>
        <v>765</v>
      </c>
      <c r="I617">
        <f t="shared" si="28"/>
        <v>3.7142857142857144</v>
      </c>
      <c r="J617">
        <f t="shared" si="29"/>
        <v>2841.4285714285716</v>
      </c>
      <c r="O617">
        <v>2050</v>
      </c>
      <c r="P617">
        <v>309.5</v>
      </c>
      <c r="R617">
        <v>2288</v>
      </c>
      <c r="S617">
        <v>1.6666666666666666E-2</v>
      </c>
    </row>
    <row r="618" spans="1:19" ht="15" customHeight="1" x14ac:dyDescent="0.2">
      <c r="A618" s="4">
        <v>2017</v>
      </c>
      <c r="B618" s="2" t="s">
        <v>13</v>
      </c>
      <c r="C618" s="2" t="s">
        <v>40</v>
      </c>
      <c r="D618" s="2" t="s">
        <v>113</v>
      </c>
      <c r="F618" s="3">
        <v>36858</v>
      </c>
      <c r="G618" s="4">
        <v>1014002</v>
      </c>
      <c r="H618">
        <f t="shared" si="27"/>
        <v>765</v>
      </c>
      <c r="I618">
        <f t="shared" si="28"/>
        <v>0.14285714285714285</v>
      </c>
      <c r="J618">
        <f t="shared" si="29"/>
        <v>109.28571428571428</v>
      </c>
      <c r="O618">
        <v>2051</v>
      </c>
      <c r="P618">
        <v>309.5</v>
      </c>
      <c r="R618">
        <v>2301</v>
      </c>
      <c r="S618">
        <v>0.5714285714285714</v>
      </c>
    </row>
    <row r="619" spans="1:19" ht="15" customHeight="1" x14ac:dyDescent="0.2">
      <c r="A619" s="4">
        <v>2018</v>
      </c>
      <c r="B619" s="2" t="s">
        <v>13</v>
      </c>
      <c r="C619" s="2" t="s">
        <v>40</v>
      </c>
      <c r="D619" s="2" t="s">
        <v>113</v>
      </c>
      <c r="F619" s="3">
        <v>36858</v>
      </c>
      <c r="G619" s="4">
        <v>3370004000</v>
      </c>
      <c r="H619">
        <f t="shared" si="27"/>
        <v>765</v>
      </c>
      <c r="I619">
        <f t="shared" si="28"/>
        <v>0.2</v>
      </c>
      <c r="J619">
        <f t="shared" si="29"/>
        <v>153</v>
      </c>
      <c r="O619">
        <v>2053</v>
      </c>
      <c r="P619">
        <v>309.5</v>
      </c>
      <c r="R619">
        <v>2302</v>
      </c>
      <c r="S619">
        <v>0.2857142857142857</v>
      </c>
    </row>
    <row r="620" spans="1:19" ht="15" customHeight="1" x14ac:dyDescent="0.2">
      <c r="A620" s="4">
        <v>2020</v>
      </c>
      <c r="B620" s="2" t="s">
        <v>13</v>
      </c>
      <c r="C620" s="2" t="s">
        <v>114</v>
      </c>
      <c r="D620" s="2" t="s">
        <v>115</v>
      </c>
      <c r="F620" s="3">
        <v>36858</v>
      </c>
      <c r="G620" s="4">
        <v>2548092000</v>
      </c>
      <c r="H620">
        <f t="shared" si="27"/>
        <v>851</v>
      </c>
      <c r="I620">
        <f t="shared" si="28"/>
        <v>0.2857142857142857</v>
      </c>
      <c r="J620">
        <f t="shared" si="29"/>
        <v>243.14285714285714</v>
      </c>
      <c r="O620">
        <v>2054</v>
      </c>
      <c r="P620">
        <v>309.5</v>
      </c>
      <c r="R620">
        <v>2305</v>
      </c>
      <c r="S620">
        <v>0.8571428571428571</v>
      </c>
    </row>
    <row r="621" spans="1:19" ht="15" customHeight="1" x14ac:dyDescent="0.2">
      <c r="A621" s="4">
        <v>2021</v>
      </c>
      <c r="B621" s="2" t="s">
        <v>13</v>
      </c>
      <c r="C621" s="2" t="s">
        <v>40</v>
      </c>
      <c r="D621" s="2" t="s">
        <v>113</v>
      </c>
      <c r="F621" s="3">
        <v>36858</v>
      </c>
      <c r="G621" s="4">
        <v>3042127005</v>
      </c>
      <c r="H621">
        <f t="shared" si="27"/>
        <v>765</v>
      </c>
      <c r="I621">
        <f t="shared" si="28"/>
        <v>0.14285714285714285</v>
      </c>
      <c r="J621">
        <f t="shared" si="29"/>
        <v>109.28571428571428</v>
      </c>
      <c r="O621">
        <v>2056</v>
      </c>
      <c r="P621">
        <v>309.5</v>
      </c>
      <c r="R621">
        <v>2306</v>
      </c>
      <c r="S621">
        <v>0.5714285714285714</v>
      </c>
    </row>
    <row r="622" spans="1:19" ht="15" customHeight="1" x14ac:dyDescent="0.2">
      <c r="A622" s="4">
        <v>2026</v>
      </c>
      <c r="B622" s="2" t="s">
        <v>13</v>
      </c>
      <c r="C622" s="2" t="s">
        <v>40</v>
      </c>
      <c r="D622" s="2" t="s">
        <v>113</v>
      </c>
      <c r="F622" s="3">
        <v>36858</v>
      </c>
      <c r="G622" s="4">
        <v>529002000</v>
      </c>
      <c r="H622">
        <f t="shared" si="27"/>
        <v>765</v>
      </c>
      <c r="I622">
        <f t="shared" si="28"/>
        <v>0.2857142857142857</v>
      </c>
      <c r="J622">
        <f t="shared" si="29"/>
        <v>218.57142857142856</v>
      </c>
      <c r="O622">
        <v>2057</v>
      </c>
      <c r="P622">
        <v>309.5</v>
      </c>
      <c r="R622">
        <v>2309</v>
      </c>
      <c r="S622">
        <v>0.42857142857142855</v>
      </c>
    </row>
    <row r="623" spans="1:19" ht="15" customHeight="1" x14ac:dyDescent="0.2">
      <c r="A623" s="4">
        <v>2027</v>
      </c>
      <c r="B623" s="2" t="s">
        <v>13</v>
      </c>
      <c r="C623" s="2" t="s">
        <v>40</v>
      </c>
      <c r="D623" s="2" t="s">
        <v>113</v>
      </c>
      <c r="F623" s="3">
        <v>36858</v>
      </c>
      <c r="G623" s="4">
        <v>529002000</v>
      </c>
      <c r="H623">
        <f t="shared" si="27"/>
        <v>765</v>
      </c>
      <c r="I623">
        <f t="shared" si="28"/>
        <v>7.1428571428571425E-2</v>
      </c>
      <c r="J623">
        <f t="shared" si="29"/>
        <v>54.642857142857139</v>
      </c>
      <c r="O623">
        <v>2058</v>
      </c>
      <c r="P623">
        <v>309.5</v>
      </c>
      <c r="R623">
        <v>2312</v>
      </c>
      <c r="S623">
        <v>0.14285714285714285</v>
      </c>
    </row>
    <row r="624" spans="1:19" ht="15" customHeight="1" x14ac:dyDescent="0.2">
      <c r="A624" s="4">
        <v>2028</v>
      </c>
      <c r="B624" s="2" t="s">
        <v>13</v>
      </c>
      <c r="C624" s="2" t="s">
        <v>40</v>
      </c>
      <c r="D624" s="2" t="s">
        <v>113</v>
      </c>
      <c r="F624" s="3">
        <v>36858</v>
      </c>
      <c r="G624" s="4">
        <v>1165000000</v>
      </c>
      <c r="H624">
        <f t="shared" si="27"/>
        <v>765</v>
      </c>
      <c r="I624">
        <f t="shared" si="28"/>
        <v>7.1428571428571425E-2</v>
      </c>
      <c r="J624">
        <f t="shared" si="29"/>
        <v>54.642857142857139</v>
      </c>
      <c r="O624">
        <v>2059</v>
      </c>
      <c r="P624">
        <v>309.5</v>
      </c>
      <c r="R624">
        <v>2315</v>
      </c>
      <c r="S624">
        <v>1</v>
      </c>
    </row>
    <row r="625" spans="1:19" ht="15" customHeight="1" x14ac:dyDescent="0.2">
      <c r="A625" s="4">
        <v>2030</v>
      </c>
      <c r="B625" s="2" t="s">
        <v>13</v>
      </c>
      <c r="C625" s="2" t="s">
        <v>40</v>
      </c>
      <c r="D625" s="2" t="s">
        <v>113</v>
      </c>
      <c r="F625" s="3">
        <v>36858</v>
      </c>
      <c r="G625" s="4">
        <v>2885001000</v>
      </c>
      <c r="H625">
        <f t="shared" si="27"/>
        <v>765</v>
      </c>
      <c r="I625">
        <f t="shared" si="28"/>
        <v>1</v>
      </c>
      <c r="J625">
        <f t="shared" si="29"/>
        <v>765</v>
      </c>
      <c r="O625">
        <v>2062</v>
      </c>
      <c r="P625">
        <v>309.5</v>
      </c>
      <c r="R625">
        <v>2324</v>
      </c>
      <c r="S625">
        <v>0.14285714285714285</v>
      </c>
    </row>
    <row r="626" spans="1:19" ht="15" customHeight="1" x14ac:dyDescent="0.2">
      <c r="A626" s="4">
        <v>2036</v>
      </c>
      <c r="B626" s="2" t="s">
        <v>13</v>
      </c>
      <c r="C626" s="2" t="s">
        <v>40</v>
      </c>
      <c r="D626" s="2" t="s">
        <v>113</v>
      </c>
      <c r="F626" s="3">
        <v>36858</v>
      </c>
      <c r="G626" s="4">
        <v>153001000</v>
      </c>
      <c r="H626">
        <f t="shared" si="27"/>
        <v>765</v>
      </c>
      <c r="I626">
        <f t="shared" si="28"/>
        <v>1.3333333333333333</v>
      </c>
      <c r="J626">
        <f t="shared" si="29"/>
        <v>1020</v>
      </c>
      <c r="O626">
        <v>2063</v>
      </c>
      <c r="P626">
        <v>309.5</v>
      </c>
      <c r="R626">
        <v>2326</v>
      </c>
      <c r="S626">
        <v>0.14285714285714285</v>
      </c>
    </row>
    <row r="627" spans="1:19" ht="15" customHeight="1" x14ac:dyDescent="0.2">
      <c r="A627" s="4">
        <v>2037</v>
      </c>
      <c r="B627" s="2" t="s">
        <v>13</v>
      </c>
      <c r="C627" s="2" t="s">
        <v>40</v>
      </c>
      <c r="D627" s="2" t="s">
        <v>113</v>
      </c>
      <c r="F627" s="3">
        <v>36858</v>
      </c>
      <c r="G627" s="4">
        <v>1068021000</v>
      </c>
      <c r="H627">
        <f t="shared" si="27"/>
        <v>765</v>
      </c>
      <c r="I627">
        <f t="shared" si="28"/>
        <v>0.5</v>
      </c>
      <c r="J627">
        <f t="shared" si="29"/>
        <v>382.5</v>
      </c>
      <c r="O627">
        <v>2065</v>
      </c>
      <c r="P627">
        <v>461</v>
      </c>
      <c r="R627">
        <v>2328</v>
      </c>
      <c r="S627">
        <v>0.42857142857142855</v>
      </c>
    </row>
    <row r="628" spans="1:19" ht="15" customHeight="1" x14ac:dyDescent="0.2">
      <c r="A628" s="4">
        <v>2040</v>
      </c>
      <c r="B628" s="2" t="s">
        <v>13</v>
      </c>
      <c r="C628" s="2" t="s">
        <v>40</v>
      </c>
      <c r="D628" s="2" t="s">
        <v>113</v>
      </c>
      <c r="F628" s="3">
        <v>36858</v>
      </c>
      <c r="G628" s="4">
        <v>2548053000</v>
      </c>
      <c r="H628">
        <f t="shared" si="27"/>
        <v>765</v>
      </c>
      <c r="I628">
        <f t="shared" si="28"/>
        <v>0.14285714285714285</v>
      </c>
      <c r="J628">
        <f t="shared" si="29"/>
        <v>109.28571428571428</v>
      </c>
      <c r="O628">
        <v>2071</v>
      </c>
      <c r="P628">
        <v>461</v>
      </c>
      <c r="R628">
        <v>2342</v>
      </c>
      <c r="S628">
        <v>2</v>
      </c>
    </row>
    <row r="629" spans="1:19" ht="15" customHeight="1" x14ac:dyDescent="0.2">
      <c r="A629" s="4">
        <v>2041</v>
      </c>
      <c r="B629" s="2" t="s">
        <v>13</v>
      </c>
      <c r="C629" s="2" t="s">
        <v>40</v>
      </c>
      <c r="D629" s="2" t="s">
        <v>113</v>
      </c>
      <c r="E629" s="2">
        <v>1111</v>
      </c>
      <c r="F629" s="3">
        <v>36858</v>
      </c>
      <c r="G629" s="4">
        <v>2548013000</v>
      </c>
      <c r="H629">
        <f t="shared" si="27"/>
        <v>765</v>
      </c>
      <c r="I629">
        <f t="shared" si="28"/>
        <v>0.2857142857142857</v>
      </c>
      <c r="J629">
        <f t="shared" si="29"/>
        <v>218.57142857142856</v>
      </c>
      <c r="O629">
        <v>2072</v>
      </c>
      <c r="P629">
        <v>461</v>
      </c>
      <c r="R629">
        <v>2359</v>
      </c>
      <c r="S629">
        <v>0.2857142857142857</v>
      </c>
    </row>
    <row r="630" spans="1:19" ht="15" customHeight="1" x14ac:dyDescent="0.2">
      <c r="A630" s="4">
        <v>2042</v>
      </c>
      <c r="B630" s="2" t="s">
        <v>13</v>
      </c>
      <c r="C630" s="2" t="s">
        <v>40</v>
      </c>
      <c r="D630" s="2" t="s">
        <v>113</v>
      </c>
      <c r="F630" s="3">
        <v>36914</v>
      </c>
      <c r="G630" s="4">
        <v>66011000</v>
      </c>
      <c r="H630">
        <f t="shared" si="27"/>
        <v>765</v>
      </c>
      <c r="I630">
        <f t="shared" si="28"/>
        <v>0.14285714285714285</v>
      </c>
      <c r="J630">
        <f t="shared" si="29"/>
        <v>109.28571428571428</v>
      </c>
      <c r="O630">
        <v>2073</v>
      </c>
      <c r="P630">
        <v>461</v>
      </c>
      <c r="R630">
        <v>2440</v>
      </c>
      <c r="S630">
        <v>3.7142857142857144</v>
      </c>
    </row>
    <row r="631" spans="1:19" ht="15" customHeight="1" x14ac:dyDescent="0.2">
      <c r="A631" s="4">
        <v>2046</v>
      </c>
      <c r="B631" s="2" t="s">
        <v>13</v>
      </c>
      <c r="C631" s="2" t="s">
        <v>40</v>
      </c>
      <c r="D631" s="2" t="s">
        <v>113</v>
      </c>
      <c r="F631" s="3">
        <v>36914</v>
      </c>
      <c r="G631" s="4">
        <v>3284001000</v>
      </c>
      <c r="H631">
        <f t="shared" si="27"/>
        <v>765</v>
      </c>
      <c r="I631">
        <f t="shared" si="28"/>
        <v>1</v>
      </c>
      <c r="J631">
        <f t="shared" si="29"/>
        <v>765</v>
      </c>
      <c r="O631">
        <v>2074</v>
      </c>
      <c r="P631">
        <v>309.5</v>
      </c>
      <c r="R631">
        <v>2467</v>
      </c>
      <c r="S631">
        <v>9.5714285714285724E-2</v>
      </c>
    </row>
    <row r="632" spans="1:19" ht="15" customHeight="1" x14ac:dyDescent="0.2">
      <c r="A632" s="4">
        <v>2047</v>
      </c>
      <c r="B632" s="2" t="s">
        <v>7</v>
      </c>
      <c r="C632" s="2" t="s">
        <v>12</v>
      </c>
      <c r="D632" s="2" t="s">
        <v>43</v>
      </c>
      <c r="E632" s="2">
        <v>19991</v>
      </c>
      <c r="F632" s="3">
        <v>36728</v>
      </c>
      <c r="G632" s="4">
        <v>2341001000</v>
      </c>
      <c r="H632">
        <f t="shared" si="27"/>
        <v>318.5</v>
      </c>
      <c r="I632">
        <f t="shared" si="28"/>
        <v>0.1</v>
      </c>
      <c r="J632">
        <f t="shared" si="29"/>
        <v>31.85</v>
      </c>
      <c r="O632">
        <v>2075</v>
      </c>
      <c r="P632">
        <v>461</v>
      </c>
      <c r="R632">
        <v>2468</v>
      </c>
      <c r="S632">
        <v>0.2857142857142857</v>
      </c>
    </row>
    <row r="633" spans="1:19" ht="15" customHeight="1" x14ac:dyDescent="0.2">
      <c r="A633" s="4">
        <v>2049</v>
      </c>
      <c r="B633" s="2" t="s">
        <v>13</v>
      </c>
      <c r="C633" s="2" t="s">
        <v>116</v>
      </c>
      <c r="D633" s="2" t="s">
        <v>117</v>
      </c>
      <c r="F633" s="3">
        <v>36826</v>
      </c>
      <c r="G633" s="4">
        <v>1014001</v>
      </c>
      <c r="H633">
        <f t="shared" si="27"/>
        <v>1632</v>
      </c>
      <c r="I633">
        <f t="shared" si="28"/>
        <v>6</v>
      </c>
      <c r="J633">
        <f t="shared" si="29"/>
        <v>9792</v>
      </c>
      <c r="O633">
        <v>2076</v>
      </c>
      <c r="P633">
        <v>461</v>
      </c>
      <c r="R633">
        <v>2473</v>
      </c>
      <c r="S633">
        <v>0.26666666666666666</v>
      </c>
    </row>
    <row r="634" spans="1:19" ht="15" customHeight="1" x14ac:dyDescent="0.2">
      <c r="A634" s="4">
        <v>2050</v>
      </c>
      <c r="B634" s="2" t="s">
        <v>7</v>
      </c>
      <c r="C634" s="2" t="s">
        <v>8</v>
      </c>
      <c r="D634" s="2" t="s">
        <v>9</v>
      </c>
      <c r="E634" s="2">
        <v>22502</v>
      </c>
      <c r="F634" s="3">
        <v>36915</v>
      </c>
      <c r="G634" s="4">
        <v>1165000000</v>
      </c>
      <c r="H634">
        <f t="shared" si="27"/>
        <v>309.5</v>
      </c>
      <c r="I634">
        <f t="shared" si="28"/>
        <v>0.5714285714285714</v>
      </c>
      <c r="J634">
        <f t="shared" si="29"/>
        <v>176.85714285714286</v>
      </c>
      <c r="O634">
        <v>2077</v>
      </c>
      <c r="P634">
        <v>461</v>
      </c>
      <c r="R634">
        <v>2478</v>
      </c>
      <c r="S634">
        <v>0.5</v>
      </c>
    </row>
    <row r="635" spans="1:19" ht="15" customHeight="1" x14ac:dyDescent="0.2">
      <c r="A635" s="4">
        <v>2051</v>
      </c>
      <c r="B635" s="2" t="s">
        <v>7</v>
      </c>
      <c r="C635" s="2" t="s">
        <v>8</v>
      </c>
      <c r="D635" s="2" t="s">
        <v>9</v>
      </c>
      <c r="E635" s="2">
        <v>22554</v>
      </c>
      <c r="F635" s="3">
        <v>36915</v>
      </c>
      <c r="G635" s="4">
        <v>2548051000</v>
      </c>
      <c r="H635">
        <f t="shared" si="27"/>
        <v>309.5</v>
      </c>
      <c r="I635">
        <f t="shared" si="28"/>
        <v>0.14285714285714285</v>
      </c>
      <c r="J635">
        <f t="shared" si="29"/>
        <v>44.214285714285715</v>
      </c>
      <c r="O635">
        <v>2078</v>
      </c>
      <c r="P635">
        <v>461</v>
      </c>
      <c r="R635">
        <v>2504</v>
      </c>
      <c r="S635">
        <v>3.3333333333333333E-2</v>
      </c>
    </row>
    <row r="636" spans="1:19" ht="15" customHeight="1" x14ac:dyDescent="0.2">
      <c r="A636" s="4">
        <v>2053</v>
      </c>
      <c r="B636" s="2" t="s">
        <v>7</v>
      </c>
      <c r="C636" s="2" t="s">
        <v>8</v>
      </c>
      <c r="D636" s="2" t="s">
        <v>9</v>
      </c>
      <c r="E636" s="2">
        <v>22332</v>
      </c>
      <c r="F636" s="3">
        <v>36915</v>
      </c>
      <c r="G636" s="4">
        <v>1165122000</v>
      </c>
      <c r="H636">
        <f t="shared" si="27"/>
        <v>309.5</v>
      </c>
      <c r="I636">
        <f t="shared" si="28"/>
        <v>0.14285714285714285</v>
      </c>
      <c r="J636">
        <f t="shared" si="29"/>
        <v>44.214285714285715</v>
      </c>
      <c r="O636">
        <v>2079</v>
      </c>
      <c r="P636">
        <v>461</v>
      </c>
      <c r="R636">
        <v>2516</v>
      </c>
      <c r="S636">
        <v>1</v>
      </c>
    </row>
    <row r="637" spans="1:19" ht="15" customHeight="1" x14ac:dyDescent="0.2">
      <c r="A637" s="4">
        <v>2054</v>
      </c>
      <c r="B637" s="2" t="s">
        <v>7</v>
      </c>
      <c r="C637" s="2" t="s">
        <v>8</v>
      </c>
      <c r="D637" s="2" t="s">
        <v>9</v>
      </c>
      <c r="E637" s="2">
        <v>22497</v>
      </c>
      <c r="F637" s="3">
        <v>36915</v>
      </c>
      <c r="G637" s="4">
        <v>193012000</v>
      </c>
      <c r="H637">
        <f t="shared" si="27"/>
        <v>309.5</v>
      </c>
      <c r="I637">
        <f t="shared" si="28"/>
        <v>3</v>
      </c>
      <c r="J637">
        <f t="shared" si="29"/>
        <v>928.5</v>
      </c>
      <c r="O637">
        <v>2081</v>
      </c>
      <c r="P637">
        <v>1632</v>
      </c>
      <c r="R637">
        <v>2525</v>
      </c>
      <c r="S637">
        <v>6.6666666666666666E-2</v>
      </c>
    </row>
    <row r="638" spans="1:19" ht="15" customHeight="1" x14ac:dyDescent="0.2">
      <c r="A638" s="4">
        <v>2056</v>
      </c>
      <c r="B638" s="2" t="s">
        <v>7</v>
      </c>
      <c r="C638" s="2" t="s">
        <v>8</v>
      </c>
      <c r="D638" s="2" t="s">
        <v>9</v>
      </c>
      <c r="E638" s="2">
        <v>22507</v>
      </c>
      <c r="F638" s="3">
        <v>36915</v>
      </c>
      <c r="G638" s="4">
        <v>3000001000</v>
      </c>
      <c r="H638">
        <f t="shared" si="27"/>
        <v>309.5</v>
      </c>
      <c r="I638">
        <f t="shared" si="28"/>
        <v>0.21428571428571427</v>
      </c>
      <c r="J638">
        <f t="shared" si="29"/>
        <v>66.321428571428569</v>
      </c>
      <c r="O638">
        <v>2082</v>
      </c>
      <c r="P638">
        <v>1632</v>
      </c>
      <c r="R638">
        <v>2529</v>
      </c>
      <c r="S638">
        <v>0.13333333333333333</v>
      </c>
    </row>
    <row r="639" spans="1:19" ht="15" customHeight="1" x14ac:dyDescent="0.2">
      <c r="A639" s="4">
        <v>2057</v>
      </c>
      <c r="B639" s="2" t="s">
        <v>7</v>
      </c>
      <c r="C639" s="2" t="s">
        <v>8</v>
      </c>
      <c r="D639" s="2" t="s">
        <v>9</v>
      </c>
      <c r="E639" s="2">
        <v>22474</v>
      </c>
      <c r="F639" s="3">
        <v>36915</v>
      </c>
      <c r="G639" s="4">
        <v>1165000000</v>
      </c>
      <c r="H639">
        <f t="shared" si="27"/>
        <v>309.5</v>
      </c>
      <c r="I639">
        <f t="shared" si="28"/>
        <v>0.5714285714285714</v>
      </c>
      <c r="J639">
        <f t="shared" si="29"/>
        <v>176.85714285714286</v>
      </c>
      <c r="O639">
        <v>2083</v>
      </c>
      <c r="P639">
        <v>765</v>
      </c>
      <c r="R639">
        <v>2530</v>
      </c>
      <c r="S639">
        <v>1.6</v>
      </c>
    </row>
    <row r="640" spans="1:19" ht="15" customHeight="1" x14ac:dyDescent="0.2">
      <c r="A640" s="4">
        <v>2058</v>
      </c>
      <c r="B640" s="2" t="s">
        <v>7</v>
      </c>
      <c r="C640" s="2" t="s">
        <v>8</v>
      </c>
      <c r="D640" s="2" t="s">
        <v>9</v>
      </c>
      <c r="E640" s="2">
        <v>22496</v>
      </c>
      <c r="F640" s="3">
        <v>36915</v>
      </c>
      <c r="G640" s="4">
        <v>2814003000</v>
      </c>
      <c r="H640">
        <f t="shared" si="27"/>
        <v>309.5</v>
      </c>
      <c r="I640">
        <f t="shared" si="28"/>
        <v>0.1</v>
      </c>
      <c r="J640">
        <f t="shared" si="29"/>
        <v>30.950000000000003</v>
      </c>
      <c r="O640">
        <v>2084</v>
      </c>
      <c r="P640">
        <v>765</v>
      </c>
      <c r="R640">
        <v>2531</v>
      </c>
      <c r="S640">
        <v>0.14285714285714285</v>
      </c>
    </row>
    <row r="641" spans="1:19" ht="15" customHeight="1" x14ac:dyDescent="0.2">
      <c r="A641" s="4">
        <v>2059</v>
      </c>
      <c r="B641" s="2" t="s">
        <v>7</v>
      </c>
      <c r="C641" s="2" t="s">
        <v>8</v>
      </c>
      <c r="D641" s="2" t="s">
        <v>9</v>
      </c>
      <c r="E641" s="2">
        <v>22512</v>
      </c>
      <c r="F641" s="3">
        <v>36915</v>
      </c>
      <c r="G641" s="4">
        <v>3207012000</v>
      </c>
      <c r="H641">
        <f t="shared" si="27"/>
        <v>309.5</v>
      </c>
      <c r="I641">
        <f t="shared" si="28"/>
        <v>0.2857142857142857</v>
      </c>
      <c r="J641">
        <f t="shared" si="29"/>
        <v>88.428571428571431</v>
      </c>
      <c r="O641">
        <v>2090</v>
      </c>
      <c r="P641">
        <v>765</v>
      </c>
      <c r="R641">
        <v>2535</v>
      </c>
      <c r="S641">
        <v>3.4285714285714284</v>
      </c>
    </row>
    <row r="642" spans="1:19" ht="15" customHeight="1" x14ac:dyDescent="0.2">
      <c r="A642" s="4">
        <v>2062</v>
      </c>
      <c r="B642" s="2" t="s">
        <v>7</v>
      </c>
      <c r="C642" s="2" t="s">
        <v>8</v>
      </c>
      <c r="D642" s="2" t="s">
        <v>9</v>
      </c>
      <c r="E642" s="2">
        <v>22555</v>
      </c>
      <c r="F642" s="3">
        <v>36915</v>
      </c>
      <c r="G642" s="4">
        <v>1014001</v>
      </c>
      <c r="H642">
        <f t="shared" ref="H642:H705" si="30">VLOOKUP(A642,O:P,2)</f>
        <v>309.5</v>
      </c>
      <c r="I642">
        <f t="shared" ref="I642:I705" si="31">VLOOKUP(A642,R:S,2)</f>
        <v>2</v>
      </c>
      <c r="J642">
        <f t="shared" ref="J642:J705" si="32">H642*I642</f>
        <v>619</v>
      </c>
      <c r="O642">
        <v>2092</v>
      </c>
      <c r="P642">
        <v>765</v>
      </c>
      <c r="R642">
        <v>2555</v>
      </c>
      <c r="S642">
        <v>0.33333333333333331</v>
      </c>
    </row>
    <row r="643" spans="1:19" ht="15" customHeight="1" x14ac:dyDescent="0.2">
      <c r="A643" s="4">
        <v>2063</v>
      </c>
      <c r="B643" s="2" t="s">
        <v>7</v>
      </c>
      <c r="C643" s="2" t="s">
        <v>8</v>
      </c>
      <c r="D643" s="2" t="s">
        <v>9</v>
      </c>
      <c r="E643" s="2">
        <v>22493</v>
      </c>
      <c r="F643" s="3">
        <v>36915</v>
      </c>
      <c r="G643" s="4">
        <v>165001000</v>
      </c>
      <c r="H643">
        <f t="shared" si="30"/>
        <v>309.5</v>
      </c>
      <c r="I643">
        <f t="shared" si="31"/>
        <v>1.4285714285714286</v>
      </c>
      <c r="J643">
        <f t="shared" si="32"/>
        <v>442.14285714285717</v>
      </c>
      <c r="O643">
        <v>2101</v>
      </c>
      <c r="P643">
        <v>851</v>
      </c>
      <c r="R643">
        <v>2565</v>
      </c>
      <c r="S643">
        <v>0.14285714285714285</v>
      </c>
    </row>
    <row r="644" spans="1:19" ht="26.1" customHeight="1" x14ac:dyDescent="0.2">
      <c r="A644" s="4">
        <v>2065</v>
      </c>
      <c r="B644" s="2" t="s">
        <v>7</v>
      </c>
      <c r="C644" s="2" t="s">
        <v>8</v>
      </c>
      <c r="D644" s="2" t="s">
        <v>17</v>
      </c>
      <c r="E644" s="2" t="s">
        <v>118</v>
      </c>
      <c r="F644" s="3">
        <v>36915</v>
      </c>
      <c r="G644" s="4">
        <v>1493003000</v>
      </c>
      <c r="H644">
        <f t="shared" si="30"/>
        <v>461</v>
      </c>
      <c r="I644">
        <f t="shared" si="31"/>
        <v>1.4285714285714286</v>
      </c>
      <c r="J644">
        <f t="shared" si="32"/>
        <v>658.57142857142856</v>
      </c>
      <c r="O644">
        <v>2110</v>
      </c>
      <c r="P644">
        <v>765</v>
      </c>
      <c r="R644">
        <v>2566</v>
      </c>
      <c r="S644">
        <v>0.42857142857142855</v>
      </c>
    </row>
    <row r="645" spans="1:19" ht="15" customHeight="1" x14ac:dyDescent="0.2">
      <c r="A645" s="4">
        <v>2071</v>
      </c>
      <c r="B645" s="2" t="s">
        <v>7</v>
      </c>
      <c r="C645" s="2" t="s">
        <v>8</v>
      </c>
      <c r="D645" s="2" t="s">
        <v>17</v>
      </c>
      <c r="E645" s="2">
        <v>22588</v>
      </c>
      <c r="F645" s="3">
        <v>36915</v>
      </c>
      <c r="G645" s="4">
        <v>1165000000</v>
      </c>
      <c r="H645">
        <f t="shared" si="30"/>
        <v>461</v>
      </c>
      <c r="I645">
        <f t="shared" si="31"/>
        <v>0.5714285714285714</v>
      </c>
      <c r="J645">
        <f t="shared" si="32"/>
        <v>263.42857142857139</v>
      </c>
      <c r="O645">
        <v>2111</v>
      </c>
      <c r="P645">
        <v>765</v>
      </c>
      <c r="R645">
        <v>2591</v>
      </c>
      <c r="S645">
        <v>2</v>
      </c>
    </row>
    <row r="646" spans="1:19" ht="15" customHeight="1" x14ac:dyDescent="0.2">
      <c r="A646" s="4">
        <v>2072</v>
      </c>
      <c r="B646" s="2" t="s">
        <v>7</v>
      </c>
      <c r="C646" s="2" t="s">
        <v>8</v>
      </c>
      <c r="D646" s="2" t="s">
        <v>17</v>
      </c>
      <c r="E646" s="2">
        <v>22586</v>
      </c>
      <c r="F646" s="3">
        <v>36915</v>
      </c>
      <c r="G646" s="4">
        <v>165001000</v>
      </c>
      <c r="H646">
        <f t="shared" si="30"/>
        <v>461</v>
      </c>
      <c r="I646">
        <f t="shared" si="31"/>
        <v>1.4285714285714286</v>
      </c>
      <c r="J646">
        <f t="shared" si="32"/>
        <v>658.57142857142856</v>
      </c>
      <c r="O646">
        <v>2112</v>
      </c>
      <c r="P646">
        <v>765</v>
      </c>
      <c r="R646">
        <v>2592</v>
      </c>
      <c r="S646">
        <v>0.2857142857142857</v>
      </c>
    </row>
    <row r="647" spans="1:19" ht="15" customHeight="1" x14ac:dyDescent="0.2">
      <c r="A647" s="4">
        <v>2073</v>
      </c>
      <c r="B647" s="2" t="s">
        <v>7</v>
      </c>
      <c r="C647" s="2" t="s">
        <v>8</v>
      </c>
      <c r="D647" s="2" t="s">
        <v>17</v>
      </c>
      <c r="E647" s="2">
        <v>22582</v>
      </c>
      <c r="F647" s="3">
        <v>36915</v>
      </c>
      <c r="G647" s="4">
        <v>2126001000</v>
      </c>
      <c r="H647">
        <f t="shared" si="30"/>
        <v>461</v>
      </c>
      <c r="I647">
        <f t="shared" si="31"/>
        <v>1.4285714285714286</v>
      </c>
      <c r="J647">
        <f t="shared" si="32"/>
        <v>658.57142857142856</v>
      </c>
      <c r="O647">
        <v>2113</v>
      </c>
      <c r="P647">
        <v>765</v>
      </c>
      <c r="R647">
        <v>2596</v>
      </c>
      <c r="S647">
        <v>1</v>
      </c>
    </row>
    <row r="648" spans="1:19" ht="15" customHeight="1" x14ac:dyDescent="0.2">
      <c r="A648" s="4">
        <v>2074</v>
      </c>
      <c r="B648" s="2" t="s">
        <v>7</v>
      </c>
      <c r="C648" s="2" t="s">
        <v>8</v>
      </c>
      <c r="D648" s="2" t="s">
        <v>9</v>
      </c>
      <c r="E648" s="2">
        <v>22639</v>
      </c>
      <c r="F648" s="3">
        <v>36915</v>
      </c>
      <c r="G648" s="4">
        <v>1848001000</v>
      </c>
      <c r="H648">
        <f t="shared" si="30"/>
        <v>309.5</v>
      </c>
      <c r="I648">
        <f t="shared" si="31"/>
        <v>1</v>
      </c>
      <c r="J648">
        <f t="shared" si="32"/>
        <v>309.5</v>
      </c>
      <c r="O648">
        <v>2116</v>
      </c>
      <c r="P648">
        <v>309.5</v>
      </c>
      <c r="R648">
        <v>2597</v>
      </c>
      <c r="S648">
        <v>1</v>
      </c>
    </row>
    <row r="649" spans="1:19" ht="15" customHeight="1" x14ac:dyDescent="0.2">
      <c r="A649" s="4">
        <v>2075</v>
      </c>
      <c r="B649" s="2" t="s">
        <v>7</v>
      </c>
      <c r="C649" s="2" t="s">
        <v>8</v>
      </c>
      <c r="D649" s="2" t="s">
        <v>17</v>
      </c>
      <c r="E649" s="2">
        <v>22640</v>
      </c>
      <c r="F649" s="3">
        <v>36915</v>
      </c>
      <c r="G649" s="4">
        <v>1023000</v>
      </c>
      <c r="H649">
        <f t="shared" si="30"/>
        <v>461</v>
      </c>
      <c r="I649">
        <f t="shared" si="31"/>
        <v>1</v>
      </c>
      <c r="J649">
        <f t="shared" si="32"/>
        <v>461</v>
      </c>
      <c r="O649">
        <v>2118</v>
      </c>
      <c r="P649">
        <v>309.5</v>
      </c>
      <c r="R649">
        <v>2598</v>
      </c>
      <c r="S649">
        <v>0.66666666666666663</v>
      </c>
    </row>
    <row r="650" spans="1:19" ht="15" customHeight="1" x14ac:dyDescent="0.2">
      <c r="A650" s="4">
        <v>2076</v>
      </c>
      <c r="B650" s="2" t="s">
        <v>7</v>
      </c>
      <c r="C650" s="2" t="s">
        <v>8</v>
      </c>
      <c r="D650" s="2" t="s">
        <v>17</v>
      </c>
      <c r="E650" s="2">
        <v>22641</v>
      </c>
      <c r="F650" s="3">
        <v>36915</v>
      </c>
      <c r="G650" s="4">
        <v>2958001000</v>
      </c>
      <c r="H650">
        <f t="shared" si="30"/>
        <v>461</v>
      </c>
      <c r="I650">
        <f t="shared" si="31"/>
        <v>9.5238095238095233E-2</v>
      </c>
      <c r="J650">
        <f t="shared" si="32"/>
        <v>43.904761904761905</v>
      </c>
      <c r="O650">
        <v>2128</v>
      </c>
      <c r="P650">
        <v>318.5</v>
      </c>
      <c r="R650">
        <v>2600</v>
      </c>
      <c r="S650">
        <v>1.3333333333333333</v>
      </c>
    </row>
    <row r="651" spans="1:19" ht="15" customHeight="1" x14ac:dyDescent="0.2">
      <c r="A651" s="4">
        <v>2077</v>
      </c>
      <c r="B651" s="2" t="s">
        <v>7</v>
      </c>
      <c r="C651" s="2" t="s">
        <v>8</v>
      </c>
      <c r="D651" s="2" t="s">
        <v>17</v>
      </c>
      <c r="E651" s="2">
        <v>22642</v>
      </c>
      <c r="F651" s="3">
        <v>36915</v>
      </c>
      <c r="G651" s="4">
        <v>3116001000</v>
      </c>
      <c r="H651">
        <f t="shared" si="30"/>
        <v>461</v>
      </c>
      <c r="I651">
        <f t="shared" si="31"/>
        <v>0.5</v>
      </c>
      <c r="J651">
        <f t="shared" si="32"/>
        <v>230.5</v>
      </c>
      <c r="O651">
        <v>2133</v>
      </c>
      <c r="P651">
        <v>241.5</v>
      </c>
      <c r="R651">
        <v>2602</v>
      </c>
      <c r="S651">
        <v>2</v>
      </c>
    </row>
    <row r="652" spans="1:19" ht="15" customHeight="1" x14ac:dyDescent="0.2">
      <c r="A652" s="4">
        <v>2078</v>
      </c>
      <c r="B652" s="2" t="s">
        <v>7</v>
      </c>
      <c r="C652" s="2" t="s">
        <v>8</v>
      </c>
      <c r="D652" s="2" t="s">
        <v>17</v>
      </c>
      <c r="E652" s="2">
        <v>22585</v>
      </c>
      <c r="F652" s="3">
        <v>36915</v>
      </c>
      <c r="G652" s="4">
        <v>153001000</v>
      </c>
      <c r="H652">
        <f t="shared" si="30"/>
        <v>461</v>
      </c>
      <c r="I652">
        <f t="shared" si="31"/>
        <v>0.26666666666666666</v>
      </c>
      <c r="J652">
        <f t="shared" si="32"/>
        <v>122.93333333333334</v>
      </c>
      <c r="O652">
        <v>2134</v>
      </c>
      <c r="P652">
        <v>1154</v>
      </c>
      <c r="R652">
        <v>2603</v>
      </c>
      <c r="S652">
        <v>9.5714285714285724E-2</v>
      </c>
    </row>
    <row r="653" spans="1:19" ht="15" customHeight="1" x14ac:dyDescent="0.2">
      <c r="A653" s="4">
        <v>2079</v>
      </c>
      <c r="B653" s="2" t="s">
        <v>7</v>
      </c>
      <c r="C653" s="2" t="s">
        <v>8</v>
      </c>
      <c r="D653" s="2" t="s">
        <v>17</v>
      </c>
      <c r="E653" s="2">
        <v>22584</v>
      </c>
      <c r="F653" s="3">
        <v>36915</v>
      </c>
      <c r="G653" s="4">
        <v>2548050000</v>
      </c>
      <c r="H653">
        <f t="shared" si="30"/>
        <v>461</v>
      </c>
      <c r="I653">
        <f t="shared" si="31"/>
        <v>0.14285714285714285</v>
      </c>
      <c r="J653">
        <f t="shared" si="32"/>
        <v>65.857142857142847</v>
      </c>
      <c r="O653">
        <v>2146</v>
      </c>
      <c r="P653">
        <v>1154</v>
      </c>
      <c r="R653">
        <v>2604</v>
      </c>
      <c r="S653">
        <v>0.23809523809523811</v>
      </c>
    </row>
    <row r="654" spans="1:19" ht="15" customHeight="1" x14ac:dyDescent="0.2">
      <c r="A654" s="4">
        <v>2081</v>
      </c>
      <c r="B654" s="2" t="s">
        <v>13</v>
      </c>
      <c r="C654" s="2" t="s">
        <v>116</v>
      </c>
      <c r="D654" s="2" t="s">
        <v>117</v>
      </c>
      <c r="F654" s="3">
        <v>42790</v>
      </c>
      <c r="G654" s="4">
        <v>3319002000</v>
      </c>
      <c r="H654">
        <f t="shared" si="30"/>
        <v>1632</v>
      </c>
      <c r="I654">
        <f t="shared" si="31"/>
        <v>0.66666666666666663</v>
      </c>
      <c r="J654">
        <f t="shared" si="32"/>
        <v>1088</v>
      </c>
      <c r="O654">
        <v>2149</v>
      </c>
      <c r="P654">
        <v>24</v>
      </c>
      <c r="R654">
        <v>2606</v>
      </c>
      <c r="S654">
        <v>2</v>
      </c>
    </row>
    <row r="655" spans="1:19" ht="15" customHeight="1" x14ac:dyDescent="0.2">
      <c r="A655" s="4">
        <v>2082</v>
      </c>
      <c r="B655" s="2" t="s">
        <v>13</v>
      </c>
      <c r="C655" s="2" t="s">
        <v>116</v>
      </c>
      <c r="D655" s="2" t="s">
        <v>117</v>
      </c>
      <c r="F655" s="3">
        <v>36826</v>
      </c>
      <c r="G655" s="4">
        <v>3042082002</v>
      </c>
      <c r="H655">
        <f t="shared" si="30"/>
        <v>1632</v>
      </c>
      <c r="I655">
        <f t="shared" si="31"/>
        <v>0.66666666666666663</v>
      </c>
      <c r="J655">
        <f t="shared" si="32"/>
        <v>1088</v>
      </c>
      <c r="O655">
        <v>2153</v>
      </c>
      <c r="P655">
        <v>368</v>
      </c>
      <c r="R655">
        <v>2608</v>
      </c>
      <c r="S655">
        <v>0.8571428571428571</v>
      </c>
    </row>
    <row r="656" spans="1:19" ht="15" customHeight="1" x14ac:dyDescent="0.2">
      <c r="A656" s="4">
        <v>2083</v>
      </c>
      <c r="B656" s="2" t="s">
        <v>13</v>
      </c>
      <c r="C656" s="2" t="s">
        <v>40</v>
      </c>
      <c r="D656" s="2" t="s">
        <v>113</v>
      </c>
      <c r="F656" s="3">
        <v>36915</v>
      </c>
      <c r="G656" s="4">
        <v>2341002000</v>
      </c>
      <c r="H656">
        <f t="shared" si="30"/>
        <v>765</v>
      </c>
      <c r="I656">
        <f t="shared" si="31"/>
        <v>0.33333333333333331</v>
      </c>
      <c r="J656">
        <f t="shared" si="32"/>
        <v>255</v>
      </c>
      <c r="O656">
        <v>2155</v>
      </c>
      <c r="P656">
        <v>3600</v>
      </c>
      <c r="R656">
        <v>2611</v>
      </c>
      <c r="S656">
        <v>0.2857142857142857</v>
      </c>
    </row>
    <row r="657" spans="1:19" ht="15" customHeight="1" x14ac:dyDescent="0.2">
      <c r="A657" s="4">
        <v>2084</v>
      </c>
      <c r="B657" s="2" t="s">
        <v>13</v>
      </c>
      <c r="C657" s="2" t="s">
        <v>40</v>
      </c>
      <c r="D657" s="2" t="s">
        <v>113</v>
      </c>
      <c r="F657" s="3">
        <v>36915</v>
      </c>
      <c r="G657" s="4">
        <v>66011000</v>
      </c>
      <c r="H657">
        <f t="shared" si="30"/>
        <v>765</v>
      </c>
      <c r="I657">
        <f t="shared" si="31"/>
        <v>0.14285714285714285</v>
      </c>
      <c r="J657">
        <f t="shared" si="32"/>
        <v>109.28571428571428</v>
      </c>
      <c r="O657">
        <v>2170</v>
      </c>
      <c r="P657">
        <v>12</v>
      </c>
      <c r="R657">
        <v>2620</v>
      </c>
      <c r="S657">
        <v>9.5238095238095233E-2</v>
      </c>
    </row>
    <row r="658" spans="1:19" ht="15" customHeight="1" x14ac:dyDescent="0.2">
      <c r="A658" s="4">
        <v>2090</v>
      </c>
      <c r="B658" s="2" t="s">
        <v>13</v>
      </c>
      <c r="C658" s="2" t="s">
        <v>40</v>
      </c>
      <c r="D658" s="2" t="s">
        <v>113</v>
      </c>
      <c r="F658" s="3">
        <v>36915</v>
      </c>
      <c r="G658" s="4">
        <v>2126001000</v>
      </c>
      <c r="H658">
        <f t="shared" si="30"/>
        <v>765</v>
      </c>
      <c r="I658">
        <f t="shared" si="31"/>
        <v>0.14285714285714285</v>
      </c>
      <c r="J658">
        <f t="shared" si="32"/>
        <v>109.28571428571428</v>
      </c>
      <c r="O658">
        <v>2175</v>
      </c>
      <c r="P658">
        <v>0</v>
      </c>
      <c r="R658">
        <v>2621</v>
      </c>
      <c r="S658">
        <v>0.14285714285714285</v>
      </c>
    </row>
    <row r="659" spans="1:19" ht="15" customHeight="1" x14ac:dyDescent="0.2">
      <c r="A659" s="4">
        <v>2092</v>
      </c>
      <c r="B659" s="2" t="s">
        <v>13</v>
      </c>
      <c r="C659" s="2" t="s">
        <v>40</v>
      </c>
      <c r="D659" s="2" t="s">
        <v>113</v>
      </c>
      <c r="F659" s="3">
        <v>36915</v>
      </c>
      <c r="G659" s="4">
        <v>3082001000</v>
      </c>
      <c r="H659">
        <f t="shared" si="30"/>
        <v>765</v>
      </c>
      <c r="I659">
        <f t="shared" si="31"/>
        <v>0.14285714285714285</v>
      </c>
      <c r="J659">
        <f t="shared" si="32"/>
        <v>109.28571428571428</v>
      </c>
      <c r="O659">
        <v>2180</v>
      </c>
      <c r="P659">
        <v>309.5</v>
      </c>
      <c r="R659">
        <v>2622</v>
      </c>
      <c r="S659">
        <v>0.2857142857142857</v>
      </c>
    </row>
    <row r="660" spans="1:19" ht="26.1" customHeight="1" x14ac:dyDescent="0.2">
      <c r="A660" s="4">
        <v>2101</v>
      </c>
      <c r="B660" s="2" t="s">
        <v>13</v>
      </c>
      <c r="C660" s="2" t="s">
        <v>114</v>
      </c>
      <c r="D660" s="2" t="s">
        <v>119</v>
      </c>
      <c r="E660" s="2" t="s">
        <v>120</v>
      </c>
      <c r="F660" s="3">
        <v>36952</v>
      </c>
      <c r="G660" s="4">
        <v>1000002</v>
      </c>
      <c r="H660">
        <f t="shared" si="30"/>
        <v>851</v>
      </c>
      <c r="I660">
        <f t="shared" si="31"/>
        <v>0.14285714285714285</v>
      </c>
      <c r="J660">
        <f t="shared" si="32"/>
        <v>121.57142857142857</v>
      </c>
      <c r="O660">
        <v>2181</v>
      </c>
      <c r="P660">
        <v>24</v>
      </c>
      <c r="R660">
        <v>2625</v>
      </c>
      <c r="S660">
        <v>0.14285714285714285</v>
      </c>
    </row>
    <row r="661" spans="1:19" ht="15" customHeight="1" x14ac:dyDescent="0.2">
      <c r="A661" s="4">
        <v>2110</v>
      </c>
      <c r="B661" s="2" t="s">
        <v>13</v>
      </c>
      <c r="C661" s="2" t="s">
        <v>40</v>
      </c>
      <c r="D661" s="2" t="s">
        <v>113</v>
      </c>
      <c r="F661" s="3">
        <v>36959</v>
      </c>
      <c r="G661" s="4">
        <v>1165000000</v>
      </c>
      <c r="H661">
        <f t="shared" si="30"/>
        <v>765</v>
      </c>
      <c r="I661">
        <f t="shared" si="31"/>
        <v>0.2857142857142857</v>
      </c>
      <c r="J661">
        <f t="shared" si="32"/>
        <v>218.57142857142856</v>
      </c>
      <c r="O661">
        <v>2182</v>
      </c>
      <c r="P661">
        <v>629</v>
      </c>
      <c r="R661">
        <v>2626</v>
      </c>
      <c r="S661">
        <v>9.5238095238095233E-2</v>
      </c>
    </row>
    <row r="662" spans="1:19" ht="15" customHeight="1" x14ac:dyDescent="0.2">
      <c r="A662" s="4">
        <v>2111</v>
      </c>
      <c r="B662" s="2" t="s">
        <v>13</v>
      </c>
      <c r="C662" s="2" t="s">
        <v>40</v>
      </c>
      <c r="D662" s="2" t="s">
        <v>113</v>
      </c>
      <c r="F662" s="3">
        <v>36959</v>
      </c>
      <c r="G662" s="4">
        <v>1023000</v>
      </c>
      <c r="H662">
        <f t="shared" si="30"/>
        <v>765</v>
      </c>
      <c r="I662">
        <f t="shared" si="31"/>
        <v>7.1428571428571425E-2</v>
      </c>
      <c r="J662">
        <f t="shared" si="32"/>
        <v>54.642857142857139</v>
      </c>
      <c r="O662">
        <v>2183</v>
      </c>
      <c r="P662">
        <v>1212</v>
      </c>
      <c r="R662">
        <v>2627</v>
      </c>
      <c r="S662">
        <v>3.7142857142857144</v>
      </c>
    </row>
    <row r="663" spans="1:19" ht="15" customHeight="1" x14ac:dyDescent="0.2">
      <c r="A663" s="4">
        <v>2112</v>
      </c>
      <c r="B663" s="2" t="s">
        <v>13</v>
      </c>
      <c r="C663" s="2" t="s">
        <v>40</v>
      </c>
      <c r="D663" s="2" t="s">
        <v>113</v>
      </c>
      <c r="F663" s="3">
        <v>36959</v>
      </c>
      <c r="G663" s="4">
        <v>153006000</v>
      </c>
      <c r="H663">
        <f t="shared" si="30"/>
        <v>765</v>
      </c>
      <c r="I663">
        <f t="shared" si="31"/>
        <v>0.66666666666666663</v>
      </c>
      <c r="J663">
        <f t="shared" si="32"/>
        <v>510</v>
      </c>
      <c r="O663">
        <v>2194</v>
      </c>
      <c r="P663">
        <v>309.5</v>
      </c>
      <c r="R663">
        <v>2628</v>
      </c>
      <c r="S663">
        <v>9.5714285714285724E-2</v>
      </c>
    </row>
    <row r="664" spans="1:19" ht="15" customHeight="1" x14ac:dyDescent="0.2">
      <c r="A664" s="4">
        <v>2113</v>
      </c>
      <c r="B664" s="2" t="s">
        <v>13</v>
      </c>
      <c r="C664" s="2" t="s">
        <v>40</v>
      </c>
      <c r="D664" s="2" t="s">
        <v>113</v>
      </c>
      <c r="F664" s="3">
        <v>36959</v>
      </c>
      <c r="G664" s="4">
        <v>1014001</v>
      </c>
      <c r="H664">
        <f t="shared" si="30"/>
        <v>765</v>
      </c>
      <c r="I664">
        <f t="shared" si="31"/>
        <v>0.66666666666666663</v>
      </c>
      <c r="J664">
        <f t="shared" si="32"/>
        <v>510</v>
      </c>
      <c r="O664">
        <v>2195</v>
      </c>
      <c r="P664">
        <v>309.5</v>
      </c>
      <c r="R664">
        <v>2630</v>
      </c>
      <c r="S664">
        <v>3.7142857142857144</v>
      </c>
    </row>
    <row r="665" spans="1:19" ht="26.1" customHeight="1" x14ac:dyDescent="0.2">
      <c r="A665" s="4">
        <v>2116</v>
      </c>
      <c r="B665" s="2" t="s">
        <v>11</v>
      </c>
      <c r="C665" s="2" t="s">
        <v>8</v>
      </c>
      <c r="D665" s="2" t="s">
        <v>9</v>
      </c>
      <c r="E665" s="2">
        <v>22194</v>
      </c>
      <c r="F665" s="3">
        <v>36893</v>
      </c>
      <c r="G665" s="4">
        <v>18001000</v>
      </c>
      <c r="H665">
        <f t="shared" si="30"/>
        <v>309.5</v>
      </c>
      <c r="I665">
        <f t="shared" si="31"/>
        <v>0.66666666666666663</v>
      </c>
      <c r="J665">
        <f t="shared" si="32"/>
        <v>206.33333333333331</v>
      </c>
      <c r="O665">
        <v>2196</v>
      </c>
      <c r="P665">
        <v>309.5</v>
      </c>
      <c r="R665">
        <v>2632</v>
      </c>
      <c r="S665">
        <v>3.7142857142857144</v>
      </c>
    </row>
    <row r="666" spans="1:19" ht="15" customHeight="1" x14ac:dyDescent="0.2">
      <c r="A666" s="4">
        <v>2118</v>
      </c>
      <c r="B666" s="2" t="s">
        <v>7</v>
      </c>
      <c r="C666" s="2" t="s">
        <v>8</v>
      </c>
      <c r="D666" s="2" t="s">
        <v>9</v>
      </c>
      <c r="E666" s="2">
        <v>22175</v>
      </c>
      <c r="F666" s="3">
        <v>36893</v>
      </c>
      <c r="G666" s="4">
        <v>1014001</v>
      </c>
      <c r="H666">
        <f t="shared" si="30"/>
        <v>309.5</v>
      </c>
      <c r="I666">
        <f t="shared" si="31"/>
        <v>0.66666666666666663</v>
      </c>
      <c r="J666">
        <f t="shared" si="32"/>
        <v>206.33333333333331</v>
      </c>
      <c r="O666">
        <v>2200</v>
      </c>
      <c r="P666">
        <v>309.5</v>
      </c>
      <c r="R666">
        <v>2633</v>
      </c>
      <c r="S666">
        <v>0.42857142857142855</v>
      </c>
    </row>
    <row r="667" spans="1:19" ht="15" customHeight="1" x14ac:dyDescent="0.2">
      <c r="A667" s="4">
        <v>2128</v>
      </c>
      <c r="B667" s="2" t="s">
        <v>7</v>
      </c>
      <c r="C667" s="2" t="s">
        <v>12</v>
      </c>
      <c r="D667" s="2" t="s">
        <v>43</v>
      </c>
      <c r="E667" s="2">
        <v>19987</v>
      </c>
      <c r="F667" s="3">
        <v>36980</v>
      </c>
      <c r="G667" s="4">
        <v>18001000</v>
      </c>
      <c r="H667">
        <f t="shared" si="30"/>
        <v>318.5</v>
      </c>
      <c r="I667">
        <f t="shared" si="31"/>
        <v>0.66666666666666663</v>
      </c>
      <c r="J667">
        <f t="shared" si="32"/>
        <v>212.33333333333331</v>
      </c>
      <c r="O667">
        <v>2201</v>
      </c>
      <c r="P667">
        <v>1164.5</v>
      </c>
      <c r="R667">
        <v>2634</v>
      </c>
      <c r="S667">
        <v>2</v>
      </c>
    </row>
    <row r="668" spans="1:19" ht="15" customHeight="1" x14ac:dyDescent="0.2">
      <c r="A668" s="4">
        <v>2133</v>
      </c>
      <c r="B668" s="2" t="s">
        <v>7</v>
      </c>
      <c r="C668" s="2" t="s">
        <v>12</v>
      </c>
      <c r="D668" s="2">
        <v>1014</v>
      </c>
      <c r="E668" s="2">
        <v>22205</v>
      </c>
      <c r="F668" s="3">
        <v>36728</v>
      </c>
      <c r="G668" s="4">
        <v>2126001000</v>
      </c>
      <c r="H668">
        <f t="shared" si="30"/>
        <v>241.5</v>
      </c>
      <c r="I668">
        <f t="shared" si="31"/>
        <v>0.66666666666666663</v>
      </c>
      <c r="J668">
        <f t="shared" si="32"/>
        <v>161</v>
      </c>
      <c r="O668">
        <v>2202</v>
      </c>
      <c r="P668">
        <v>309.5</v>
      </c>
      <c r="R668">
        <v>2653</v>
      </c>
      <c r="S668">
        <v>3.3333333333333333E-2</v>
      </c>
    </row>
    <row r="669" spans="1:19" ht="15" customHeight="1" x14ac:dyDescent="0.2">
      <c r="A669" s="4">
        <v>2134</v>
      </c>
      <c r="B669" s="2" t="s">
        <v>7</v>
      </c>
      <c r="C669" s="2" t="s">
        <v>12</v>
      </c>
      <c r="D669" s="2" t="s">
        <v>10</v>
      </c>
      <c r="E669" s="2">
        <v>4981</v>
      </c>
      <c r="F669" s="3">
        <v>36728</v>
      </c>
      <c r="G669" s="4">
        <v>43002000</v>
      </c>
      <c r="H669">
        <f t="shared" si="30"/>
        <v>1154</v>
      </c>
      <c r="I669">
        <f t="shared" si="31"/>
        <v>0.5714285714285714</v>
      </c>
      <c r="J669">
        <f t="shared" si="32"/>
        <v>659.42857142857144</v>
      </c>
      <c r="O669">
        <v>2203</v>
      </c>
      <c r="P669">
        <v>1164.5</v>
      </c>
      <c r="R669">
        <v>2654</v>
      </c>
      <c r="S669">
        <v>0.66666666666666663</v>
      </c>
    </row>
    <row r="670" spans="1:19" ht="15" customHeight="1" x14ac:dyDescent="0.2">
      <c r="A670" s="4">
        <v>2146</v>
      </c>
      <c r="B670" s="2" t="s">
        <v>7</v>
      </c>
      <c r="C670" s="2" t="s">
        <v>12</v>
      </c>
      <c r="D670" s="2" t="s">
        <v>10</v>
      </c>
      <c r="E670" s="2">
        <v>19814</v>
      </c>
      <c r="F670" s="3">
        <v>37093</v>
      </c>
      <c r="G670" s="4">
        <v>2081002000</v>
      </c>
      <c r="H670">
        <f t="shared" si="30"/>
        <v>1154</v>
      </c>
      <c r="I670">
        <f t="shared" si="31"/>
        <v>0.5714285714285714</v>
      </c>
      <c r="J670">
        <f t="shared" si="32"/>
        <v>659.42857142857144</v>
      </c>
      <c r="O670">
        <v>2204</v>
      </c>
      <c r="P670">
        <v>1212</v>
      </c>
      <c r="R670">
        <v>2655</v>
      </c>
      <c r="S670">
        <v>0.42857142857142855</v>
      </c>
    </row>
    <row r="671" spans="1:19" ht="15" customHeight="1" x14ac:dyDescent="0.2">
      <c r="A671" s="4">
        <v>2149</v>
      </c>
      <c r="B671" s="2" t="s">
        <v>100</v>
      </c>
      <c r="C671" s="2" t="s">
        <v>121</v>
      </c>
      <c r="D671" s="2">
        <v>15735</v>
      </c>
      <c r="E671" s="2">
        <v>1097</v>
      </c>
      <c r="F671" s="3">
        <v>25688</v>
      </c>
      <c r="G671" s="4">
        <v>66011000</v>
      </c>
      <c r="H671">
        <f t="shared" si="30"/>
        <v>24</v>
      </c>
      <c r="I671">
        <f t="shared" si="31"/>
        <v>0.5714285714285714</v>
      </c>
      <c r="J671">
        <f t="shared" si="32"/>
        <v>13.714285714285714</v>
      </c>
      <c r="O671">
        <v>2205</v>
      </c>
      <c r="P671">
        <v>309.5</v>
      </c>
      <c r="R671">
        <v>2659</v>
      </c>
      <c r="S671">
        <v>0.5714285714285714</v>
      </c>
    </row>
    <row r="672" spans="1:19" ht="26.1" customHeight="1" x14ac:dyDescent="0.2">
      <c r="A672" s="4">
        <v>2153</v>
      </c>
      <c r="B672" s="2" t="s">
        <v>11</v>
      </c>
      <c r="C672" s="2" t="s">
        <v>12</v>
      </c>
      <c r="D672" s="2" t="s">
        <v>122</v>
      </c>
      <c r="E672" s="2">
        <v>22204</v>
      </c>
      <c r="F672" s="3">
        <v>36728</v>
      </c>
      <c r="G672" s="4">
        <v>1014001</v>
      </c>
      <c r="H672">
        <f t="shared" si="30"/>
        <v>368</v>
      </c>
      <c r="I672">
        <f t="shared" si="31"/>
        <v>2</v>
      </c>
      <c r="J672">
        <f t="shared" si="32"/>
        <v>736</v>
      </c>
      <c r="O672">
        <v>2206</v>
      </c>
      <c r="P672">
        <v>309.5</v>
      </c>
      <c r="R672">
        <v>2669</v>
      </c>
      <c r="S672">
        <v>0.42857142857142855</v>
      </c>
    </row>
    <row r="673" spans="1:19" ht="26.1" customHeight="1" x14ac:dyDescent="0.2">
      <c r="A673" s="4">
        <v>2155</v>
      </c>
      <c r="B673" s="2" t="s">
        <v>123</v>
      </c>
      <c r="C673" s="2" t="s">
        <v>124</v>
      </c>
      <c r="D673" s="2" t="s">
        <v>125</v>
      </c>
      <c r="F673" s="3">
        <v>37222</v>
      </c>
      <c r="G673" s="4">
        <v>1014001</v>
      </c>
      <c r="H673">
        <f t="shared" si="30"/>
        <v>3600</v>
      </c>
      <c r="I673">
        <f t="shared" si="31"/>
        <v>2</v>
      </c>
      <c r="J673">
        <f t="shared" si="32"/>
        <v>7200</v>
      </c>
      <c r="O673">
        <v>2207</v>
      </c>
      <c r="P673">
        <v>309.5</v>
      </c>
      <c r="R673">
        <v>2679</v>
      </c>
      <c r="S673">
        <v>1.6666666666666666E-2</v>
      </c>
    </row>
    <row r="674" spans="1:19" ht="26.1" customHeight="1" x14ac:dyDescent="0.2">
      <c r="A674" s="4">
        <v>2167</v>
      </c>
      <c r="B674" s="2" t="s">
        <v>82</v>
      </c>
      <c r="C674" s="2" t="s">
        <v>80</v>
      </c>
      <c r="D674" s="2" t="s">
        <v>83</v>
      </c>
      <c r="E674" s="2">
        <v>352047956</v>
      </c>
      <c r="F674" s="3">
        <v>37327</v>
      </c>
      <c r="G674" s="4">
        <v>1014002</v>
      </c>
      <c r="H674">
        <f t="shared" si="30"/>
        <v>3600</v>
      </c>
      <c r="I674">
        <f t="shared" si="31"/>
        <v>2</v>
      </c>
      <c r="J674">
        <f t="shared" si="32"/>
        <v>7200</v>
      </c>
      <c r="O674">
        <v>2208</v>
      </c>
      <c r="P674">
        <v>309.5</v>
      </c>
      <c r="R674">
        <v>2684</v>
      </c>
      <c r="S674">
        <v>3.7142857142857144</v>
      </c>
    </row>
    <row r="675" spans="1:19" ht="15" customHeight="1" x14ac:dyDescent="0.2">
      <c r="A675" s="4">
        <v>2168</v>
      </c>
      <c r="B675" s="2" t="s">
        <v>65</v>
      </c>
      <c r="C675" s="2" t="s">
        <v>126</v>
      </c>
      <c r="D675" s="2">
        <v>400</v>
      </c>
      <c r="F675" s="3">
        <v>25688</v>
      </c>
      <c r="G675" s="4">
        <v>1000003</v>
      </c>
      <c r="H675">
        <f t="shared" si="30"/>
        <v>3600</v>
      </c>
      <c r="I675">
        <f t="shared" si="31"/>
        <v>2</v>
      </c>
      <c r="J675">
        <f t="shared" si="32"/>
        <v>7200</v>
      </c>
      <c r="O675">
        <v>2210</v>
      </c>
      <c r="P675">
        <v>1164.5</v>
      </c>
      <c r="R675">
        <v>2697</v>
      </c>
      <c r="S675">
        <v>2</v>
      </c>
    </row>
    <row r="676" spans="1:19" ht="26.1" customHeight="1" x14ac:dyDescent="0.2">
      <c r="A676" s="4">
        <v>2170</v>
      </c>
      <c r="B676" s="2" t="s">
        <v>127</v>
      </c>
      <c r="C676" s="2" t="s">
        <v>69</v>
      </c>
      <c r="D676" s="2" t="s">
        <v>10</v>
      </c>
      <c r="F676" s="3">
        <v>37378</v>
      </c>
      <c r="G676" s="4">
        <v>1014001</v>
      </c>
      <c r="H676">
        <f t="shared" si="30"/>
        <v>12</v>
      </c>
      <c r="I676">
        <f t="shared" si="31"/>
        <v>2</v>
      </c>
      <c r="J676">
        <f t="shared" si="32"/>
        <v>24</v>
      </c>
      <c r="O676">
        <v>2211</v>
      </c>
      <c r="P676">
        <v>1212</v>
      </c>
      <c r="R676">
        <v>2710</v>
      </c>
      <c r="S676">
        <v>1.7142857142857142</v>
      </c>
    </row>
    <row r="677" spans="1:19" ht="15" customHeight="1" x14ac:dyDescent="0.2">
      <c r="A677" s="4">
        <v>2175</v>
      </c>
      <c r="B677" s="2" t="s">
        <v>128</v>
      </c>
      <c r="C677" s="2" t="s">
        <v>69</v>
      </c>
      <c r="D677" s="2" t="s">
        <v>10</v>
      </c>
      <c r="F677" s="3">
        <v>37482</v>
      </c>
      <c r="G677" s="4">
        <v>2514001000</v>
      </c>
      <c r="H677">
        <f t="shared" si="30"/>
        <v>0</v>
      </c>
      <c r="I677">
        <f t="shared" si="31"/>
        <v>2</v>
      </c>
      <c r="J677">
        <f t="shared" si="32"/>
        <v>0</v>
      </c>
      <c r="O677">
        <v>2212</v>
      </c>
      <c r="P677">
        <v>309.5</v>
      </c>
      <c r="R677">
        <v>2712</v>
      </c>
      <c r="S677">
        <v>0.42857142857142855</v>
      </c>
    </row>
    <row r="678" spans="1:19" ht="26.1" customHeight="1" x14ac:dyDescent="0.2">
      <c r="A678" s="4">
        <v>2180</v>
      </c>
      <c r="B678" s="2" t="s">
        <v>11</v>
      </c>
      <c r="C678" s="2" t="s">
        <v>8</v>
      </c>
      <c r="D678" s="2" t="s">
        <v>9</v>
      </c>
      <c r="E678" s="2">
        <v>22212</v>
      </c>
      <c r="F678" s="3">
        <v>36915</v>
      </c>
      <c r="G678" s="4">
        <v>2126001000</v>
      </c>
      <c r="H678">
        <f t="shared" si="30"/>
        <v>309.5</v>
      </c>
      <c r="I678">
        <f t="shared" si="31"/>
        <v>2</v>
      </c>
      <c r="J678">
        <f t="shared" si="32"/>
        <v>619</v>
      </c>
      <c r="O678">
        <v>2214</v>
      </c>
      <c r="P678">
        <v>309.5</v>
      </c>
      <c r="R678">
        <v>2716</v>
      </c>
      <c r="S678">
        <v>4.7619047619047616E-2</v>
      </c>
    </row>
    <row r="679" spans="1:19" ht="15" customHeight="1" x14ac:dyDescent="0.2">
      <c r="A679" s="4">
        <v>2181</v>
      </c>
      <c r="B679" s="2" t="s">
        <v>100</v>
      </c>
      <c r="C679" s="2" t="s">
        <v>129</v>
      </c>
      <c r="D679" s="2" t="s">
        <v>10</v>
      </c>
      <c r="E679" s="2">
        <v>34973</v>
      </c>
      <c r="F679" s="3">
        <v>35824</v>
      </c>
      <c r="G679" s="4">
        <v>3319002000</v>
      </c>
      <c r="H679">
        <f t="shared" si="30"/>
        <v>24</v>
      </c>
      <c r="I679">
        <f t="shared" si="31"/>
        <v>2</v>
      </c>
      <c r="J679">
        <f t="shared" si="32"/>
        <v>48</v>
      </c>
      <c r="O679">
        <v>2216</v>
      </c>
      <c r="P679">
        <v>309.5</v>
      </c>
      <c r="R679">
        <v>2717</v>
      </c>
      <c r="S679">
        <v>0.2857142857142857</v>
      </c>
    </row>
    <row r="680" spans="1:19" ht="15" customHeight="1" x14ac:dyDescent="0.2">
      <c r="A680" s="4">
        <v>2182</v>
      </c>
      <c r="B680" s="2" t="s">
        <v>7</v>
      </c>
      <c r="C680" s="2" t="s">
        <v>14</v>
      </c>
      <c r="D680" s="2">
        <v>1700</v>
      </c>
      <c r="F680" s="3">
        <v>37621</v>
      </c>
      <c r="G680" s="4">
        <v>3135005000</v>
      </c>
      <c r="H680">
        <f t="shared" si="30"/>
        <v>629</v>
      </c>
      <c r="I680">
        <f t="shared" si="31"/>
        <v>0.2857142857142857</v>
      </c>
      <c r="J680">
        <f t="shared" si="32"/>
        <v>179.71428571428569</v>
      </c>
      <c r="O680">
        <v>2223</v>
      </c>
      <c r="P680">
        <v>0</v>
      </c>
      <c r="R680">
        <v>2723</v>
      </c>
      <c r="S680">
        <v>0.33333333333333331</v>
      </c>
    </row>
    <row r="681" spans="1:19" ht="15" customHeight="1" x14ac:dyDescent="0.2">
      <c r="A681" s="4">
        <v>2183</v>
      </c>
      <c r="B681" s="2" t="s">
        <v>13</v>
      </c>
      <c r="C681" s="2" t="s">
        <v>8</v>
      </c>
      <c r="D681" s="2" t="s">
        <v>20</v>
      </c>
      <c r="F681" s="3">
        <v>25688</v>
      </c>
      <c r="G681" s="4">
        <v>43006000</v>
      </c>
      <c r="H681">
        <f t="shared" si="30"/>
        <v>1212</v>
      </c>
      <c r="I681">
        <f t="shared" si="31"/>
        <v>0.5714285714285714</v>
      </c>
      <c r="J681">
        <f t="shared" si="32"/>
        <v>692.57142857142856</v>
      </c>
      <c r="O681">
        <v>2242</v>
      </c>
      <c r="P681">
        <v>36</v>
      </c>
      <c r="R681">
        <v>2724</v>
      </c>
      <c r="S681">
        <v>7.1428571428571425E-2</v>
      </c>
    </row>
    <row r="682" spans="1:19" ht="26.1" customHeight="1" x14ac:dyDescent="0.2">
      <c r="A682" s="4">
        <v>2188</v>
      </c>
      <c r="B682" s="2" t="s">
        <v>82</v>
      </c>
      <c r="C682" s="2" t="s">
        <v>80</v>
      </c>
      <c r="D682" s="2" t="s">
        <v>83</v>
      </c>
      <c r="E682" s="2">
        <v>356403232</v>
      </c>
      <c r="F682" s="3">
        <v>37707</v>
      </c>
      <c r="G682" s="4">
        <v>1023000</v>
      </c>
      <c r="H682">
        <f t="shared" si="30"/>
        <v>1212</v>
      </c>
      <c r="I682">
        <f t="shared" si="31"/>
        <v>0.5714285714285714</v>
      </c>
      <c r="J682">
        <f t="shared" si="32"/>
        <v>692.57142857142856</v>
      </c>
      <c r="O682">
        <v>2246</v>
      </c>
      <c r="P682">
        <v>0</v>
      </c>
      <c r="R682">
        <v>2726</v>
      </c>
      <c r="S682">
        <v>0.2857142857142857</v>
      </c>
    </row>
    <row r="683" spans="1:19" ht="15" customHeight="1" x14ac:dyDescent="0.2">
      <c r="A683" s="4">
        <v>2193</v>
      </c>
      <c r="B683" s="2" t="s">
        <v>68</v>
      </c>
      <c r="C683" s="2" t="s">
        <v>69</v>
      </c>
      <c r="D683" s="2" t="s">
        <v>10</v>
      </c>
      <c r="E683" s="2">
        <v>11111</v>
      </c>
      <c r="F683" s="3">
        <v>37713</v>
      </c>
      <c r="G683" s="4">
        <v>1000012</v>
      </c>
      <c r="H683">
        <f t="shared" si="30"/>
        <v>1212</v>
      </c>
      <c r="I683">
        <f t="shared" si="31"/>
        <v>0.5714285714285714</v>
      </c>
      <c r="J683">
        <f t="shared" si="32"/>
        <v>692.57142857142856</v>
      </c>
      <c r="O683">
        <v>2258</v>
      </c>
      <c r="P683">
        <v>360</v>
      </c>
      <c r="R683">
        <v>2730</v>
      </c>
      <c r="S683">
        <v>1.7142857142857142</v>
      </c>
    </row>
    <row r="684" spans="1:19" ht="15" customHeight="1" x14ac:dyDescent="0.2">
      <c r="A684" s="4">
        <v>2194</v>
      </c>
      <c r="B684" s="2" t="s">
        <v>7</v>
      </c>
      <c r="C684" s="2" t="s">
        <v>8</v>
      </c>
      <c r="D684" s="2" t="s">
        <v>9</v>
      </c>
      <c r="E684" s="2">
        <v>23572</v>
      </c>
      <c r="F684" s="3">
        <v>37778</v>
      </c>
      <c r="G684" s="4">
        <v>165001000</v>
      </c>
      <c r="H684">
        <f t="shared" si="30"/>
        <v>309.5</v>
      </c>
      <c r="I684">
        <f t="shared" si="31"/>
        <v>1.4285714285714286</v>
      </c>
      <c r="J684">
        <f t="shared" si="32"/>
        <v>442.14285714285717</v>
      </c>
      <c r="O684">
        <v>2267</v>
      </c>
      <c r="P684">
        <v>1107.5</v>
      </c>
      <c r="R684">
        <v>2731</v>
      </c>
      <c r="S684">
        <v>1.7142857142857142</v>
      </c>
    </row>
    <row r="685" spans="1:19" ht="26.1" customHeight="1" x14ac:dyDescent="0.2">
      <c r="A685" s="4">
        <v>2195</v>
      </c>
      <c r="B685" s="2" t="s">
        <v>11</v>
      </c>
      <c r="C685" s="2" t="s">
        <v>8</v>
      </c>
      <c r="D685" s="2" t="s">
        <v>9</v>
      </c>
      <c r="E685" s="2">
        <v>23583</v>
      </c>
      <c r="F685" s="3">
        <v>37778</v>
      </c>
      <c r="G685" s="4">
        <v>2994001000</v>
      </c>
      <c r="H685">
        <f t="shared" si="30"/>
        <v>309.5</v>
      </c>
      <c r="I685">
        <f t="shared" si="31"/>
        <v>0.5</v>
      </c>
      <c r="J685">
        <f t="shared" si="32"/>
        <v>154.75</v>
      </c>
      <c r="O685">
        <v>2274</v>
      </c>
      <c r="P685">
        <v>532</v>
      </c>
      <c r="R685">
        <v>2758</v>
      </c>
      <c r="S685">
        <v>3.7142857142857144</v>
      </c>
    </row>
    <row r="686" spans="1:19" ht="15" customHeight="1" x14ac:dyDescent="0.2">
      <c r="A686" s="4">
        <v>2196</v>
      </c>
      <c r="B686" s="2" t="s">
        <v>7</v>
      </c>
      <c r="C686" s="2" t="s">
        <v>8</v>
      </c>
      <c r="D686" s="2" t="s">
        <v>9</v>
      </c>
      <c r="E686" s="2">
        <v>23582</v>
      </c>
      <c r="F686" s="3">
        <v>37778</v>
      </c>
      <c r="G686" s="4">
        <v>1321001000</v>
      </c>
      <c r="H686">
        <f t="shared" si="30"/>
        <v>309.5</v>
      </c>
      <c r="I686">
        <f t="shared" si="31"/>
        <v>7.1428571428571425E-2</v>
      </c>
      <c r="J686">
        <f t="shared" si="32"/>
        <v>22.107142857142858</v>
      </c>
      <c r="O686">
        <v>2277</v>
      </c>
      <c r="P686">
        <v>309.5</v>
      </c>
      <c r="R686">
        <v>2759</v>
      </c>
      <c r="S686">
        <v>3.7142857142857144</v>
      </c>
    </row>
    <row r="687" spans="1:19" ht="15" customHeight="1" x14ac:dyDescent="0.2">
      <c r="A687" s="4">
        <v>2200</v>
      </c>
      <c r="B687" s="2" t="s">
        <v>7</v>
      </c>
      <c r="C687" s="2" t="s">
        <v>8</v>
      </c>
      <c r="D687" s="2" t="s">
        <v>9</v>
      </c>
      <c r="E687" s="2">
        <v>22185</v>
      </c>
      <c r="F687" s="3">
        <v>37819</v>
      </c>
      <c r="G687" s="4">
        <v>1023000</v>
      </c>
      <c r="H687">
        <f t="shared" si="30"/>
        <v>309.5</v>
      </c>
      <c r="I687">
        <f t="shared" si="31"/>
        <v>0.2857142857142857</v>
      </c>
      <c r="J687">
        <f t="shared" si="32"/>
        <v>88.428571428571431</v>
      </c>
      <c r="O687">
        <v>2279</v>
      </c>
      <c r="P687">
        <v>309.5</v>
      </c>
      <c r="R687">
        <v>2768</v>
      </c>
      <c r="S687">
        <v>0.14285714285714285</v>
      </c>
    </row>
    <row r="688" spans="1:19" ht="15" customHeight="1" x14ac:dyDescent="0.2">
      <c r="A688" s="4">
        <v>2201</v>
      </c>
      <c r="B688" s="2" t="s">
        <v>13</v>
      </c>
      <c r="C688" s="2" t="s">
        <v>8</v>
      </c>
      <c r="D688" s="2" t="s">
        <v>122</v>
      </c>
      <c r="E688" s="2">
        <v>19232</v>
      </c>
      <c r="F688" s="3">
        <v>37819</v>
      </c>
      <c r="G688" s="4">
        <v>2548013000</v>
      </c>
      <c r="H688">
        <f t="shared" si="30"/>
        <v>1164.5</v>
      </c>
      <c r="I688">
        <f t="shared" si="31"/>
        <v>0.2857142857142857</v>
      </c>
      <c r="J688">
        <f t="shared" si="32"/>
        <v>332.71428571428572</v>
      </c>
      <c r="O688">
        <v>2280</v>
      </c>
      <c r="P688">
        <v>309.5</v>
      </c>
      <c r="R688">
        <v>2769</v>
      </c>
      <c r="S688">
        <v>2</v>
      </c>
    </row>
    <row r="689" spans="1:19" ht="26.1" customHeight="1" x14ac:dyDescent="0.2">
      <c r="A689" s="4">
        <v>2202</v>
      </c>
      <c r="B689" s="2" t="s">
        <v>11</v>
      </c>
      <c r="C689" s="2" t="s">
        <v>8</v>
      </c>
      <c r="D689" s="2" t="s">
        <v>9</v>
      </c>
      <c r="E689" s="2">
        <v>22170</v>
      </c>
      <c r="F689" s="3">
        <v>37819</v>
      </c>
      <c r="G689" s="4">
        <v>2126001000</v>
      </c>
      <c r="H689">
        <f t="shared" si="30"/>
        <v>309.5</v>
      </c>
      <c r="I689">
        <f t="shared" si="31"/>
        <v>0.2857142857142857</v>
      </c>
      <c r="J689">
        <f t="shared" si="32"/>
        <v>88.428571428571431</v>
      </c>
      <c r="O689">
        <v>2281</v>
      </c>
      <c r="P689">
        <v>309.5</v>
      </c>
      <c r="R689">
        <v>2770</v>
      </c>
      <c r="S689">
        <v>1</v>
      </c>
    </row>
    <row r="690" spans="1:19" ht="15" customHeight="1" x14ac:dyDescent="0.2">
      <c r="A690" s="4">
        <v>2203</v>
      </c>
      <c r="B690" s="2" t="s">
        <v>13</v>
      </c>
      <c r="C690" s="2" t="s">
        <v>8</v>
      </c>
      <c r="D690" s="2" t="s">
        <v>122</v>
      </c>
      <c r="E690" s="2">
        <v>19239</v>
      </c>
      <c r="F690" s="3">
        <v>37819</v>
      </c>
      <c r="G690" s="4">
        <v>193012000</v>
      </c>
      <c r="H690">
        <f t="shared" si="30"/>
        <v>1164.5</v>
      </c>
      <c r="I690">
        <f t="shared" si="31"/>
        <v>2</v>
      </c>
      <c r="J690">
        <f t="shared" si="32"/>
        <v>2329</v>
      </c>
      <c r="O690">
        <v>2283</v>
      </c>
      <c r="P690">
        <v>309.5</v>
      </c>
      <c r="R690">
        <v>2772</v>
      </c>
      <c r="S690">
        <v>0.14285714285714285</v>
      </c>
    </row>
    <row r="691" spans="1:19" ht="15" customHeight="1" x14ac:dyDescent="0.2">
      <c r="A691" s="4">
        <v>2204</v>
      </c>
      <c r="B691" s="2" t="s">
        <v>13</v>
      </c>
      <c r="C691" s="2" t="s">
        <v>8</v>
      </c>
      <c r="D691" s="2" t="s">
        <v>18</v>
      </c>
      <c r="E691" s="2">
        <v>19255</v>
      </c>
      <c r="F691" s="3">
        <v>37819</v>
      </c>
      <c r="G691" s="4">
        <v>2126001000</v>
      </c>
      <c r="H691">
        <f t="shared" si="30"/>
        <v>1212</v>
      </c>
      <c r="I691">
        <f t="shared" si="31"/>
        <v>2</v>
      </c>
      <c r="J691">
        <f t="shared" si="32"/>
        <v>2424</v>
      </c>
      <c r="O691">
        <v>2284</v>
      </c>
      <c r="P691">
        <v>309.5</v>
      </c>
      <c r="R691">
        <v>2773</v>
      </c>
      <c r="S691">
        <v>0.14285714285714285</v>
      </c>
    </row>
    <row r="692" spans="1:19" ht="15" customHeight="1" x14ac:dyDescent="0.2">
      <c r="A692" s="4">
        <v>2205</v>
      </c>
      <c r="B692" s="2" t="s">
        <v>7</v>
      </c>
      <c r="C692" s="2" t="s">
        <v>8</v>
      </c>
      <c r="D692" s="2" t="s">
        <v>9</v>
      </c>
      <c r="E692" s="2">
        <v>22186</v>
      </c>
      <c r="F692" s="3">
        <v>37819</v>
      </c>
      <c r="G692" s="4">
        <v>2886002000</v>
      </c>
      <c r="H692">
        <f t="shared" si="30"/>
        <v>309.5</v>
      </c>
      <c r="I692">
        <f t="shared" si="31"/>
        <v>1.7142857142857142</v>
      </c>
      <c r="J692">
        <f t="shared" si="32"/>
        <v>530.57142857142856</v>
      </c>
      <c r="O692">
        <v>2285</v>
      </c>
      <c r="P692">
        <v>309.5</v>
      </c>
      <c r="R692">
        <v>2790</v>
      </c>
      <c r="S692">
        <v>0.5714285714285714</v>
      </c>
    </row>
    <row r="693" spans="1:19" ht="15" customHeight="1" x14ac:dyDescent="0.2">
      <c r="A693" s="4">
        <v>2206</v>
      </c>
      <c r="B693" s="2" t="s">
        <v>7</v>
      </c>
      <c r="C693" s="2" t="s">
        <v>8</v>
      </c>
      <c r="D693" s="2" t="s">
        <v>9</v>
      </c>
      <c r="E693" s="2">
        <v>22189</v>
      </c>
      <c r="F693" s="3">
        <v>37819</v>
      </c>
      <c r="G693" s="4">
        <v>1068022000</v>
      </c>
      <c r="H693">
        <f t="shared" si="30"/>
        <v>309.5</v>
      </c>
      <c r="I693">
        <f t="shared" si="31"/>
        <v>0.14285714285714285</v>
      </c>
      <c r="J693">
        <f t="shared" si="32"/>
        <v>44.214285714285715</v>
      </c>
      <c r="O693">
        <v>2286</v>
      </c>
      <c r="P693">
        <v>309.5</v>
      </c>
      <c r="R693">
        <v>2791</v>
      </c>
      <c r="S693">
        <v>0.5714285714285714</v>
      </c>
    </row>
    <row r="694" spans="1:19" ht="15" customHeight="1" x14ac:dyDescent="0.2">
      <c r="A694" s="4">
        <v>2207</v>
      </c>
      <c r="B694" s="2" t="s">
        <v>7</v>
      </c>
      <c r="C694" s="2" t="s">
        <v>8</v>
      </c>
      <c r="D694" s="2" t="s">
        <v>9</v>
      </c>
      <c r="E694" s="2">
        <v>22187</v>
      </c>
      <c r="F694" s="3">
        <v>37819</v>
      </c>
      <c r="G694" s="4">
        <v>43002000</v>
      </c>
      <c r="H694">
        <f t="shared" si="30"/>
        <v>309.5</v>
      </c>
      <c r="I694">
        <f t="shared" si="31"/>
        <v>2</v>
      </c>
      <c r="J694">
        <f t="shared" si="32"/>
        <v>619</v>
      </c>
      <c r="O694">
        <v>2287</v>
      </c>
      <c r="P694">
        <v>309.5</v>
      </c>
      <c r="R694">
        <v>2796</v>
      </c>
      <c r="S694">
        <v>0.5714285714285714</v>
      </c>
    </row>
    <row r="695" spans="1:19" ht="15" customHeight="1" x14ac:dyDescent="0.2">
      <c r="A695" s="4">
        <v>2208</v>
      </c>
      <c r="B695" s="2" t="s">
        <v>7</v>
      </c>
      <c r="C695" s="2" t="s">
        <v>8</v>
      </c>
      <c r="D695" s="2" t="s">
        <v>9</v>
      </c>
      <c r="E695" s="2">
        <v>22188</v>
      </c>
      <c r="F695" s="3">
        <v>37819</v>
      </c>
      <c r="G695" s="4">
        <v>3207016000</v>
      </c>
      <c r="H695">
        <f t="shared" si="30"/>
        <v>309.5</v>
      </c>
      <c r="I695">
        <f t="shared" si="31"/>
        <v>0.2857142857142857</v>
      </c>
      <c r="J695">
        <f t="shared" si="32"/>
        <v>88.428571428571431</v>
      </c>
      <c r="O695">
        <v>2288</v>
      </c>
      <c r="P695">
        <v>1154</v>
      </c>
      <c r="R695">
        <v>2803</v>
      </c>
      <c r="S695">
        <v>3.4285714285714284</v>
      </c>
    </row>
    <row r="696" spans="1:19" ht="26.1" customHeight="1" x14ac:dyDescent="0.2">
      <c r="A696" s="4">
        <v>2210</v>
      </c>
      <c r="B696" s="2" t="s">
        <v>11</v>
      </c>
      <c r="C696" s="2" t="s">
        <v>8</v>
      </c>
      <c r="D696" s="2" t="s">
        <v>122</v>
      </c>
      <c r="E696" s="2">
        <v>22172</v>
      </c>
      <c r="F696" s="3">
        <v>37819</v>
      </c>
      <c r="G696" s="4">
        <v>3101001000</v>
      </c>
      <c r="H696">
        <f t="shared" si="30"/>
        <v>1164.5</v>
      </c>
      <c r="I696">
        <f t="shared" si="31"/>
        <v>3</v>
      </c>
      <c r="J696">
        <f t="shared" si="32"/>
        <v>3493.5</v>
      </c>
      <c r="O696">
        <v>2301</v>
      </c>
      <c r="P696">
        <v>2037.55</v>
      </c>
      <c r="R696">
        <v>2804</v>
      </c>
      <c r="S696">
        <v>0.14285714285714285</v>
      </c>
    </row>
    <row r="697" spans="1:19" ht="15" customHeight="1" x14ac:dyDescent="0.2">
      <c r="A697" s="4">
        <v>2211</v>
      </c>
      <c r="B697" s="2" t="s">
        <v>13</v>
      </c>
      <c r="C697" s="2" t="s">
        <v>8</v>
      </c>
      <c r="D697" s="2" t="s">
        <v>20</v>
      </c>
      <c r="E697" s="2">
        <v>19234</v>
      </c>
      <c r="F697" s="3">
        <v>37819</v>
      </c>
      <c r="G697" s="4">
        <v>3127001000</v>
      </c>
      <c r="H697">
        <f t="shared" si="30"/>
        <v>1212</v>
      </c>
      <c r="I697">
        <f t="shared" si="31"/>
        <v>0.2857142857142857</v>
      </c>
      <c r="J697">
        <f t="shared" si="32"/>
        <v>346.28571428571428</v>
      </c>
      <c r="O697">
        <v>2302</v>
      </c>
      <c r="P697">
        <v>2037.55</v>
      </c>
      <c r="R697">
        <v>2805</v>
      </c>
      <c r="S697">
        <v>3.7142857142857144</v>
      </c>
    </row>
    <row r="698" spans="1:19" ht="15" customHeight="1" x14ac:dyDescent="0.2">
      <c r="A698" s="4">
        <v>2212</v>
      </c>
      <c r="B698" s="2" t="s">
        <v>7</v>
      </c>
      <c r="C698" s="2" t="s">
        <v>8</v>
      </c>
      <c r="D698" s="2" t="s">
        <v>9</v>
      </c>
      <c r="E698" s="2">
        <v>22181</v>
      </c>
      <c r="F698" s="3">
        <v>37819</v>
      </c>
      <c r="G698" s="4">
        <v>1023000</v>
      </c>
      <c r="H698">
        <f t="shared" si="30"/>
        <v>309.5</v>
      </c>
      <c r="I698">
        <f t="shared" si="31"/>
        <v>0.2857142857142857</v>
      </c>
      <c r="J698">
        <f t="shared" si="32"/>
        <v>88.428571428571431</v>
      </c>
      <c r="O698">
        <v>2305</v>
      </c>
      <c r="P698">
        <v>2037.55</v>
      </c>
      <c r="R698">
        <v>2812</v>
      </c>
      <c r="S698">
        <v>3</v>
      </c>
    </row>
    <row r="699" spans="1:19" ht="15" customHeight="1" x14ac:dyDescent="0.2">
      <c r="A699" s="4">
        <v>2213</v>
      </c>
      <c r="B699" s="2" t="s">
        <v>7</v>
      </c>
      <c r="C699" s="2" t="s">
        <v>8</v>
      </c>
      <c r="D699" s="2" t="s">
        <v>9</v>
      </c>
      <c r="E699" s="2">
        <v>22220</v>
      </c>
      <c r="F699" s="3">
        <v>37819</v>
      </c>
      <c r="G699" s="4">
        <v>1165000000</v>
      </c>
      <c r="H699">
        <f t="shared" si="30"/>
        <v>309.5</v>
      </c>
      <c r="I699">
        <f t="shared" si="31"/>
        <v>0.2857142857142857</v>
      </c>
      <c r="J699">
        <f t="shared" si="32"/>
        <v>88.428571428571431</v>
      </c>
      <c r="O699">
        <v>2306</v>
      </c>
      <c r="P699">
        <v>2037.55</v>
      </c>
      <c r="R699">
        <v>2817</v>
      </c>
      <c r="S699">
        <v>0.5714285714285714</v>
      </c>
    </row>
    <row r="700" spans="1:19" ht="15" customHeight="1" x14ac:dyDescent="0.2">
      <c r="A700" s="4">
        <v>2216</v>
      </c>
      <c r="B700" s="2" t="s">
        <v>7</v>
      </c>
      <c r="C700" s="2" t="s">
        <v>8</v>
      </c>
      <c r="D700" s="2" t="s">
        <v>9</v>
      </c>
      <c r="E700" s="2">
        <v>22171</v>
      </c>
      <c r="F700" s="3">
        <v>37819</v>
      </c>
      <c r="G700" s="4">
        <v>529001000</v>
      </c>
      <c r="H700">
        <f t="shared" si="30"/>
        <v>309.5</v>
      </c>
      <c r="I700">
        <f t="shared" si="31"/>
        <v>0.13333333333333333</v>
      </c>
      <c r="J700">
        <f t="shared" si="32"/>
        <v>41.266666666666666</v>
      </c>
      <c r="O700">
        <v>2308</v>
      </c>
      <c r="P700">
        <v>2037.55</v>
      </c>
      <c r="R700">
        <v>2820</v>
      </c>
      <c r="S700">
        <v>0.26666666666666666</v>
      </c>
    </row>
    <row r="701" spans="1:19" ht="15" customHeight="1" x14ac:dyDescent="0.2">
      <c r="A701" s="4">
        <v>2223</v>
      </c>
      <c r="B701" s="2" t="s">
        <v>13</v>
      </c>
      <c r="C701" s="2" t="s">
        <v>25</v>
      </c>
      <c r="D701" s="2" t="s">
        <v>86</v>
      </c>
      <c r="F701" s="3">
        <v>25688</v>
      </c>
      <c r="G701" s="4">
        <v>1925001000</v>
      </c>
      <c r="H701">
        <f t="shared" si="30"/>
        <v>0</v>
      </c>
      <c r="I701">
        <f t="shared" si="31"/>
        <v>0.1</v>
      </c>
      <c r="J701">
        <f t="shared" si="32"/>
        <v>0</v>
      </c>
      <c r="O701">
        <v>2309</v>
      </c>
      <c r="P701">
        <v>2037.55</v>
      </c>
      <c r="R701">
        <v>2821</v>
      </c>
      <c r="S701">
        <v>0.5714285714285714</v>
      </c>
    </row>
    <row r="702" spans="1:19" ht="15" customHeight="1" x14ac:dyDescent="0.2">
      <c r="A702" s="4">
        <v>2242</v>
      </c>
      <c r="B702" s="2" t="s">
        <v>99</v>
      </c>
      <c r="C702" s="2" t="s">
        <v>14</v>
      </c>
      <c r="D702" s="2" t="s">
        <v>10</v>
      </c>
      <c r="E702" s="2">
        <v>35125</v>
      </c>
      <c r="F702" s="3">
        <v>37988</v>
      </c>
      <c r="G702" s="4">
        <v>1014001</v>
      </c>
      <c r="H702">
        <f t="shared" si="30"/>
        <v>36</v>
      </c>
      <c r="I702">
        <f t="shared" si="31"/>
        <v>0.1</v>
      </c>
      <c r="J702">
        <f t="shared" si="32"/>
        <v>3.6</v>
      </c>
      <c r="O702">
        <v>2310</v>
      </c>
      <c r="P702">
        <v>2037.55</v>
      </c>
      <c r="R702">
        <v>2822</v>
      </c>
      <c r="S702">
        <v>1.6666666666666666E-2</v>
      </c>
    </row>
    <row r="703" spans="1:19" ht="15" customHeight="1" x14ac:dyDescent="0.2">
      <c r="A703" s="4">
        <v>2246</v>
      </c>
      <c r="B703" s="2" t="s">
        <v>13</v>
      </c>
      <c r="C703" s="2" t="s">
        <v>25</v>
      </c>
      <c r="D703" s="2" t="s">
        <v>86</v>
      </c>
      <c r="E703" s="2" t="s">
        <v>130</v>
      </c>
      <c r="F703" s="3">
        <v>25688</v>
      </c>
      <c r="G703" s="4">
        <v>223001000</v>
      </c>
      <c r="H703">
        <f t="shared" si="30"/>
        <v>0</v>
      </c>
      <c r="I703">
        <f t="shared" si="31"/>
        <v>0.1</v>
      </c>
      <c r="J703">
        <f t="shared" si="32"/>
        <v>0</v>
      </c>
      <c r="O703">
        <v>2312</v>
      </c>
      <c r="P703">
        <v>2037.55</v>
      </c>
      <c r="R703">
        <v>2834</v>
      </c>
      <c r="S703">
        <v>2</v>
      </c>
    </row>
    <row r="704" spans="1:19" ht="26.1" customHeight="1" x14ac:dyDescent="0.2">
      <c r="A704" s="4">
        <v>2258</v>
      </c>
      <c r="B704" s="2" t="s">
        <v>11</v>
      </c>
      <c r="C704" s="2" t="s">
        <v>8</v>
      </c>
      <c r="D704" s="2" t="s">
        <v>105</v>
      </c>
      <c r="E704" s="2">
        <v>11861</v>
      </c>
      <c r="F704" s="3">
        <v>38472</v>
      </c>
      <c r="G704" s="4">
        <v>165001000</v>
      </c>
      <c r="H704">
        <f t="shared" si="30"/>
        <v>360</v>
      </c>
      <c r="I704">
        <f t="shared" si="31"/>
        <v>1.4285714285714286</v>
      </c>
      <c r="J704">
        <f t="shared" si="32"/>
        <v>514.28571428571433</v>
      </c>
      <c r="O704">
        <v>2314</v>
      </c>
      <c r="P704">
        <v>2037.55</v>
      </c>
      <c r="R704">
        <v>2845</v>
      </c>
      <c r="S704">
        <v>0.14285714285714285</v>
      </c>
    </row>
    <row r="705" spans="1:19" ht="15" customHeight="1" x14ac:dyDescent="0.2">
      <c r="A705" s="4">
        <v>2267</v>
      </c>
      <c r="B705" s="2" t="s">
        <v>13</v>
      </c>
      <c r="C705" s="2" t="s">
        <v>40</v>
      </c>
      <c r="D705" s="2" t="s">
        <v>41</v>
      </c>
      <c r="F705" s="3">
        <v>38616</v>
      </c>
      <c r="G705" s="4">
        <v>1014007</v>
      </c>
      <c r="H705">
        <f t="shared" si="30"/>
        <v>1107.5</v>
      </c>
      <c r="I705">
        <f t="shared" si="31"/>
        <v>1.4285714285714286</v>
      </c>
      <c r="J705">
        <f t="shared" si="32"/>
        <v>1582.1428571428571</v>
      </c>
      <c r="O705">
        <v>2315</v>
      </c>
      <c r="P705">
        <v>2037.55</v>
      </c>
      <c r="R705">
        <v>2846</v>
      </c>
      <c r="S705">
        <v>0.42857142857142855</v>
      </c>
    </row>
    <row r="706" spans="1:19" ht="26.1" customHeight="1" x14ac:dyDescent="0.2">
      <c r="A706" s="4">
        <v>2274</v>
      </c>
      <c r="B706" s="2" t="s">
        <v>11</v>
      </c>
      <c r="C706" s="2" t="s">
        <v>12</v>
      </c>
      <c r="D706" s="2" t="s">
        <v>19</v>
      </c>
      <c r="F706" s="3">
        <v>25688</v>
      </c>
      <c r="G706" s="4">
        <v>2548017000</v>
      </c>
      <c r="H706">
        <f t="shared" ref="H706:H769" si="33">VLOOKUP(A706,O:P,2)</f>
        <v>532</v>
      </c>
      <c r="I706">
        <f t="shared" ref="I706:I769" si="34">VLOOKUP(A706,R:S,2)</f>
        <v>1.4285714285714286</v>
      </c>
      <c r="J706">
        <f t="shared" ref="J706:J769" si="35">H706*I706</f>
        <v>760</v>
      </c>
      <c r="O706">
        <v>2316</v>
      </c>
      <c r="P706">
        <v>2037.55</v>
      </c>
      <c r="R706">
        <v>2848</v>
      </c>
      <c r="S706">
        <v>0.66666666666666663</v>
      </c>
    </row>
    <row r="707" spans="1:19" ht="15" customHeight="1" x14ac:dyDescent="0.2">
      <c r="A707" s="4">
        <v>2277</v>
      </c>
      <c r="B707" s="2" t="s">
        <v>7</v>
      </c>
      <c r="C707" s="2" t="s">
        <v>8</v>
      </c>
      <c r="D707" s="2" t="s">
        <v>9</v>
      </c>
      <c r="E707" s="2">
        <v>7495</v>
      </c>
      <c r="F707" s="3">
        <v>38618</v>
      </c>
      <c r="G707" s="4">
        <v>2126001000</v>
      </c>
      <c r="H707">
        <f t="shared" si="33"/>
        <v>309.5</v>
      </c>
      <c r="I707">
        <f t="shared" si="34"/>
        <v>1.4285714285714286</v>
      </c>
      <c r="J707">
        <f t="shared" si="35"/>
        <v>442.14285714285717</v>
      </c>
      <c r="O707">
        <v>2323</v>
      </c>
      <c r="P707">
        <v>1212</v>
      </c>
      <c r="R707">
        <v>2850</v>
      </c>
      <c r="S707">
        <v>0.66666666666666663</v>
      </c>
    </row>
    <row r="708" spans="1:19" ht="15" customHeight="1" x14ac:dyDescent="0.2">
      <c r="A708" s="4">
        <v>2279</v>
      </c>
      <c r="B708" s="2" t="s">
        <v>7</v>
      </c>
      <c r="C708" s="2" t="s">
        <v>8</v>
      </c>
      <c r="D708" s="2" t="s">
        <v>9</v>
      </c>
      <c r="E708" s="2">
        <v>21709</v>
      </c>
      <c r="F708" s="3">
        <v>38618</v>
      </c>
      <c r="G708" s="4">
        <v>2126003000</v>
      </c>
      <c r="H708">
        <f t="shared" si="33"/>
        <v>309.5</v>
      </c>
      <c r="I708">
        <f t="shared" si="34"/>
        <v>0.42857142857142855</v>
      </c>
      <c r="J708">
        <f t="shared" si="35"/>
        <v>132.64285714285714</v>
      </c>
      <c r="O708">
        <v>2324</v>
      </c>
      <c r="P708">
        <v>1212</v>
      </c>
      <c r="R708">
        <v>2857</v>
      </c>
      <c r="S708">
        <v>1.3333333333333333</v>
      </c>
    </row>
    <row r="709" spans="1:19" ht="15" customHeight="1" x14ac:dyDescent="0.2">
      <c r="A709" s="4">
        <v>2280</v>
      </c>
      <c r="B709" s="2" t="s">
        <v>7</v>
      </c>
      <c r="C709" s="2" t="s">
        <v>8</v>
      </c>
      <c r="D709" s="2" t="s">
        <v>9</v>
      </c>
      <c r="E709" s="2">
        <v>18334</v>
      </c>
      <c r="F709" s="3">
        <v>38618</v>
      </c>
      <c r="G709" s="4">
        <v>2126013000</v>
      </c>
      <c r="H709">
        <f t="shared" si="33"/>
        <v>309.5</v>
      </c>
      <c r="I709">
        <f t="shared" si="34"/>
        <v>0.33333333333333331</v>
      </c>
      <c r="J709">
        <f t="shared" si="35"/>
        <v>103.16666666666666</v>
      </c>
      <c r="O709">
        <v>2325</v>
      </c>
      <c r="P709">
        <v>1212</v>
      </c>
      <c r="R709">
        <v>2863</v>
      </c>
      <c r="S709">
        <v>4</v>
      </c>
    </row>
    <row r="710" spans="1:19" ht="15" customHeight="1" x14ac:dyDescent="0.2">
      <c r="A710" s="4">
        <v>2281</v>
      </c>
      <c r="B710" s="2" t="s">
        <v>7</v>
      </c>
      <c r="C710" s="2" t="s">
        <v>8</v>
      </c>
      <c r="D710" s="2" t="s">
        <v>9</v>
      </c>
      <c r="E710" s="2">
        <v>1618</v>
      </c>
      <c r="F710" s="3">
        <v>38618</v>
      </c>
      <c r="G710" s="4">
        <v>2126001000</v>
      </c>
      <c r="H710">
        <f t="shared" si="33"/>
        <v>309.5</v>
      </c>
      <c r="I710">
        <f t="shared" si="34"/>
        <v>0.33333333333333331</v>
      </c>
      <c r="J710">
        <f t="shared" si="35"/>
        <v>103.16666666666666</v>
      </c>
      <c r="O710">
        <v>2326</v>
      </c>
      <c r="P710">
        <v>1212</v>
      </c>
      <c r="R710">
        <v>2872</v>
      </c>
      <c r="S710">
        <v>2</v>
      </c>
    </row>
    <row r="711" spans="1:19" ht="15" customHeight="1" x14ac:dyDescent="0.2">
      <c r="A711" s="4">
        <v>2283</v>
      </c>
      <c r="B711" s="2" t="s">
        <v>7</v>
      </c>
      <c r="C711" s="2" t="s">
        <v>8</v>
      </c>
      <c r="D711" s="2" t="s">
        <v>9</v>
      </c>
      <c r="E711" s="2">
        <v>1113</v>
      </c>
      <c r="F711" s="3">
        <v>38618</v>
      </c>
      <c r="G711" s="4">
        <v>1068018000</v>
      </c>
      <c r="H711">
        <f t="shared" si="33"/>
        <v>309.5</v>
      </c>
      <c r="I711">
        <f t="shared" si="34"/>
        <v>0.1</v>
      </c>
      <c r="J711">
        <f t="shared" si="35"/>
        <v>30.950000000000003</v>
      </c>
      <c r="O711">
        <v>2328</v>
      </c>
      <c r="P711">
        <v>1212</v>
      </c>
      <c r="R711">
        <v>2883</v>
      </c>
      <c r="S711">
        <v>3.7142857142857144</v>
      </c>
    </row>
    <row r="712" spans="1:19" ht="15" customHeight="1" x14ac:dyDescent="0.2">
      <c r="A712" s="4">
        <v>2284</v>
      </c>
      <c r="B712" s="2" t="s">
        <v>7</v>
      </c>
      <c r="C712" s="2" t="s">
        <v>8</v>
      </c>
      <c r="D712" s="2" t="s">
        <v>9</v>
      </c>
      <c r="E712" s="2">
        <v>22506</v>
      </c>
      <c r="F712" s="3">
        <v>38618</v>
      </c>
      <c r="G712" s="4">
        <v>2126001000</v>
      </c>
      <c r="H712">
        <f t="shared" si="33"/>
        <v>309.5</v>
      </c>
      <c r="I712">
        <f t="shared" si="34"/>
        <v>0.1</v>
      </c>
      <c r="J712">
        <f t="shared" si="35"/>
        <v>30.950000000000003</v>
      </c>
      <c r="O712">
        <v>2329</v>
      </c>
      <c r="P712">
        <v>1212</v>
      </c>
      <c r="R712">
        <v>2885</v>
      </c>
      <c r="S712">
        <v>2.5714285714285716</v>
      </c>
    </row>
    <row r="713" spans="1:19" ht="15" customHeight="1" x14ac:dyDescent="0.2">
      <c r="A713" s="4">
        <v>2285</v>
      </c>
      <c r="B713" s="2" t="s">
        <v>7</v>
      </c>
      <c r="C713" s="2" t="s">
        <v>8</v>
      </c>
      <c r="D713" s="2" t="s">
        <v>9</v>
      </c>
      <c r="E713" s="2">
        <v>17818</v>
      </c>
      <c r="F713" s="3">
        <v>38618</v>
      </c>
      <c r="G713" s="4">
        <v>1014001</v>
      </c>
      <c r="H713">
        <f t="shared" si="33"/>
        <v>309.5</v>
      </c>
      <c r="I713">
        <f t="shared" si="34"/>
        <v>0.1</v>
      </c>
      <c r="J713">
        <f t="shared" si="35"/>
        <v>30.950000000000003</v>
      </c>
      <c r="O713">
        <v>2334</v>
      </c>
      <c r="P713">
        <v>1212</v>
      </c>
      <c r="R713">
        <v>2886</v>
      </c>
      <c r="S713">
        <v>1.5</v>
      </c>
    </row>
    <row r="714" spans="1:19" ht="15" customHeight="1" x14ac:dyDescent="0.2">
      <c r="A714" s="4">
        <v>2286</v>
      </c>
      <c r="B714" s="2" t="s">
        <v>7</v>
      </c>
      <c r="C714" s="2" t="s">
        <v>8</v>
      </c>
      <c r="D714" s="2" t="s">
        <v>9</v>
      </c>
      <c r="E714" s="2">
        <v>17824</v>
      </c>
      <c r="F714" s="3">
        <v>38618</v>
      </c>
      <c r="G714" s="4">
        <v>2126001000</v>
      </c>
      <c r="H714">
        <f t="shared" si="33"/>
        <v>309.5</v>
      </c>
      <c r="I714">
        <f t="shared" si="34"/>
        <v>0.1</v>
      </c>
      <c r="J714">
        <f t="shared" si="35"/>
        <v>30.950000000000003</v>
      </c>
      <c r="O714">
        <v>2335</v>
      </c>
      <c r="P714">
        <v>1212</v>
      </c>
      <c r="R714">
        <v>2887</v>
      </c>
      <c r="S714">
        <v>2</v>
      </c>
    </row>
    <row r="715" spans="1:19" ht="15" customHeight="1" x14ac:dyDescent="0.2">
      <c r="A715" s="4">
        <v>2287</v>
      </c>
      <c r="B715" s="2" t="s">
        <v>7</v>
      </c>
      <c r="C715" s="2" t="s">
        <v>8</v>
      </c>
      <c r="D715" s="2" t="s">
        <v>9</v>
      </c>
      <c r="E715" s="2">
        <v>20303</v>
      </c>
      <c r="F715" s="3">
        <v>38618</v>
      </c>
      <c r="G715" s="4">
        <v>2126003000</v>
      </c>
      <c r="H715">
        <f t="shared" si="33"/>
        <v>309.5</v>
      </c>
      <c r="I715">
        <f t="shared" si="34"/>
        <v>0.5714285714285714</v>
      </c>
      <c r="J715">
        <f t="shared" si="35"/>
        <v>176.85714285714286</v>
      </c>
      <c r="O715">
        <v>2339</v>
      </c>
      <c r="P715">
        <v>2037.55</v>
      </c>
      <c r="R715">
        <v>2889</v>
      </c>
      <c r="S715">
        <v>1</v>
      </c>
    </row>
    <row r="716" spans="1:19" ht="26.1" customHeight="1" x14ac:dyDescent="0.2">
      <c r="A716" s="4">
        <v>2288</v>
      </c>
      <c r="B716" s="2" t="s">
        <v>11</v>
      </c>
      <c r="C716" s="2" t="s">
        <v>12</v>
      </c>
      <c r="D716" s="2" t="s">
        <v>10</v>
      </c>
      <c r="E716" s="2">
        <v>18755</v>
      </c>
      <c r="F716" s="3">
        <v>25688</v>
      </c>
      <c r="G716" s="4">
        <v>1176003000</v>
      </c>
      <c r="H716">
        <f t="shared" si="33"/>
        <v>1154</v>
      </c>
      <c r="I716">
        <f t="shared" si="34"/>
        <v>1.6666666666666666E-2</v>
      </c>
      <c r="J716">
        <f t="shared" si="35"/>
        <v>19.233333333333334</v>
      </c>
      <c r="O716">
        <v>2340</v>
      </c>
      <c r="P716">
        <v>2037.55</v>
      </c>
      <c r="R716">
        <v>2892</v>
      </c>
      <c r="S716">
        <v>1</v>
      </c>
    </row>
    <row r="717" spans="1:19" ht="15" customHeight="1" x14ac:dyDescent="0.2">
      <c r="A717" s="4">
        <v>2301</v>
      </c>
      <c r="B717" s="2" t="s">
        <v>131</v>
      </c>
      <c r="C717" s="2" t="s">
        <v>132</v>
      </c>
      <c r="D717" s="2" t="s">
        <v>133</v>
      </c>
      <c r="E717" s="2">
        <v>518</v>
      </c>
      <c r="F717" s="3">
        <v>38807</v>
      </c>
      <c r="G717" s="4">
        <v>43006000</v>
      </c>
      <c r="H717">
        <f t="shared" si="33"/>
        <v>2037.55</v>
      </c>
      <c r="I717">
        <f t="shared" si="34"/>
        <v>0.5714285714285714</v>
      </c>
      <c r="J717">
        <f t="shared" si="35"/>
        <v>1164.3142857142857</v>
      </c>
      <c r="O717">
        <v>2341</v>
      </c>
      <c r="P717">
        <v>2037.55</v>
      </c>
      <c r="R717">
        <v>2898</v>
      </c>
      <c r="S717">
        <v>2</v>
      </c>
    </row>
    <row r="718" spans="1:19" ht="15" customHeight="1" x14ac:dyDescent="0.2">
      <c r="A718" s="4">
        <v>2302</v>
      </c>
      <c r="B718" s="2" t="s">
        <v>131</v>
      </c>
      <c r="C718" s="2" t="s">
        <v>132</v>
      </c>
      <c r="D718" s="2" t="s">
        <v>133</v>
      </c>
      <c r="E718" s="2">
        <v>520</v>
      </c>
      <c r="F718" s="3">
        <v>38807</v>
      </c>
      <c r="G718" s="4">
        <v>2514001000</v>
      </c>
      <c r="H718">
        <f t="shared" si="33"/>
        <v>2037.55</v>
      </c>
      <c r="I718">
        <f t="shared" si="34"/>
        <v>0.2857142857142857</v>
      </c>
      <c r="J718">
        <f t="shared" si="35"/>
        <v>582.15714285714284</v>
      </c>
      <c r="O718">
        <v>2342</v>
      </c>
      <c r="P718">
        <v>2037.55</v>
      </c>
      <c r="R718">
        <v>2899</v>
      </c>
      <c r="S718">
        <v>1</v>
      </c>
    </row>
    <row r="719" spans="1:19" ht="15" customHeight="1" x14ac:dyDescent="0.2">
      <c r="A719" s="4">
        <v>2305</v>
      </c>
      <c r="B719" s="2" t="s">
        <v>131</v>
      </c>
      <c r="C719" s="2" t="s">
        <v>132</v>
      </c>
      <c r="D719" s="2" t="s">
        <v>133</v>
      </c>
      <c r="E719" s="2">
        <v>527</v>
      </c>
      <c r="F719" s="3">
        <v>38814</v>
      </c>
      <c r="G719" s="4">
        <v>2126001000</v>
      </c>
      <c r="H719">
        <f t="shared" si="33"/>
        <v>2037.55</v>
      </c>
      <c r="I719">
        <f t="shared" si="34"/>
        <v>0.8571428571428571</v>
      </c>
      <c r="J719">
        <f t="shared" si="35"/>
        <v>1746.4714285714285</v>
      </c>
      <c r="O719">
        <v>2359</v>
      </c>
      <c r="P719">
        <v>2237.1000000000004</v>
      </c>
      <c r="R719">
        <v>2900</v>
      </c>
      <c r="S719">
        <v>3</v>
      </c>
    </row>
    <row r="720" spans="1:19" ht="15" customHeight="1" x14ac:dyDescent="0.2">
      <c r="A720" s="4">
        <v>2306</v>
      </c>
      <c r="B720" s="2" t="s">
        <v>131</v>
      </c>
      <c r="C720" s="2" t="s">
        <v>132</v>
      </c>
      <c r="D720" s="2" t="s">
        <v>133</v>
      </c>
      <c r="E720" s="2">
        <v>524</v>
      </c>
      <c r="F720" s="3">
        <v>38814</v>
      </c>
      <c r="G720" s="4">
        <v>1014001</v>
      </c>
      <c r="H720">
        <f t="shared" si="33"/>
        <v>2037.55</v>
      </c>
      <c r="I720">
        <f t="shared" si="34"/>
        <v>0.5714285714285714</v>
      </c>
      <c r="J720">
        <f t="shared" si="35"/>
        <v>1164.3142857142857</v>
      </c>
      <c r="O720">
        <v>2370</v>
      </c>
      <c r="P720">
        <v>24</v>
      </c>
      <c r="R720">
        <v>2901</v>
      </c>
      <c r="S720">
        <v>1</v>
      </c>
    </row>
    <row r="721" spans="1:19" ht="15" customHeight="1" x14ac:dyDescent="0.2">
      <c r="A721" s="4">
        <v>2309</v>
      </c>
      <c r="B721" s="2" t="s">
        <v>131</v>
      </c>
      <c r="C721" s="2" t="s">
        <v>132</v>
      </c>
      <c r="D721" s="2" t="s">
        <v>133</v>
      </c>
      <c r="E721" s="2">
        <v>525</v>
      </c>
      <c r="F721" s="3">
        <v>38814</v>
      </c>
      <c r="G721" s="4">
        <v>1165000000</v>
      </c>
      <c r="H721">
        <f t="shared" si="33"/>
        <v>2037.55</v>
      </c>
      <c r="I721">
        <f t="shared" si="34"/>
        <v>0.42857142857142855</v>
      </c>
      <c r="J721">
        <f t="shared" si="35"/>
        <v>873.23571428571427</v>
      </c>
      <c r="O721">
        <v>2387</v>
      </c>
      <c r="P721">
        <v>24</v>
      </c>
      <c r="R721">
        <v>2903</v>
      </c>
      <c r="S721">
        <v>1</v>
      </c>
    </row>
    <row r="722" spans="1:19" ht="15" customHeight="1" x14ac:dyDescent="0.2">
      <c r="A722" s="4">
        <v>2312</v>
      </c>
      <c r="B722" s="2" t="s">
        <v>131</v>
      </c>
      <c r="C722" s="2" t="s">
        <v>132</v>
      </c>
      <c r="D722" s="2" t="s">
        <v>133</v>
      </c>
      <c r="E722" s="2">
        <v>541</v>
      </c>
      <c r="F722" s="3">
        <v>38817</v>
      </c>
      <c r="G722" s="4">
        <v>193012000</v>
      </c>
      <c r="H722">
        <f t="shared" si="33"/>
        <v>2037.55</v>
      </c>
      <c r="I722">
        <f t="shared" si="34"/>
        <v>0.14285714285714285</v>
      </c>
      <c r="J722">
        <f t="shared" si="35"/>
        <v>291.07857142857142</v>
      </c>
      <c r="O722">
        <v>2390</v>
      </c>
      <c r="P722">
        <v>791</v>
      </c>
      <c r="R722">
        <v>2905</v>
      </c>
      <c r="S722">
        <v>1.3333333333333333</v>
      </c>
    </row>
    <row r="723" spans="1:19" ht="15" customHeight="1" x14ac:dyDescent="0.2">
      <c r="A723" s="4">
        <v>2314</v>
      </c>
      <c r="B723" s="2" t="s">
        <v>131</v>
      </c>
      <c r="C723" s="2" t="s">
        <v>132</v>
      </c>
      <c r="D723" s="2" t="s">
        <v>133</v>
      </c>
      <c r="E723" s="2">
        <v>540</v>
      </c>
      <c r="F723" s="3">
        <v>38817</v>
      </c>
      <c r="G723" s="4">
        <v>3116001000</v>
      </c>
      <c r="H723">
        <f t="shared" si="33"/>
        <v>2037.55</v>
      </c>
      <c r="I723">
        <f t="shared" si="34"/>
        <v>0.14285714285714285</v>
      </c>
      <c r="J723">
        <f t="shared" si="35"/>
        <v>291.07857142857142</v>
      </c>
      <c r="O723">
        <v>2397</v>
      </c>
      <c r="P723">
        <v>24</v>
      </c>
      <c r="R723">
        <v>2908</v>
      </c>
      <c r="S723">
        <v>1.1428571428571428</v>
      </c>
    </row>
    <row r="724" spans="1:19" ht="15" customHeight="1" x14ac:dyDescent="0.2">
      <c r="A724" s="4">
        <v>2315</v>
      </c>
      <c r="B724" s="2" t="s">
        <v>131</v>
      </c>
      <c r="C724" s="2" t="s">
        <v>132</v>
      </c>
      <c r="D724" s="2" t="s">
        <v>133</v>
      </c>
      <c r="E724" s="2">
        <v>538</v>
      </c>
      <c r="F724" s="3">
        <v>38817</v>
      </c>
      <c r="G724" s="4">
        <v>3168001000</v>
      </c>
      <c r="H724">
        <f t="shared" si="33"/>
        <v>2037.55</v>
      </c>
      <c r="I724">
        <f t="shared" si="34"/>
        <v>1</v>
      </c>
      <c r="J724">
        <f t="shared" si="35"/>
        <v>2037.55</v>
      </c>
      <c r="O724">
        <v>2440</v>
      </c>
      <c r="P724">
        <v>1212</v>
      </c>
      <c r="R724">
        <v>2909</v>
      </c>
      <c r="S724">
        <v>0.42857142857142855</v>
      </c>
    </row>
    <row r="725" spans="1:19" ht="15" customHeight="1" x14ac:dyDescent="0.2">
      <c r="A725" s="4">
        <v>2316</v>
      </c>
      <c r="B725" s="2" t="s">
        <v>131</v>
      </c>
      <c r="C725" s="2" t="s">
        <v>132</v>
      </c>
      <c r="D725" s="2" t="s">
        <v>133</v>
      </c>
      <c r="E725" s="2">
        <v>542</v>
      </c>
      <c r="F725" s="3">
        <v>38817</v>
      </c>
      <c r="G725" s="4">
        <v>2126001000</v>
      </c>
      <c r="H725">
        <f t="shared" si="33"/>
        <v>2037.55</v>
      </c>
      <c r="I725">
        <f t="shared" si="34"/>
        <v>1</v>
      </c>
      <c r="J725">
        <f t="shared" si="35"/>
        <v>2037.55</v>
      </c>
      <c r="O725">
        <v>2467</v>
      </c>
      <c r="P725">
        <v>1212</v>
      </c>
      <c r="R725">
        <v>2910</v>
      </c>
      <c r="S725">
        <v>0.14285714285714285</v>
      </c>
    </row>
    <row r="726" spans="1:19" ht="15" customHeight="1" x14ac:dyDescent="0.2">
      <c r="A726" s="4">
        <v>2323</v>
      </c>
      <c r="B726" s="2" t="s">
        <v>13</v>
      </c>
      <c r="C726" s="2" t="s">
        <v>8</v>
      </c>
      <c r="D726" s="2" t="s">
        <v>20</v>
      </c>
      <c r="E726" s="2">
        <v>16318</v>
      </c>
      <c r="F726" s="3">
        <v>38953</v>
      </c>
      <c r="G726" s="4">
        <v>1014001</v>
      </c>
      <c r="H726">
        <f t="shared" si="33"/>
        <v>1212</v>
      </c>
      <c r="I726">
        <f t="shared" si="34"/>
        <v>1</v>
      </c>
      <c r="J726">
        <f t="shared" si="35"/>
        <v>1212</v>
      </c>
      <c r="O726">
        <v>2468</v>
      </c>
      <c r="P726">
        <v>1212</v>
      </c>
      <c r="R726">
        <v>2911</v>
      </c>
      <c r="S726">
        <v>0.14285714285714285</v>
      </c>
    </row>
    <row r="727" spans="1:19" ht="15" customHeight="1" x14ac:dyDescent="0.2">
      <c r="A727" s="4">
        <v>2324</v>
      </c>
      <c r="B727" s="2" t="s">
        <v>13</v>
      </c>
      <c r="C727" s="2" t="s">
        <v>8</v>
      </c>
      <c r="D727" s="2" t="s">
        <v>20</v>
      </c>
      <c r="E727" s="2">
        <v>18869</v>
      </c>
      <c r="F727" s="3">
        <v>38953</v>
      </c>
      <c r="G727" s="4">
        <v>1068001000</v>
      </c>
      <c r="H727">
        <f t="shared" si="33"/>
        <v>1212</v>
      </c>
      <c r="I727">
        <f t="shared" si="34"/>
        <v>0.14285714285714285</v>
      </c>
      <c r="J727">
        <f t="shared" si="35"/>
        <v>173.14285714285714</v>
      </c>
      <c r="O727">
        <v>2473</v>
      </c>
      <c r="P727">
        <v>1212</v>
      </c>
      <c r="R727">
        <v>2912</v>
      </c>
      <c r="S727">
        <v>0.2857142857142857</v>
      </c>
    </row>
    <row r="728" spans="1:19" ht="15" customHeight="1" x14ac:dyDescent="0.2">
      <c r="A728" s="4">
        <v>2325</v>
      </c>
      <c r="B728" s="2" t="s">
        <v>13</v>
      </c>
      <c r="C728" s="2" t="s">
        <v>8</v>
      </c>
      <c r="D728" s="2" t="s">
        <v>20</v>
      </c>
      <c r="E728" s="2">
        <v>10068</v>
      </c>
      <c r="F728" s="3">
        <v>38953</v>
      </c>
      <c r="G728" s="4">
        <v>2126001000</v>
      </c>
      <c r="H728">
        <f t="shared" si="33"/>
        <v>1212</v>
      </c>
      <c r="I728">
        <f t="shared" si="34"/>
        <v>0.14285714285714285</v>
      </c>
      <c r="J728">
        <f t="shared" si="35"/>
        <v>173.14285714285714</v>
      </c>
      <c r="O728">
        <v>2478</v>
      </c>
      <c r="P728">
        <v>1135</v>
      </c>
      <c r="R728">
        <v>2913</v>
      </c>
      <c r="S728">
        <v>0.14285714285714285</v>
      </c>
    </row>
    <row r="729" spans="1:19" ht="15" customHeight="1" x14ac:dyDescent="0.2">
      <c r="A729" s="4">
        <v>2326</v>
      </c>
      <c r="B729" s="2" t="s">
        <v>13</v>
      </c>
      <c r="C729" s="2" t="s">
        <v>8</v>
      </c>
      <c r="D729" s="2" t="s">
        <v>20</v>
      </c>
      <c r="E729" s="2">
        <v>4313</v>
      </c>
      <c r="F729" s="3">
        <v>38965</v>
      </c>
      <c r="G729" s="4">
        <v>1068013000</v>
      </c>
      <c r="H729">
        <f t="shared" si="33"/>
        <v>1212</v>
      </c>
      <c r="I729">
        <f t="shared" si="34"/>
        <v>0.14285714285714285</v>
      </c>
      <c r="J729">
        <f t="shared" si="35"/>
        <v>173.14285714285714</v>
      </c>
      <c r="O729">
        <v>2490</v>
      </c>
      <c r="P729">
        <v>24</v>
      </c>
      <c r="R729">
        <v>2914</v>
      </c>
      <c r="S729">
        <v>0.67</v>
      </c>
    </row>
    <row r="730" spans="1:19" ht="15" customHeight="1" x14ac:dyDescent="0.2">
      <c r="A730" s="4">
        <v>2328</v>
      </c>
      <c r="B730" s="2" t="s">
        <v>13</v>
      </c>
      <c r="C730" s="2" t="s">
        <v>8</v>
      </c>
      <c r="D730" s="2" t="s">
        <v>20</v>
      </c>
      <c r="E730" s="2">
        <v>18860</v>
      </c>
      <c r="F730" s="3">
        <v>38965</v>
      </c>
      <c r="G730" s="4">
        <v>3182003000</v>
      </c>
      <c r="H730">
        <f t="shared" si="33"/>
        <v>1212</v>
      </c>
      <c r="I730">
        <f t="shared" si="34"/>
        <v>0.42857142857142855</v>
      </c>
      <c r="J730">
        <f t="shared" si="35"/>
        <v>519.42857142857144</v>
      </c>
      <c r="O730">
        <v>2495</v>
      </c>
      <c r="P730">
        <v>461</v>
      </c>
      <c r="R730">
        <v>2923</v>
      </c>
      <c r="S730">
        <v>0.5714285714285714</v>
      </c>
    </row>
    <row r="731" spans="1:19" ht="15" customHeight="1" x14ac:dyDescent="0.2">
      <c r="A731" s="4">
        <v>2329</v>
      </c>
      <c r="B731" s="2" t="s">
        <v>13</v>
      </c>
      <c r="C731" s="2" t="s">
        <v>8</v>
      </c>
      <c r="D731" s="2" t="s">
        <v>20</v>
      </c>
      <c r="E731" s="2">
        <v>3176</v>
      </c>
      <c r="F731" s="3">
        <v>38965</v>
      </c>
      <c r="G731" s="4">
        <v>1165000000</v>
      </c>
      <c r="H731">
        <f t="shared" si="33"/>
        <v>1212</v>
      </c>
      <c r="I731">
        <f t="shared" si="34"/>
        <v>0.42857142857142855</v>
      </c>
      <c r="J731">
        <f t="shared" si="35"/>
        <v>519.42857142857144</v>
      </c>
      <c r="O731">
        <v>2503</v>
      </c>
      <c r="P731">
        <v>309.5</v>
      </c>
      <c r="R731">
        <v>2929</v>
      </c>
      <c r="S731">
        <v>1</v>
      </c>
    </row>
    <row r="732" spans="1:19" ht="15" customHeight="1" x14ac:dyDescent="0.2">
      <c r="A732" s="4">
        <v>2334</v>
      </c>
      <c r="B732" s="2" t="s">
        <v>13</v>
      </c>
      <c r="C732" s="2" t="s">
        <v>8</v>
      </c>
      <c r="D732" s="2" t="s">
        <v>20</v>
      </c>
      <c r="E732" s="2">
        <v>18855</v>
      </c>
      <c r="F732" s="3">
        <v>38966</v>
      </c>
      <c r="G732" s="4">
        <v>2514001000</v>
      </c>
      <c r="H732">
        <f t="shared" si="33"/>
        <v>1212</v>
      </c>
      <c r="I732">
        <f t="shared" si="34"/>
        <v>0.42857142857142855</v>
      </c>
      <c r="J732">
        <f t="shared" si="35"/>
        <v>519.42857142857144</v>
      </c>
      <c r="O732">
        <v>2504</v>
      </c>
      <c r="P732">
        <v>3600</v>
      </c>
      <c r="R732">
        <v>2930</v>
      </c>
      <c r="S732">
        <v>1</v>
      </c>
    </row>
    <row r="733" spans="1:19" ht="15" customHeight="1" x14ac:dyDescent="0.2">
      <c r="A733" s="4">
        <v>2335</v>
      </c>
      <c r="B733" s="2" t="s">
        <v>13</v>
      </c>
      <c r="C733" s="2" t="s">
        <v>8</v>
      </c>
      <c r="D733" s="2" t="s">
        <v>20</v>
      </c>
      <c r="E733" s="2">
        <v>18865</v>
      </c>
      <c r="F733" s="3">
        <v>38965</v>
      </c>
      <c r="G733" s="4">
        <v>953011000</v>
      </c>
      <c r="H733">
        <f t="shared" si="33"/>
        <v>1212</v>
      </c>
      <c r="I733">
        <f t="shared" si="34"/>
        <v>0.42857142857142855</v>
      </c>
      <c r="J733">
        <f t="shared" si="35"/>
        <v>519.42857142857144</v>
      </c>
      <c r="O733">
        <v>2510</v>
      </c>
      <c r="P733">
        <v>461</v>
      </c>
      <c r="R733">
        <v>2952</v>
      </c>
      <c r="S733">
        <v>3</v>
      </c>
    </row>
    <row r="734" spans="1:19" ht="15" customHeight="1" x14ac:dyDescent="0.2">
      <c r="A734" s="4">
        <v>2339</v>
      </c>
      <c r="B734" s="2" t="s">
        <v>131</v>
      </c>
      <c r="C734" s="2" t="s">
        <v>132</v>
      </c>
      <c r="D734" s="2" t="s">
        <v>133</v>
      </c>
      <c r="E734" s="2">
        <v>660</v>
      </c>
      <c r="F734" s="3">
        <v>38960</v>
      </c>
      <c r="G734" s="4">
        <v>193012000</v>
      </c>
      <c r="H734">
        <f t="shared" si="33"/>
        <v>2037.55</v>
      </c>
      <c r="I734">
        <f t="shared" si="34"/>
        <v>0.42857142857142855</v>
      </c>
      <c r="J734">
        <f t="shared" si="35"/>
        <v>873.23571428571427</v>
      </c>
      <c r="O734">
        <v>2516</v>
      </c>
      <c r="P734">
        <v>2037.55</v>
      </c>
      <c r="R734">
        <v>2953</v>
      </c>
      <c r="S734">
        <v>0.14285714285714285</v>
      </c>
    </row>
    <row r="735" spans="1:19" ht="15" customHeight="1" x14ac:dyDescent="0.2">
      <c r="A735" s="4">
        <v>2340</v>
      </c>
      <c r="B735" s="2" t="s">
        <v>131</v>
      </c>
      <c r="C735" s="2" t="s">
        <v>132</v>
      </c>
      <c r="D735" s="2" t="s">
        <v>133</v>
      </c>
      <c r="E735" s="2">
        <v>526</v>
      </c>
      <c r="F735" s="3">
        <v>38960</v>
      </c>
      <c r="G735" s="4">
        <v>1014001</v>
      </c>
      <c r="H735">
        <f t="shared" si="33"/>
        <v>2037.55</v>
      </c>
      <c r="I735">
        <f t="shared" si="34"/>
        <v>0.42857142857142855</v>
      </c>
      <c r="J735">
        <f t="shared" si="35"/>
        <v>873.23571428571427</v>
      </c>
      <c r="O735">
        <v>2518</v>
      </c>
      <c r="P735">
        <v>24</v>
      </c>
      <c r="R735">
        <v>2954</v>
      </c>
      <c r="S735">
        <v>2</v>
      </c>
    </row>
    <row r="736" spans="1:19" ht="15" customHeight="1" x14ac:dyDescent="0.2">
      <c r="A736" s="4">
        <v>2342</v>
      </c>
      <c r="B736" s="2" t="s">
        <v>131</v>
      </c>
      <c r="C736" s="2" t="s">
        <v>132</v>
      </c>
      <c r="D736" s="2" t="s">
        <v>133</v>
      </c>
      <c r="E736" s="2">
        <v>667</v>
      </c>
      <c r="F736" s="3">
        <v>38960</v>
      </c>
      <c r="G736" s="4">
        <v>61007000</v>
      </c>
      <c r="H736">
        <f t="shared" si="33"/>
        <v>2037.55</v>
      </c>
      <c r="I736">
        <f t="shared" si="34"/>
        <v>2</v>
      </c>
      <c r="J736">
        <f t="shared" si="35"/>
        <v>4075.1</v>
      </c>
      <c r="O736">
        <v>2525</v>
      </c>
      <c r="P736">
        <v>859</v>
      </c>
      <c r="R736">
        <v>2955</v>
      </c>
      <c r="S736">
        <v>2</v>
      </c>
    </row>
    <row r="737" spans="1:19" ht="15" customHeight="1" x14ac:dyDescent="0.2">
      <c r="A737" s="4">
        <v>2351</v>
      </c>
      <c r="B737" s="2" t="s">
        <v>134</v>
      </c>
      <c r="C737" s="2" t="s">
        <v>135</v>
      </c>
      <c r="D737" s="2" t="s">
        <v>136</v>
      </c>
      <c r="F737" s="3">
        <v>45181</v>
      </c>
      <c r="G737" s="4">
        <v>1000002</v>
      </c>
      <c r="H737">
        <f t="shared" si="33"/>
        <v>2037.55</v>
      </c>
      <c r="I737">
        <f t="shared" si="34"/>
        <v>2</v>
      </c>
      <c r="J737">
        <f t="shared" si="35"/>
        <v>4075.1</v>
      </c>
      <c r="O737">
        <v>2529</v>
      </c>
      <c r="P737">
        <v>1000</v>
      </c>
      <c r="R737">
        <v>2959</v>
      </c>
      <c r="S737">
        <v>0.33333333333333331</v>
      </c>
    </row>
    <row r="738" spans="1:19" ht="26.1" customHeight="1" x14ac:dyDescent="0.2">
      <c r="A738" s="4">
        <v>2359</v>
      </c>
      <c r="B738" s="2" t="s">
        <v>75</v>
      </c>
      <c r="C738" s="2" t="s">
        <v>21</v>
      </c>
      <c r="D738" s="2" t="s">
        <v>137</v>
      </c>
      <c r="E738" s="2">
        <v>1081</v>
      </c>
      <c r="F738" s="3">
        <v>39073</v>
      </c>
      <c r="G738" s="4">
        <v>1925007000</v>
      </c>
      <c r="H738">
        <f t="shared" si="33"/>
        <v>2237.1000000000004</v>
      </c>
      <c r="I738">
        <f t="shared" si="34"/>
        <v>0.2857142857142857</v>
      </c>
      <c r="J738">
        <f t="shared" si="35"/>
        <v>639.17142857142869</v>
      </c>
      <c r="O738">
        <v>2530</v>
      </c>
      <c r="P738">
        <v>1000</v>
      </c>
      <c r="R738">
        <v>2969</v>
      </c>
      <c r="S738">
        <v>0.33333333333333331</v>
      </c>
    </row>
    <row r="739" spans="1:19" ht="15" customHeight="1" x14ac:dyDescent="0.2">
      <c r="A739" s="4">
        <v>2370</v>
      </c>
      <c r="B739" s="2" t="s">
        <v>100</v>
      </c>
      <c r="C739" s="2" t="s">
        <v>138</v>
      </c>
      <c r="D739" s="2">
        <v>2440</v>
      </c>
      <c r="F739" s="3">
        <v>39630</v>
      </c>
      <c r="G739" s="4">
        <v>3034001000</v>
      </c>
      <c r="H739">
        <f t="shared" si="33"/>
        <v>24</v>
      </c>
      <c r="I739">
        <f t="shared" si="34"/>
        <v>0.2857142857142857</v>
      </c>
      <c r="J739">
        <f t="shared" si="35"/>
        <v>6.8571428571428568</v>
      </c>
      <c r="O739">
        <v>2531</v>
      </c>
      <c r="P739">
        <v>1000</v>
      </c>
      <c r="R739">
        <v>2970</v>
      </c>
      <c r="S739">
        <v>2</v>
      </c>
    </row>
    <row r="740" spans="1:19" ht="15" customHeight="1" x14ac:dyDescent="0.2">
      <c r="A740" s="4">
        <v>2387</v>
      </c>
      <c r="B740" s="2" t="s">
        <v>99</v>
      </c>
      <c r="C740" s="2" t="s">
        <v>138</v>
      </c>
      <c r="D740" s="2" t="s">
        <v>10</v>
      </c>
      <c r="F740" s="3">
        <v>39407</v>
      </c>
      <c r="G740" s="4">
        <v>1014001</v>
      </c>
      <c r="H740">
        <f t="shared" si="33"/>
        <v>24</v>
      </c>
      <c r="I740">
        <f t="shared" si="34"/>
        <v>0.2857142857142857</v>
      </c>
      <c r="J740">
        <f t="shared" si="35"/>
        <v>6.8571428571428568</v>
      </c>
      <c r="O740">
        <v>2535</v>
      </c>
      <c r="P740">
        <v>1000</v>
      </c>
      <c r="R740">
        <v>2981</v>
      </c>
      <c r="S740">
        <v>0.8571428571428571</v>
      </c>
    </row>
    <row r="741" spans="1:19" ht="15" customHeight="1" x14ac:dyDescent="0.2">
      <c r="A741" s="4">
        <v>2390</v>
      </c>
      <c r="B741" s="2" t="s">
        <v>13</v>
      </c>
      <c r="C741" s="2" t="s">
        <v>139</v>
      </c>
      <c r="D741" s="2" t="s">
        <v>140</v>
      </c>
      <c r="E741" s="2">
        <v>130436</v>
      </c>
      <c r="F741" s="3">
        <v>39491</v>
      </c>
      <c r="G741" s="4">
        <v>2126001000</v>
      </c>
      <c r="H741">
        <f t="shared" si="33"/>
        <v>791</v>
      </c>
      <c r="I741">
        <f t="shared" si="34"/>
        <v>0.2857142857142857</v>
      </c>
      <c r="J741">
        <f t="shared" si="35"/>
        <v>226</v>
      </c>
      <c r="O741">
        <v>2555</v>
      </c>
      <c r="P741">
        <v>859</v>
      </c>
      <c r="R741">
        <v>2986</v>
      </c>
      <c r="S741">
        <v>2.8571428571428572</v>
      </c>
    </row>
    <row r="742" spans="1:19" ht="15" customHeight="1" x14ac:dyDescent="0.2">
      <c r="A742" s="4">
        <v>2397</v>
      </c>
      <c r="B742" s="2" t="s">
        <v>100</v>
      </c>
      <c r="C742" s="2" t="s">
        <v>141</v>
      </c>
      <c r="D742" s="2">
        <v>2440</v>
      </c>
      <c r="F742" s="3">
        <v>39479</v>
      </c>
      <c r="G742" s="4">
        <v>529001000</v>
      </c>
      <c r="H742">
        <f t="shared" si="33"/>
        <v>24</v>
      </c>
      <c r="I742">
        <f t="shared" si="34"/>
        <v>0.2857142857142857</v>
      </c>
      <c r="J742">
        <f t="shared" si="35"/>
        <v>6.8571428571428568</v>
      </c>
      <c r="O742">
        <v>2565</v>
      </c>
      <c r="P742">
        <v>859</v>
      </c>
      <c r="R742">
        <v>2988</v>
      </c>
      <c r="S742">
        <v>2</v>
      </c>
    </row>
    <row r="743" spans="1:19" ht="26.1" customHeight="1" x14ac:dyDescent="0.2">
      <c r="A743" s="4">
        <v>2409</v>
      </c>
      <c r="B743" s="2" t="s">
        <v>142</v>
      </c>
      <c r="C743" s="2" t="s">
        <v>143</v>
      </c>
      <c r="D743" s="2" t="s">
        <v>144</v>
      </c>
      <c r="E743" s="2">
        <v>26510197</v>
      </c>
      <c r="F743" s="3">
        <v>39554</v>
      </c>
      <c r="G743" s="4">
        <v>66011000</v>
      </c>
      <c r="H743">
        <f t="shared" si="33"/>
        <v>24</v>
      </c>
      <c r="I743">
        <f t="shared" si="34"/>
        <v>0.2857142857142857</v>
      </c>
      <c r="J743">
        <f t="shared" si="35"/>
        <v>6.8571428571428568</v>
      </c>
      <c r="O743">
        <v>2566</v>
      </c>
      <c r="P743">
        <v>939.5</v>
      </c>
      <c r="R743">
        <v>2989</v>
      </c>
      <c r="S743">
        <v>0.2857142857142857</v>
      </c>
    </row>
    <row r="744" spans="1:19" ht="39.200000000000003" customHeight="1" x14ac:dyDescent="0.2">
      <c r="A744" s="4">
        <v>2413</v>
      </c>
      <c r="B744" s="2" t="s">
        <v>128</v>
      </c>
      <c r="C744" s="2" t="s">
        <v>69</v>
      </c>
      <c r="D744" s="2" t="s">
        <v>10</v>
      </c>
      <c r="E744" s="2" t="s">
        <v>145</v>
      </c>
      <c r="F744" s="3">
        <v>39559</v>
      </c>
      <c r="G744" s="4">
        <v>153002000</v>
      </c>
      <c r="H744">
        <f t="shared" si="33"/>
        <v>24</v>
      </c>
      <c r="I744">
        <f t="shared" si="34"/>
        <v>0.2857142857142857</v>
      </c>
      <c r="J744">
        <f t="shared" si="35"/>
        <v>6.8571428571428568</v>
      </c>
      <c r="O744">
        <v>2591</v>
      </c>
      <c r="P744">
        <v>2037.55</v>
      </c>
      <c r="R744">
        <v>2990</v>
      </c>
      <c r="S744">
        <v>0.33333333333333331</v>
      </c>
    </row>
    <row r="745" spans="1:19" ht="39.200000000000003" customHeight="1" x14ac:dyDescent="0.2">
      <c r="A745" s="4">
        <v>2414</v>
      </c>
      <c r="B745" s="2" t="s">
        <v>128</v>
      </c>
      <c r="C745" s="2" t="s">
        <v>69</v>
      </c>
      <c r="D745" s="2" t="s">
        <v>10</v>
      </c>
      <c r="E745" s="2" t="s">
        <v>145</v>
      </c>
      <c r="F745" s="3">
        <v>39559</v>
      </c>
      <c r="G745" s="4">
        <v>153002000</v>
      </c>
      <c r="H745">
        <f t="shared" si="33"/>
        <v>24</v>
      </c>
      <c r="I745">
        <f t="shared" si="34"/>
        <v>0.2857142857142857</v>
      </c>
      <c r="J745">
        <f t="shared" si="35"/>
        <v>6.8571428571428568</v>
      </c>
      <c r="O745">
        <v>2592</v>
      </c>
      <c r="P745">
        <v>2037.55</v>
      </c>
      <c r="R745">
        <v>2993</v>
      </c>
      <c r="S745">
        <v>0.14285714285714285</v>
      </c>
    </row>
    <row r="746" spans="1:19" ht="15" customHeight="1" x14ac:dyDescent="0.2">
      <c r="A746" s="4">
        <v>2415</v>
      </c>
      <c r="B746" s="2" t="s">
        <v>128</v>
      </c>
      <c r="C746" s="2" t="s">
        <v>69</v>
      </c>
      <c r="D746" s="2" t="s">
        <v>10</v>
      </c>
      <c r="F746" s="3">
        <v>41299</v>
      </c>
      <c r="G746" s="4">
        <v>153002000</v>
      </c>
      <c r="H746">
        <f t="shared" si="33"/>
        <v>24</v>
      </c>
      <c r="I746">
        <f t="shared" si="34"/>
        <v>0.2857142857142857</v>
      </c>
      <c r="J746">
        <f t="shared" si="35"/>
        <v>6.8571428571428568</v>
      </c>
      <c r="O746">
        <v>2593</v>
      </c>
      <c r="P746">
        <v>309.5</v>
      </c>
      <c r="R746">
        <v>2994</v>
      </c>
      <c r="S746">
        <v>0.33333333333333331</v>
      </c>
    </row>
    <row r="747" spans="1:19" ht="15" customHeight="1" x14ac:dyDescent="0.2">
      <c r="A747" s="4">
        <v>2440</v>
      </c>
      <c r="B747" s="2" t="s">
        <v>13</v>
      </c>
      <c r="C747" s="2" t="s">
        <v>8</v>
      </c>
      <c r="D747" s="2" t="s">
        <v>10</v>
      </c>
      <c r="E747" s="2">
        <v>18774</v>
      </c>
      <c r="F747" s="3">
        <v>39630</v>
      </c>
      <c r="G747" s="4">
        <v>1014002</v>
      </c>
      <c r="H747">
        <f t="shared" si="33"/>
        <v>1212</v>
      </c>
      <c r="I747">
        <f t="shared" si="34"/>
        <v>3.7142857142857144</v>
      </c>
      <c r="J747">
        <f t="shared" si="35"/>
        <v>4501.7142857142862</v>
      </c>
      <c r="O747">
        <v>2596</v>
      </c>
      <c r="P747">
        <v>309.5</v>
      </c>
      <c r="R747">
        <v>3000</v>
      </c>
      <c r="S747">
        <v>1</v>
      </c>
    </row>
    <row r="748" spans="1:19" ht="15" customHeight="1" x14ac:dyDescent="0.2">
      <c r="A748" s="4">
        <v>2467</v>
      </c>
      <c r="B748" s="2" t="s">
        <v>13</v>
      </c>
      <c r="C748" s="2" t="s">
        <v>8</v>
      </c>
      <c r="D748" s="2" t="s">
        <v>20</v>
      </c>
      <c r="F748" s="3">
        <v>41813</v>
      </c>
      <c r="G748" s="4">
        <v>1720001000</v>
      </c>
      <c r="H748">
        <f t="shared" si="33"/>
        <v>1212</v>
      </c>
      <c r="I748">
        <f t="shared" si="34"/>
        <v>9.5714285714285724E-2</v>
      </c>
      <c r="J748">
        <f t="shared" si="35"/>
        <v>116.00571428571429</v>
      </c>
      <c r="O748">
        <v>2597</v>
      </c>
      <c r="P748">
        <v>309.5</v>
      </c>
      <c r="R748">
        <v>3016</v>
      </c>
      <c r="S748">
        <v>0.33333333333333331</v>
      </c>
    </row>
    <row r="749" spans="1:19" ht="15" customHeight="1" x14ac:dyDescent="0.2">
      <c r="A749" s="4">
        <v>2468</v>
      </c>
      <c r="B749" s="2" t="s">
        <v>13</v>
      </c>
      <c r="C749" s="2" t="s">
        <v>8</v>
      </c>
      <c r="D749" s="2" t="s">
        <v>18</v>
      </c>
      <c r="E749" s="2">
        <v>204</v>
      </c>
      <c r="F749" s="3">
        <v>42023</v>
      </c>
      <c r="G749" s="4">
        <v>3370014000</v>
      </c>
      <c r="H749">
        <f t="shared" si="33"/>
        <v>1212</v>
      </c>
      <c r="I749">
        <f t="shared" si="34"/>
        <v>0.2857142857142857</v>
      </c>
      <c r="J749">
        <f t="shared" si="35"/>
        <v>346.28571428571428</v>
      </c>
      <c r="O749">
        <v>2598</v>
      </c>
      <c r="P749">
        <v>882.5</v>
      </c>
      <c r="R749">
        <v>3017</v>
      </c>
      <c r="S749">
        <v>0.14285714285714285</v>
      </c>
    </row>
    <row r="750" spans="1:19" ht="15" customHeight="1" x14ac:dyDescent="0.2">
      <c r="A750" s="4">
        <v>2473</v>
      </c>
      <c r="B750" s="2" t="s">
        <v>13</v>
      </c>
      <c r="C750" s="2" t="s">
        <v>8</v>
      </c>
      <c r="F750" s="3">
        <v>40515</v>
      </c>
      <c r="G750" s="4">
        <v>2558002000</v>
      </c>
      <c r="H750">
        <f t="shared" si="33"/>
        <v>1212</v>
      </c>
      <c r="I750">
        <f t="shared" si="34"/>
        <v>0.26666666666666666</v>
      </c>
      <c r="J750">
        <f t="shared" si="35"/>
        <v>323.2</v>
      </c>
      <c r="O750">
        <v>2600</v>
      </c>
      <c r="P750">
        <v>882.5</v>
      </c>
      <c r="R750">
        <v>3020</v>
      </c>
      <c r="S750">
        <v>2</v>
      </c>
    </row>
    <row r="751" spans="1:19" ht="15" customHeight="1" x14ac:dyDescent="0.2">
      <c r="A751" s="4">
        <v>2478</v>
      </c>
      <c r="B751" s="2" t="s">
        <v>13</v>
      </c>
      <c r="C751" s="2" t="s">
        <v>8</v>
      </c>
      <c r="D751" s="2" t="s">
        <v>36</v>
      </c>
      <c r="E751" s="2">
        <v>15843</v>
      </c>
      <c r="F751" s="3">
        <v>39946</v>
      </c>
      <c r="G751" s="4">
        <v>2889002000</v>
      </c>
      <c r="H751">
        <f t="shared" si="33"/>
        <v>1135</v>
      </c>
      <c r="I751">
        <f t="shared" si="34"/>
        <v>0.5</v>
      </c>
      <c r="J751">
        <f t="shared" si="35"/>
        <v>567.5</v>
      </c>
      <c r="O751">
        <v>2602</v>
      </c>
      <c r="P751">
        <v>882.5</v>
      </c>
      <c r="R751">
        <v>3021</v>
      </c>
      <c r="S751">
        <v>0.42857142857142855</v>
      </c>
    </row>
    <row r="752" spans="1:19" ht="15" customHeight="1" x14ac:dyDescent="0.2">
      <c r="A752" s="4">
        <v>2481</v>
      </c>
      <c r="B752" s="2" t="s">
        <v>146</v>
      </c>
      <c r="C752" s="2" t="s">
        <v>132</v>
      </c>
      <c r="D752" s="2" t="s">
        <v>147</v>
      </c>
      <c r="E752" s="2">
        <v>1558</v>
      </c>
      <c r="F752" s="3">
        <v>39972</v>
      </c>
      <c r="G752" s="4">
        <v>1014001</v>
      </c>
      <c r="H752">
        <f t="shared" si="33"/>
        <v>1135</v>
      </c>
      <c r="I752">
        <f t="shared" si="34"/>
        <v>0.5</v>
      </c>
      <c r="J752">
        <f t="shared" si="35"/>
        <v>567.5</v>
      </c>
      <c r="O752">
        <v>2603</v>
      </c>
      <c r="P752">
        <v>882.5</v>
      </c>
      <c r="R752">
        <v>3022</v>
      </c>
      <c r="S752">
        <v>0.21428571428571427</v>
      </c>
    </row>
    <row r="753" spans="1:19" ht="15" customHeight="1" x14ac:dyDescent="0.2">
      <c r="A753" s="4">
        <v>2487</v>
      </c>
      <c r="B753" s="2" t="s">
        <v>146</v>
      </c>
      <c r="C753" s="2" t="s">
        <v>132</v>
      </c>
      <c r="D753" s="2" t="s">
        <v>147</v>
      </c>
      <c r="E753" s="2">
        <v>1569</v>
      </c>
      <c r="F753" s="3">
        <v>40010</v>
      </c>
      <c r="G753" s="4">
        <v>1014001</v>
      </c>
      <c r="H753">
        <f t="shared" si="33"/>
        <v>1135</v>
      </c>
      <c r="I753">
        <f t="shared" si="34"/>
        <v>0.5</v>
      </c>
      <c r="J753">
        <f t="shared" si="35"/>
        <v>567.5</v>
      </c>
      <c r="O753">
        <v>2604</v>
      </c>
      <c r="P753">
        <v>882.5</v>
      </c>
      <c r="R753">
        <v>3023</v>
      </c>
      <c r="S753">
        <v>0.21428571428571427</v>
      </c>
    </row>
    <row r="754" spans="1:19" ht="15" customHeight="1" x14ac:dyDescent="0.2">
      <c r="A754" s="4">
        <v>2490</v>
      </c>
      <c r="B754" s="2" t="s">
        <v>100</v>
      </c>
      <c r="C754" s="2" t="s">
        <v>69</v>
      </c>
      <c r="D754" s="2" t="s">
        <v>10</v>
      </c>
      <c r="F754" s="3">
        <v>40010</v>
      </c>
      <c r="G754" s="4">
        <v>2905001000</v>
      </c>
      <c r="H754">
        <f t="shared" si="33"/>
        <v>24</v>
      </c>
      <c r="I754">
        <f t="shared" si="34"/>
        <v>0.5</v>
      </c>
      <c r="J754">
        <f t="shared" si="35"/>
        <v>12</v>
      </c>
      <c r="O754">
        <v>2606</v>
      </c>
      <c r="P754">
        <v>882.5</v>
      </c>
      <c r="R754">
        <v>3024</v>
      </c>
      <c r="S754">
        <v>3</v>
      </c>
    </row>
    <row r="755" spans="1:19" ht="15" customHeight="1" x14ac:dyDescent="0.2">
      <c r="A755" s="4">
        <v>2491</v>
      </c>
      <c r="B755" s="2" t="s">
        <v>146</v>
      </c>
      <c r="C755" s="2" t="s">
        <v>132</v>
      </c>
      <c r="D755" s="2" t="s">
        <v>147</v>
      </c>
      <c r="F755" s="3">
        <v>40024</v>
      </c>
      <c r="G755" s="4">
        <v>3154002000</v>
      </c>
      <c r="H755">
        <f t="shared" si="33"/>
        <v>24</v>
      </c>
      <c r="I755">
        <f t="shared" si="34"/>
        <v>0.5</v>
      </c>
      <c r="J755">
        <f t="shared" si="35"/>
        <v>12</v>
      </c>
      <c r="O755">
        <v>2608</v>
      </c>
      <c r="P755">
        <v>0</v>
      </c>
      <c r="R755">
        <v>3025</v>
      </c>
      <c r="S755">
        <v>0.05</v>
      </c>
    </row>
    <row r="756" spans="1:19" ht="15" customHeight="1" x14ac:dyDescent="0.2">
      <c r="A756" s="4">
        <v>2495</v>
      </c>
      <c r="B756" s="2" t="s">
        <v>7</v>
      </c>
      <c r="C756" s="2" t="s">
        <v>8</v>
      </c>
      <c r="D756" s="2" t="s">
        <v>17</v>
      </c>
      <c r="E756" s="2">
        <v>8150</v>
      </c>
      <c r="F756" s="3">
        <v>40032</v>
      </c>
      <c r="G756" s="4">
        <v>2126001000</v>
      </c>
      <c r="H756">
        <f t="shared" si="33"/>
        <v>461</v>
      </c>
      <c r="I756">
        <f t="shared" si="34"/>
        <v>0.5</v>
      </c>
      <c r="J756">
        <f t="shared" si="35"/>
        <v>230.5</v>
      </c>
      <c r="O756">
        <v>2610</v>
      </c>
      <c r="P756">
        <v>0</v>
      </c>
      <c r="R756">
        <v>3036</v>
      </c>
      <c r="S756">
        <v>6</v>
      </c>
    </row>
    <row r="757" spans="1:19" ht="26.1" customHeight="1" x14ac:dyDescent="0.2">
      <c r="A757" s="4">
        <v>2496</v>
      </c>
      <c r="B757" s="2" t="s">
        <v>82</v>
      </c>
      <c r="C757" s="2" t="s">
        <v>80</v>
      </c>
      <c r="D757" s="2" t="s">
        <v>83</v>
      </c>
      <c r="F757" s="3">
        <v>40035</v>
      </c>
      <c r="G757" s="4">
        <v>1000012</v>
      </c>
      <c r="H757">
        <f t="shared" si="33"/>
        <v>461</v>
      </c>
      <c r="I757">
        <f t="shared" si="34"/>
        <v>0.5</v>
      </c>
      <c r="J757">
        <f t="shared" si="35"/>
        <v>230.5</v>
      </c>
      <c r="O757">
        <v>2611</v>
      </c>
      <c r="P757">
        <v>0</v>
      </c>
      <c r="R757">
        <v>3037</v>
      </c>
      <c r="S757">
        <v>3.7142857142857144</v>
      </c>
    </row>
    <row r="758" spans="1:19" ht="26.1" customHeight="1" x14ac:dyDescent="0.2">
      <c r="A758" s="4">
        <v>2503</v>
      </c>
      <c r="B758" s="2" t="s">
        <v>11</v>
      </c>
      <c r="C758" s="2" t="s">
        <v>8</v>
      </c>
      <c r="D758" s="2" t="s">
        <v>9</v>
      </c>
      <c r="E758" s="2">
        <v>679</v>
      </c>
      <c r="F758" s="3">
        <v>40087</v>
      </c>
      <c r="G758" s="4">
        <v>1022000</v>
      </c>
      <c r="H758">
        <f t="shared" si="33"/>
        <v>309.5</v>
      </c>
      <c r="I758">
        <f t="shared" si="34"/>
        <v>0.5</v>
      </c>
      <c r="J758">
        <f t="shared" si="35"/>
        <v>154.75</v>
      </c>
      <c r="O758">
        <v>2612</v>
      </c>
      <c r="P758">
        <v>0</v>
      </c>
      <c r="R758">
        <v>3040</v>
      </c>
      <c r="S758">
        <v>0.8571428571428571</v>
      </c>
    </row>
    <row r="759" spans="1:19" ht="26.1" customHeight="1" x14ac:dyDescent="0.2">
      <c r="A759" s="4">
        <v>2504</v>
      </c>
      <c r="B759" s="2" t="s">
        <v>123</v>
      </c>
      <c r="C759" s="2" t="s">
        <v>148</v>
      </c>
      <c r="D759" s="2" t="s">
        <v>149</v>
      </c>
      <c r="E759" s="2">
        <v>506010</v>
      </c>
      <c r="F759" s="3">
        <v>40091</v>
      </c>
      <c r="G759" s="4">
        <v>1720001000</v>
      </c>
      <c r="H759">
        <f t="shared" si="33"/>
        <v>3600</v>
      </c>
      <c r="I759">
        <f t="shared" si="34"/>
        <v>3.3333333333333333E-2</v>
      </c>
      <c r="J759">
        <f t="shared" si="35"/>
        <v>120</v>
      </c>
      <c r="O759">
        <v>2613</v>
      </c>
      <c r="P759">
        <v>0</v>
      </c>
      <c r="R759">
        <v>3041</v>
      </c>
      <c r="S759">
        <v>0.14285714285714285</v>
      </c>
    </row>
    <row r="760" spans="1:19" ht="15" customHeight="1" x14ac:dyDescent="0.2">
      <c r="A760" s="4">
        <v>2506</v>
      </c>
      <c r="B760" s="2" t="s">
        <v>146</v>
      </c>
      <c r="C760" s="2" t="s">
        <v>132</v>
      </c>
      <c r="D760" s="2" t="s">
        <v>147</v>
      </c>
      <c r="E760" s="2">
        <v>865</v>
      </c>
      <c r="F760" s="3">
        <v>40128</v>
      </c>
      <c r="G760" s="4">
        <v>1014001</v>
      </c>
      <c r="H760">
        <f t="shared" si="33"/>
        <v>3600</v>
      </c>
      <c r="I760">
        <f t="shared" si="34"/>
        <v>3.3333333333333333E-2</v>
      </c>
      <c r="J760">
        <f t="shared" si="35"/>
        <v>120</v>
      </c>
      <c r="O760">
        <v>2614</v>
      </c>
      <c r="P760">
        <v>0</v>
      </c>
      <c r="R760">
        <v>3042</v>
      </c>
      <c r="S760">
        <v>3.4285714285714284</v>
      </c>
    </row>
    <row r="761" spans="1:19" ht="15" customHeight="1" x14ac:dyDescent="0.2">
      <c r="A761" s="4">
        <v>2508</v>
      </c>
      <c r="B761" s="2" t="s">
        <v>150</v>
      </c>
      <c r="C761" s="2" t="s">
        <v>80</v>
      </c>
      <c r="D761" s="2" t="s">
        <v>151</v>
      </c>
      <c r="F761" s="3">
        <v>40141</v>
      </c>
      <c r="G761" s="4">
        <v>1014002</v>
      </c>
      <c r="H761">
        <f t="shared" si="33"/>
        <v>3600</v>
      </c>
      <c r="I761">
        <f t="shared" si="34"/>
        <v>3.3333333333333333E-2</v>
      </c>
      <c r="J761">
        <f t="shared" si="35"/>
        <v>120</v>
      </c>
      <c r="O761">
        <v>2620</v>
      </c>
      <c r="P761">
        <v>1000</v>
      </c>
      <c r="R761">
        <v>3043</v>
      </c>
      <c r="S761">
        <v>0.8571428571428571</v>
      </c>
    </row>
    <row r="762" spans="1:19" ht="15" customHeight="1" x14ac:dyDescent="0.2">
      <c r="A762" s="4">
        <v>2510</v>
      </c>
      <c r="B762" s="2" t="s">
        <v>7</v>
      </c>
      <c r="C762" s="2" t="s">
        <v>8</v>
      </c>
      <c r="D762" s="2" t="s">
        <v>17</v>
      </c>
      <c r="E762" s="2">
        <v>7948</v>
      </c>
      <c r="F762" s="3">
        <v>40163</v>
      </c>
      <c r="G762" s="4">
        <v>1014001</v>
      </c>
      <c r="H762">
        <f t="shared" si="33"/>
        <v>461</v>
      </c>
      <c r="I762">
        <f t="shared" si="34"/>
        <v>3.3333333333333333E-2</v>
      </c>
      <c r="J762">
        <f t="shared" si="35"/>
        <v>15.366666666666667</v>
      </c>
      <c r="O762">
        <v>2621</v>
      </c>
      <c r="P762">
        <v>1000</v>
      </c>
      <c r="R762">
        <v>3044</v>
      </c>
      <c r="S762">
        <v>1</v>
      </c>
    </row>
    <row r="763" spans="1:19" ht="15" customHeight="1" x14ac:dyDescent="0.2">
      <c r="A763" s="4">
        <v>2516</v>
      </c>
      <c r="B763" s="2" t="s">
        <v>131</v>
      </c>
      <c r="C763" s="2" t="s">
        <v>132</v>
      </c>
      <c r="D763" s="2" t="s">
        <v>133</v>
      </c>
      <c r="F763" s="3">
        <v>40200</v>
      </c>
      <c r="G763" s="4">
        <v>165008000</v>
      </c>
      <c r="H763">
        <f t="shared" si="33"/>
        <v>2037.55</v>
      </c>
      <c r="I763">
        <f t="shared" si="34"/>
        <v>1</v>
      </c>
      <c r="J763">
        <f t="shared" si="35"/>
        <v>2037.55</v>
      </c>
      <c r="O763">
        <v>2622</v>
      </c>
      <c r="P763">
        <v>1000</v>
      </c>
      <c r="R763">
        <v>3045</v>
      </c>
      <c r="S763">
        <v>0.66666666666666663</v>
      </c>
    </row>
    <row r="764" spans="1:19" ht="26.1" customHeight="1" x14ac:dyDescent="0.2">
      <c r="A764" s="4">
        <v>2518</v>
      </c>
      <c r="B764" s="2" t="s">
        <v>100</v>
      </c>
      <c r="C764" s="2" t="s">
        <v>152</v>
      </c>
      <c r="D764" s="2" t="s">
        <v>153</v>
      </c>
      <c r="E764" s="2">
        <v>17250919110</v>
      </c>
      <c r="F764" s="3">
        <v>40206</v>
      </c>
      <c r="G764" s="4">
        <v>3135001000</v>
      </c>
      <c r="H764">
        <f t="shared" si="33"/>
        <v>24</v>
      </c>
      <c r="I764">
        <f t="shared" si="34"/>
        <v>1</v>
      </c>
      <c r="J764">
        <f t="shared" si="35"/>
        <v>24</v>
      </c>
      <c r="O764">
        <v>2623</v>
      </c>
      <c r="P764">
        <v>1000</v>
      </c>
      <c r="R764">
        <v>3046</v>
      </c>
      <c r="S764">
        <v>0.5</v>
      </c>
    </row>
    <row r="765" spans="1:19" ht="39.200000000000003" customHeight="1" x14ac:dyDescent="0.2">
      <c r="A765" s="4">
        <v>2519</v>
      </c>
      <c r="B765" s="2" t="s">
        <v>146</v>
      </c>
      <c r="C765" s="2" t="s">
        <v>25</v>
      </c>
      <c r="D765" s="2" t="s">
        <v>154</v>
      </c>
      <c r="E765" s="2">
        <v>8004751007655</v>
      </c>
      <c r="F765" s="3">
        <v>40206</v>
      </c>
      <c r="G765" s="4">
        <v>66011000</v>
      </c>
      <c r="H765">
        <f t="shared" si="33"/>
        <v>24</v>
      </c>
      <c r="I765">
        <f t="shared" si="34"/>
        <v>1</v>
      </c>
      <c r="J765">
        <f t="shared" si="35"/>
        <v>24</v>
      </c>
      <c r="O765">
        <v>2624</v>
      </c>
      <c r="P765">
        <v>1000</v>
      </c>
      <c r="R765">
        <v>3047</v>
      </c>
      <c r="S765">
        <v>0.66666666666666663</v>
      </c>
    </row>
    <row r="766" spans="1:19" ht="26.1" customHeight="1" x14ac:dyDescent="0.2">
      <c r="A766" s="4">
        <v>2525</v>
      </c>
      <c r="B766" s="2" t="s">
        <v>95</v>
      </c>
      <c r="C766" s="2" t="s">
        <v>155</v>
      </c>
      <c r="D766" s="2" t="s">
        <v>10</v>
      </c>
      <c r="E766" s="2">
        <v>2009050248</v>
      </c>
      <c r="F766" s="3">
        <v>40231</v>
      </c>
      <c r="G766" s="4">
        <v>1023000</v>
      </c>
      <c r="H766">
        <f t="shared" si="33"/>
        <v>859</v>
      </c>
      <c r="I766">
        <f t="shared" si="34"/>
        <v>6.6666666666666666E-2</v>
      </c>
      <c r="J766">
        <f t="shared" si="35"/>
        <v>57.266666666666666</v>
      </c>
      <c r="O766">
        <v>2625</v>
      </c>
      <c r="P766">
        <v>1000</v>
      </c>
      <c r="R766">
        <v>3052</v>
      </c>
      <c r="S766">
        <v>0.2857142857142857</v>
      </c>
    </row>
    <row r="767" spans="1:19" ht="15" customHeight="1" x14ac:dyDescent="0.2">
      <c r="A767" s="4">
        <v>2529</v>
      </c>
      <c r="B767" s="2" t="s">
        <v>13</v>
      </c>
      <c r="C767" s="2" t="s">
        <v>8</v>
      </c>
      <c r="D767" s="2" t="s">
        <v>156</v>
      </c>
      <c r="E767" s="2">
        <v>3249</v>
      </c>
      <c r="F767" s="3">
        <v>40256</v>
      </c>
      <c r="G767" s="4">
        <v>2548050000</v>
      </c>
      <c r="H767">
        <f t="shared" si="33"/>
        <v>1000</v>
      </c>
      <c r="I767">
        <f t="shared" si="34"/>
        <v>0.13333333333333333</v>
      </c>
      <c r="J767">
        <f t="shared" si="35"/>
        <v>133.33333333333334</v>
      </c>
      <c r="O767">
        <v>2626</v>
      </c>
      <c r="P767">
        <v>1000</v>
      </c>
      <c r="R767">
        <v>3057</v>
      </c>
      <c r="S767">
        <v>6</v>
      </c>
    </row>
    <row r="768" spans="1:19" ht="15" customHeight="1" x14ac:dyDescent="0.2">
      <c r="A768" s="4">
        <v>2530</v>
      </c>
      <c r="B768" s="2" t="s">
        <v>13</v>
      </c>
      <c r="C768" s="2" t="s">
        <v>8</v>
      </c>
      <c r="D768" s="2" t="s">
        <v>156</v>
      </c>
      <c r="E768" s="2">
        <v>3223</v>
      </c>
      <c r="F768" s="3">
        <v>40256</v>
      </c>
      <c r="G768" s="4">
        <v>2889001000</v>
      </c>
      <c r="H768">
        <f t="shared" si="33"/>
        <v>1000</v>
      </c>
      <c r="I768">
        <f t="shared" si="34"/>
        <v>1.6</v>
      </c>
      <c r="J768">
        <f t="shared" si="35"/>
        <v>1600</v>
      </c>
      <c r="O768">
        <v>2627</v>
      </c>
      <c r="P768">
        <v>1000</v>
      </c>
      <c r="R768">
        <v>3058</v>
      </c>
      <c r="S768">
        <v>2</v>
      </c>
    </row>
    <row r="769" spans="1:19" ht="15" customHeight="1" x14ac:dyDescent="0.2">
      <c r="A769" s="4">
        <v>2531</v>
      </c>
      <c r="B769" s="2" t="s">
        <v>13</v>
      </c>
      <c r="C769" s="2" t="s">
        <v>8</v>
      </c>
      <c r="D769" s="2" t="s">
        <v>156</v>
      </c>
      <c r="E769" s="2">
        <v>3250</v>
      </c>
      <c r="F769" s="3">
        <v>40256</v>
      </c>
      <c r="G769" s="4">
        <v>66011000</v>
      </c>
      <c r="H769">
        <f t="shared" si="33"/>
        <v>1000</v>
      </c>
      <c r="I769">
        <f t="shared" si="34"/>
        <v>0.14285714285714285</v>
      </c>
      <c r="J769">
        <f t="shared" si="35"/>
        <v>142.85714285714286</v>
      </c>
      <c r="O769">
        <v>2628</v>
      </c>
      <c r="P769">
        <v>1000</v>
      </c>
      <c r="R769">
        <v>3061</v>
      </c>
      <c r="S769">
        <v>0.10714285714285714</v>
      </c>
    </row>
    <row r="770" spans="1:19" ht="15" customHeight="1" x14ac:dyDescent="0.2">
      <c r="A770" s="4">
        <v>2535</v>
      </c>
      <c r="B770" s="2" t="s">
        <v>13</v>
      </c>
      <c r="C770" s="2" t="s">
        <v>8</v>
      </c>
      <c r="D770" s="2" t="s">
        <v>156</v>
      </c>
      <c r="E770" s="2">
        <v>3390</v>
      </c>
      <c r="F770" s="3">
        <v>40312</v>
      </c>
      <c r="G770" s="4">
        <v>165001000</v>
      </c>
      <c r="H770">
        <f t="shared" ref="H770:H833" si="36">VLOOKUP(A770,O:P,2)</f>
        <v>1000</v>
      </c>
      <c r="I770">
        <f t="shared" ref="I770:I833" si="37">VLOOKUP(A770,R:S,2)</f>
        <v>3.4285714285714284</v>
      </c>
      <c r="J770">
        <f t="shared" ref="J770:J833" si="38">H770*I770</f>
        <v>3428.5714285714284</v>
      </c>
      <c r="O770">
        <v>2630</v>
      </c>
      <c r="P770">
        <v>1000</v>
      </c>
      <c r="R770">
        <v>3062</v>
      </c>
      <c r="S770">
        <v>0.42857142857142855</v>
      </c>
    </row>
    <row r="771" spans="1:19" ht="15" customHeight="1" x14ac:dyDescent="0.2">
      <c r="A771" s="4">
        <v>2548</v>
      </c>
      <c r="B771" s="2" t="s">
        <v>146</v>
      </c>
      <c r="C771" s="2" t="s">
        <v>132</v>
      </c>
      <c r="D771" s="2" t="s">
        <v>157</v>
      </c>
      <c r="E771" s="2">
        <v>1945</v>
      </c>
      <c r="F771" s="3">
        <v>40394</v>
      </c>
      <c r="G771" s="4">
        <v>1014001</v>
      </c>
      <c r="H771">
        <f t="shared" si="36"/>
        <v>1000</v>
      </c>
      <c r="I771">
        <f t="shared" si="37"/>
        <v>3.4285714285714284</v>
      </c>
      <c r="J771">
        <f t="shared" si="38"/>
        <v>3428.5714285714284</v>
      </c>
      <c r="O771">
        <v>2632</v>
      </c>
      <c r="P771">
        <v>1000</v>
      </c>
      <c r="R771">
        <v>3063</v>
      </c>
      <c r="S771">
        <v>2</v>
      </c>
    </row>
    <row r="772" spans="1:19" ht="26.1" customHeight="1" x14ac:dyDescent="0.2">
      <c r="A772" s="4">
        <v>2555</v>
      </c>
      <c r="B772" s="2" t="s">
        <v>95</v>
      </c>
      <c r="C772" s="2" t="s">
        <v>155</v>
      </c>
      <c r="D772" s="2" t="s">
        <v>10</v>
      </c>
      <c r="F772" s="3">
        <v>40451</v>
      </c>
      <c r="G772" s="4">
        <v>3288001000</v>
      </c>
      <c r="H772">
        <f t="shared" si="36"/>
        <v>859</v>
      </c>
      <c r="I772">
        <f t="shared" si="37"/>
        <v>0.33333333333333331</v>
      </c>
      <c r="J772">
        <f t="shared" si="38"/>
        <v>286.33333333333331</v>
      </c>
      <c r="O772">
        <v>2633</v>
      </c>
      <c r="P772">
        <v>1000</v>
      </c>
      <c r="R772">
        <v>3064</v>
      </c>
      <c r="S772">
        <v>0.14285714285714285</v>
      </c>
    </row>
    <row r="773" spans="1:19" ht="26.1" customHeight="1" x14ac:dyDescent="0.2">
      <c r="A773" s="4">
        <v>2556</v>
      </c>
      <c r="B773" s="2" t="s">
        <v>158</v>
      </c>
      <c r="C773" s="2" t="s">
        <v>159</v>
      </c>
      <c r="D773" s="2" t="s">
        <v>160</v>
      </c>
      <c r="E773" s="2" t="s">
        <v>161</v>
      </c>
      <c r="F773" s="3">
        <v>40470</v>
      </c>
      <c r="G773" s="4">
        <v>1014002</v>
      </c>
      <c r="H773">
        <f t="shared" si="36"/>
        <v>859</v>
      </c>
      <c r="I773">
        <f t="shared" si="37"/>
        <v>0.33333333333333331</v>
      </c>
      <c r="J773">
        <f t="shared" si="38"/>
        <v>286.33333333333331</v>
      </c>
      <c r="O773">
        <v>2634</v>
      </c>
      <c r="P773">
        <v>1000</v>
      </c>
      <c r="R773">
        <v>3066</v>
      </c>
      <c r="S773">
        <v>3.3333333333333333E-2</v>
      </c>
    </row>
    <row r="774" spans="1:19" ht="15" customHeight="1" x14ac:dyDescent="0.2">
      <c r="A774" s="4">
        <v>2561</v>
      </c>
      <c r="B774" s="2" t="s">
        <v>146</v>
      </c>
      <c r="C774" s="2" t="s">
        <v>132</v>
      </c>
      <c r="D774" s="2" t="s">
        <v>147</v>
      </c>
      <c r="E774" s="2">
        <v>2092</v>
      </c>
      <c r="F774" s="3">
        <v>40477</v>
      </c>
      <c r="G774" s="4">
        <v>1014001</v>
      </c>
      <c r="H774">
        <f t="shared" si="36"/>
        <v>859</v>
      </c>
      <c r="I774">
        <f t="shared" si="37"/>
        <v>0.33333333333333331</v>
      </c>
      <c r="J774">
        <f t="shared" si="38"/>
        <v>286.33333333333331</v>
      </c>
      <c r="O774">
        <v>2639</v>
      </c>
      <c r="P774">
        <v>24</v>
      </c>
      <c r="R774">
        <v>3075</v>
      </c>
      <c r="S774">
        <v>6</v>
      </c>
    </row>
    <row r="775" spans="1:19" ht="15" customHeight="1" x14ac:dyDescent="0.2">
      <c r="A775" s="4">
        <v>2565</v>
      </c>
      <c r="B775" s="2" t="s">
        <v>13</v>
      </c>
      <c r="C775" s="2" t="s">
        <v>155</v>
      </c>
      <c r="D775" s="2" t="s">
        <v>10</v>
      </c>
      <c r="F775" s="3">
        <v>40480</v>
      </c>
      <c r="G775" s="4">
        <v>66011000</v>
      </c>
      <c r="H775">
        <f t="shared" si="36"/>
        <v>859</v>
      </c>
      <c r="I775">
        <f t="shared" si="37"/>
        <v>0.14285714285714285</v>
      </c>
      <c r="J775">
        <f t="shared" si="38"/>
        <v>122.71428571428571</v>
      </c>
      <c r="O775">
        <v>2644</v>
      </c>
      <c r="P775">
        <v>3600</v>
      </c>
      <c r="R775">
        <v>3076</v>
      </c>
      <c r="S775">
        <v>0.66666666666666663</v>
      </c>
    </row>
    <row r="776" spans="1:19" ht="26.1" customHeight="1" x14ac:dyDescent="0.2">
      <c r="A776" s="4">
        <v>2566</v>
      </c>
      <c r="B776" s="2" t="s">
        <v>24</v>
      </c>
      <c r="C776" s="2" t="s">
        <v>162</v>
      </c>
      <c r="D776" s="2">
        <v>2000</v>
      </c>
      <c r="E776" s="2">
        <v>9280</v>
      </c>
      <c r="F776" s="3">
        <v>40480</v>
      </c>
      <c r="G776" s="4">
        <v>1550001000</v>
      </c>
      <c r="H776">
        <f t="shared" si="36"/>
        <v>939.5</v>
      </c>
      <c r="I776">
        <f t="shared" si="37"/>
        <v>0.42857142857142855</v>
      </c>
      <c r="J776">
        <f t="shared" si="38"/>
        <v>402.64285714285711</v>
      </c>
      <c r="O776">
        <v>2653</v>
      </c>
      <c r="P776">
        <v>2000</v>
      </c>
      <c r="R776">
        <v>3107</v>
      </c>
      <c r="S776">
        <v>0.26666666666666666</v>
      </c>
    </row>
    <row r="777" spans="1:19" ht="26.1" customHeight="1" x14ac:dyDescent="0.2">
      <c r="A777" s="4">
        <v>2569</v>
      </c>
      <c r="B777" s="2" t="s">
        <v>163</v>
      </c>
      <c r="C777" s="2" t="s">
        <v>164</v>
      </c>
      <c r="D777" s="2">
        <v>-627880</v>
      </c>
      <c r="F777" s="3">
        <v>40498</v>
      </c>
      <c r="G777" s="4">
        <v>153002000</v>
      </c>
      <c r="H777">
        <f t="shared" si="36"/>
        <v>939.5</v>
      </c>
      <c r="I777">
        <f t="shared" si="37"/>
        <v>0.42857142857142855</v>
      </c>
      <c r="J777">
        <f t="shared" si="38"/>
        <v>402.64285714285711</v>
      </c>
      <c r="O777">
        <v>2654</v>
      </c>
      <c r="P777">
        <v>939.5</v>
      </c>
      <c r="R777">
        <v>3127</v>
      </c>
      <c r="S777">
        <v>1.1666666666666667</v>
      </c>
    </row>
    <row r="778" spans="1:19" ht="15" customHeight="1" x14ac:dyDescent="0.2">
      <c r="A778" s="4">
        <v>2572</v>
      </c>
      <c r="B778" s="2" t="s">
        <v>146</v>
      </c>
      <c r="C778" s="2" t="s">
        <v>132</v>
      </c>
      <c r="D778" s="2" t="s">
        <v>157</v>
      </c>
      <c r="E778" s="2">
        <v>2058</v>
      </c>
      <c r="F778" s="3">
        <v>40513</v>
      </c>
      <c r="G778" s="4">
        <v>2548013000</v>
      </c>
      <c r="H778">
        <f t="shared" si="36"/>
        <v>939.5</v>
      </c>
      <c r="I778">
        <f t="shared" si="37"/>
        <v>0.42857142857142855</v>
      </c>
      <c r="J778">
        <f t="shared" si="38"/>
        <v>402.64285714285711</v>
      </c>
      <c r="O778">
        <v>2655</v>
      </c>
      <c r="P778">
        <v>1500</v>
      </c>
      <c r="R778">
        <v>3152</v>
      </c>
      <c r="S778">
        <v>9.5238095238095233E-2</v>
      </c>
    </row>
    <row r="779" spans="1:19" ht="15" customHeight="1" x14ac:dyDescent="0.2">
      <c r="A779" s="4">
        <v>2580</v>
      </c>
      <c r="B779" s="2" t="s">
        <v>146</v>
      </c>
      <c r="C779" s="2" t="s">
        <v>141</v>
      </c>
      <c r="D779" s="2" t="s">
        <v>157</v>
      </c>
      <c r="E779" s="2">
        <v>2205</v>
      </c>
      <c r="F779" s="3">
        <v>40569</v>
      </c>
      <c r="G779" s="4">
        <v>1321001000</v>
      </c>
      <c r="H779">
        <f t="shared" si="36"/>
        <v>939.5</v>
      </c>
      <c r="I779">
        <f t="shared" si="37"/>
        <v>0.42857142857142855</v>
      </c>
      <c r="J779">
        <f t="shared" si="38"/>
        <v>402.64285714285711</v>
      </c>
      <c r="O779">
        <v>2658</v>
      </c>
      <c r="P779">
        <v>1000</v>
      </c>
      <c r="R779">
        <v>3158</v>
      </c>
      <c r="S779">
        <v>4</v>
      </c>
    </row>
    <row r="780" spans="1:19" ht="15" customHeight="1" x14ac:dyDescent="0.2">
      <c r="A780" s="4">
        <v>2582</v>
      </c>
      <c r="B780" s="2" t="s">
        <v>146</v>
      </c>
      <c r="C780" s="2" t="s">
        <v>141</v>
      </c>
      <c r="D780" s="2" t="s">
        <v>157</v>
      </c>
      <c r="E780" s="2">
        <v>2207</v>
      </c>
      <c r="F780" s="3">
        <v>40575</v>
      </c>
      <c r="G780" s="4">
        <v>1014001</v>
      </c>
      <c r="H780">
        <f t="shared" si="36"/>
        <v>939.5</v>
      </c>
      <c r="I780">
        <f t="shared" si="37"/>
        <v>0.42857142857142855</v>
      </c>
      <c r="J780">
        <f t="shared" si="38"/>
        <v>402.64285714285711</v>
      </c>
      <c r="O780">
        <v>2659</v>
      </c>
      <c r="P780">
        <v>1000</v>
      </c>
      <c r="R780">
        <v>3159</v>
      </c>
      <c r="S780">
        <v>7.1428571428571425E-2</v>
      </c>
    </row>
    <row r="781" spans="1:19" ht="15" customHeight="1" x14ac:dyDescent="0.2">
      <c r="A781" s="4">
        <v>2583</v>
      </c>
      <c r="B781" s="2" t="s">
        <v>146</v>
      </c>
      <c r="C781" s="2" t="s">
        <v>141</v>
      </c>
      <c r="D781" s="2" t="s">
        <v>157</v>
      </c>
      <c r="E781" s="2">
        <v>2206</v>
      </c>
      <c r="F781" s="3">
        <v>40575</v>
      </c>
      <c r="G781" s="4">
        <v>1014001</v>
      </c>
      <c r="H781">
        <f t="shared" si="36"/>
        <v>939.5</v>
      </c>
      <c r="I781">
        <f t="shared" si="37"/>
        <v>0.42857142857142855</v>
      </c>
      <c r="J781">
        <f t="shared" si="38"/>
        <v>402.64285714285711</v>
      </c>
      <c r="O781">
        <v>2662</v>
      </c>
      <c r="P781">
        <v>1000</v>
      </c>
      <c r="R781">
        <v>3160</v>
      </c>
      <c r="S781">
        <v>0.21428571428571427</v>
      </c>
    </row>
    <row r="782" spans="1:19" ht="15" customHeight="1" x14ac:dyDescent="0.2">
      <c r="A782" s="4">
        <v>2591</v>
      </c>
      <c r="B782" s="2" t="s">
        <v>131</v>
      </c>
      <c r="C782" s="2" t="s">
        <v>132</v>
      </c>
      <c r="D782" s="2" t="s">
        <v>133</v>
      </c>
      <c r="E782" s="2">
        <v>2066</v>
      </c>
      <c r="F782" s="3">
        <v>40631</v>
      </c>
      <c r="G782" s="4">
        <v>2548092000</v>
      </c>
      <c r="H782">
        <f t="shared" si="36"/>
        <v>2037.55</v>
      </c>
      <c r="I782">
        <f t="shared" si="37"/>
        <v>2</v>
      </c>
      <c r="J782">
        <f t="shared" si="38"/>
        <v>4075.1</v>
      </c>
      <c r="O782">
        <v>2663</v>
      </c>
      <c r="P782">
        <v>2000</v>
      </c>
      <c r="R782">
        <v>3161</v>
      </c>
      <c r="S782">
        <v>0.21428571428571427</v>
      </c>
    </row>
    <row r="783" spans="1:19" ht="15" customHeight="1" x14ac:dyDescent="0.2">
      <c r="A783" s="4">
        <v>2592</v>
      </c>
      <c r="B783" s="2" t="s">
        <v>131</v>
      </c>
      <c r="C783" s="2" t="s">
        <v>132</v>
      </c>
      <c r="D783" s="2" t="s">
        <v>133</v>
      </c>
      <c r="E783" s="2">
        <v>2067</v>
      </c>
      <c r="F783" s="3">
        <v>40631</v>
      </c>
      <c r="G783" s="4">
        <v>2514001000</v>
      </c>
      <c r="H783">
        <f t="shared" si="36"/>
        <v>2037.55</v>
      </c>
      <c r="I783">
        <f t="shared" si="37"/>
        <v>0.2857142857142857</v>
      </c>
      <c r="J783">
        <f t="shared" si="38"/>
        <v>582.15714285714284</v>
      </c>
      <c r="O783">
        <v>2667</v>
      </c>
      <c r="P783">
        <v>36</v>
      </c>
      <c r="R783">
        <v>3164</v>
      </c>
      <c r="S783">
        <v>6.6666666666666666E-2</v>
      </c>
    </row>
    <row r="784" spans="1:19" ht="15" customHeight="1" x14ac:dyDescent="0.2">
      <c r="A784" s="4">
        <v>2593</v>
      </c>
      <c r="B784" s="2" t="s">
        <v>7</v>
      </c>
      <c r="C784" s="2" t="s">
        <v>8</v>
      </c>
      <c r="D784" s="2" t="s">
        <v>9</v>
      </c>
      <c r="E784" s="2">
        <v>31688</v>
      </c>
      <c r="F784" s="3">
        <v>40631</v>
      </c>
      <c r="G784" s="4">
        <v>165001000</v>
      </c>
      <c r="H784">
        <f t="shared" si="36"/>
        <v>309.5</v>
      </c>
      <c r="I784">
        <f t="shared" si="37"/>
        <v>0.2857142857142857</v>
      </c>
      <c r="J784">
        <f t="shared" si="38"/>
        <v>88.428571428571431</v>
      </c>
      <c r="O784">
        <v>2669</v>
      </c>
      <c r="P784">
        <v>1100</v>
      </c>
      <c r="R784">
        <v>3171</v>
      </c>
      <c r="S784">
        <v>2.2333333333333334E-2</v>
      </c>
    </row>
    <row r="785" spans="1:19" ht="26.1" customHeight="1" x14ac:dyDescent="0.2">
      <c r="A785" s="4">
        <v>2596</v>
      </c>
      <c r="B785" s="2" t="s">
        <v>11</v>
      </c>
      <c r="C785" s="2" t="s">
        <v>8</v>
      </c>
      <c r="D785" s="2" t="s">
        <v>9</v>
      </c>
      <c r="E785" s="2">
        <v>31551</v>
      </c>
      <c r="F785" s="3">
        <v>40631</v>
      </c>
      <c r="G785" s="4">
        <v>1685002000</v>
      </c>
      <c r="H785">
        <f t="shared" si="36"/>
        <v>309.5</v>
      </c>
      <c r="I785">
        <f t="shared" si="37"/>
        <v>1</v>
      </c>
      <c r="J785">
        <f t="shared" si="38"/>
        <v>309.5</v>
      </c>
      <c r="O785">
        <v>2675</v>
      </c>
      <c r="P785">
        <v>36</v>
      </c>
      <c r="R785">
        <v>3172</v>
      </c>
      <c r="S785">
        <v>1.7142857142857142</v>
      </c>
    </row>
    <row r="786" spans="1:19" ht="15" customHeight="1" x14ac:dyDescent="0.2">
      <c r="A786" s="4">
        <v>2597</v>
      </c>
      <c r="B786" s="2" t="s">
        <v>7</v>
      </c>
      <c r="C786" s="2" t="s">
        <v>8</v>
      </c>
      <c r="D786" s="2" t="s">
        <v>9</v>
      </c>
      <c r="E786" s="2">
        <v>31632</v>
      </c>
      <c r="F786" s="3">
        <v>40631</v>
      </c>
      <c r="G786" s="4">
        <v>3265001000</v>
      </c>
      <c r="H786">
        <f t="shared" si="36"/>
        <v>309.5</v>
      </c>
      <c r="I786">
        <f t="shared" si="37"/>
        <v>1</v>
      </c>
      <c r="J786">
        <f t="shared" si="38"/>
        <v>309.5</v>
      </c>
      <c r="O786">
        <v>2678</v>
      </c>
      <c r="P786">
        <v>1289</v>
      </c>
      <c r="R786">
        <v>3174</v>
      </c>
      <c r="S786">
        <v>0.5714285714285714</v>
      </c>
    </row>
    <row r="787" spans="1:19" ht="15" customHeight="1" x14ac:dyDescent="0.2">
      <c r="A787" s="4">
        <v>2598</v>
      </c>
      <c r="B787" s="2" t="s">
        <v>13</v>
      </c>
      <c r="C787" s="2" t="s">
        <v>8</v>
      </c>
      <c r="D787" s="2" t="s">
        <v>165</v>
      </c>
      <c r="E787" s="2">
        <v>5514</v>
      </c>
      <c r="F787" s="3">
        <v>40631</v>
      </c>
      <c r="G787" s="4">
        <v>165008000</v>
      </c>
      <c r="H787">
        <f t="shared" si="36"/>
        <v>882.5</v>
      </c>
      <c r="I787">
        <f t="shared" si="37"/>
        <v>0.66666666666666663</v>
      </c>
      <c r="J787">
        <f t="shared" si="38"/>
        <v>588.33333333333326</v>
      </c>
      <c r="O787">
        <v>2679</v>
      </c>
      <c r="P787">
        <v>1000</v>
      </c>
      <c r="R787">
        <v>3175</v>
      </c>
      <c r="S787">
        <v>0.66666666666666663</v>
      </c>
    </row>
    <row r="788" spans="1:19" ht="15" customHeight="1" x14ac:dyDescent="0.2">
      <c r="A788" s="4">
        <v>2600</v>
      </c>
      <c r="B788" s="2" t="s">
        <v>13</v>
      </c>
      <c r="C788" s="2" t="s">
        <v>8</v>
      </c>
      <c r="D788" s="2" t="s">
        <v>165</v>
      </c>
      <c r="E788" s="2">
        <v>5516</v>
      </c>
      <c r="F788" s="3">
        <v>40631</v>
      </c>
      <c r="G788" s="4">
        <v>3319001000</v>
      </c>
      <c r="H788">
        <f t="shared" si="36"/>
        <v>882.5</v>
      </c>
      <c r="I788">
        <f t="shared" si="37"/>
        <v>1.3333333333333333</v>
      </c>
      <c r="J788">
        <f t="shared" si="38"/>
        <v>1176.6666666666665</v>
      </c>
      <c r="O788">
        <v>2684</v>
      </c>
      <c r="P788">
        <v>1000</v>
      </c>
      <c r="R788">
        <v>3195</v>
      </c>
      <c r="S788">
        <v>2.8571428571428572</v>
      </c>
    </row>
    <row r="789" spans="1:19" ht="15" customHeight="1" x14ac:dyDescent="0.2">
      <c r="A789" s="4">
        <v>2602</v>
      </c>
      <c r="B789" s="2" t="s">
        <v>13</v>
      </c>
      <c r="C789" s="2" t="s">
        <v>8</v>
      </c>
      <c r="D789" s="2" t="s">
        <v>165</v>
      </c>
      <c r="E789" s="2">
        <v>5518</v>
      </c>
      <c r="F789" s="3">
        <v>40631</v>
      </c>
      <c r="G789" s="4">
        <v>2994001000</v>
      </c>
      <c r="H789">
        <f t="shared" si="36"/>
        <v>882.5</v>
      </c>
      <c r="I789">
        <f t="shared" si="37"/>
        <v>2</v>
      </c>
      <c r="J789">
        <f t="shared" si="38"/>
        <v>1765</v>
      </c>
      <c r="O789">
        <v>2697</v>
      </c>
      <c r="P789">
        <v>3400</v>
      </c>
      <c r="R789">
        <v>3207</v>
      </c>
      <c r="S789">
        <v>4</v>
      </c>
    </row>
    <row r="790" spans="1:19" ht="15" customHeight="1" x14ac:dyDescent="0.2">
      <c r="A790" s="4">
        <v>2603</v>
      </c>
      <c r="B790" s="2" t="s">
        <v>13</v>
      </c>
      <c r="C790" s="2" t="s">
        <v>8</v>
      </c>
      <c r="D790" s="2" t="s">
        <v>165</v>
      </c>
      <c r="E790" s="2">
        <v>5520</v>
      </c>
      <c r="F790" s="3">
        <v>40631</v>
      </c>
      <c r="G790" s="4">
        <v>1068015000</v>
      </c>
      <c r="H790">
        <f t="shared" si="36"/>
        <v>882.5</v>
      </c>
      <c r="I790">
        <f t="shared" si="37"/>
        <v>9.5714285714285724E-2</v>
      </c>
      <c r="J790">
        <f t="shared" si="38"/>
        <v>84.467857142857156</v>
      </c>
      <c r="O790">
        <v>2710</v>
      </c>
      <c r="P790">
        <v>0</v>
      </c>
      <c r="R790">
        <v>3211</v>
      </c>
      <c r="S790">
        <v>0.8571428571428571</v>
      </c>
    </row>
    <row r="791" spans="1:19" ht="15" customHeight="1" x14ac:dyDescent="0.2">
      <c r="A791" s="4">
        <v>2604</v>
      </c>
      <c r="B791" s="2" t="s">
        <v>13</v>
      </c>
      <c r="C791" s="2" t="s">
        <v>8</v>
      </c>
      <c r="D791" s="2" t="s">
        <v>165</v>
      </c>
      <c r="E791" s="2">
        <v>5522</v>
      </c>
      <c r="F791" s="3">
        <v>40631</v>
      </c>
      <c r="G791" s="4">
        <v>1967012000</v>
      </c>
      <c r="H791">
        <f t="shared" si="36"/>
        <v>882.5</v>
      </c>
      <c r="I791">
        <f t="shared" si="37"/>
        <v>0.23809523809523811</v>
      </c>
      <c r="J791">
        <f t="shared" si="38"/>
        <v>210.11904761904762</v>
      </c>
      <c r="O791">
        <v>2712</v>
      </c>
      <c r="P791">
        <v>2000</v>
      </c>
      <c r="R791">
        <v>3213</v>
      </c>
      <c r="S791">
        <v>0.8571428571428571</v>
      </c>
    </row>
    <row r="792" spans="1:19" ht="15" customHeight="1" x14ac:dyDescent="0.2">
      <c r="A792" s="4">
        <v>2606</v>
      </c>
      <c r="B792" s="2" t="s">
        <v>13</v>
      </c>
      <c r="C792" s="2" t="s">
        <v>8</v>
      </c>
      <c r="D792" s="2" t="s">
        <v>165</v>
      </c>
      <c r="E792" s="2">
        <v>5525</v>
      </c>
      <c r="F792" s="3">
        <v>40631</v>
      </c>
      <c r="G792" s="4">
        <v>2126003000</v>
      </c>
      <c r="H792">
        <f t="shared" si="36"/>
        <v>882.5</v>
      </c>
      <c r="I792">
        <f t="shared" si="37"/>
        <v>2</v>
      </c>
      <c r="J792">
        <f t="shared" si="38"/>
        <v>1765</v>
      </c>
      <c r="O792">
        <v>2714</v>
      </c>
      <c r="P792">
        <v>3400</v>
      </c>
      <c r="R792">
        <v>3218</v>
      </c>
      <c r="S792">
        <v>0.5</v>
      </c>
    </row>
    <row r="793" spans="1:19" ht="15" customHeight="1" x14ac:dyDescent="0.2">
      <c r="A793" s="4">
        <v>2608</v>
      </c>
      <c r="B793" s="2" t="s">
        <v>7</v>
      </c>
      <c r="C793" s="2" t="s">
        <v>166</v>
      </c>
      <c r="D793" s="2" t="s">
        <v>10</v>
      </c>
      <c r="F793" s="3">
        <v>40631</v>
      </c>
      <c r="G793" s="4">
        <v>2548013000</v>
      </c>
      <c r="H793">
        <f t="shared" si="36"/>
        <v>0</v>
      </c>
      <c r="I793">
        <f t="shared" si="37"/>
        <v>0.8571428571428571</v>
      </c>
      <c r="J793">
        <f t="shared" si="38"/>
        <v>0</v>
      </c>
      <c r="O793">
        <v>2716</v>
      </c>
      <c r="P793">
        <v>1000</v>
      </c>
      <c r="R793">
        <v>3228</v>
      </c>
      <c r="S793">
        <v>0.14285714285714285</v>
      </c>
    </row>
    <row r="794" spans="1:19" ht="15" customHeight="1" x14ac:dyDescent="0.2">
      <c r="A794" s="4">
        <v>2610</v>
      </c>
      <c r="B794" s="2" t="s">
        <v>7</v>
      </c>
      <c r="C794" s="2" t="s">
        <v>166</v>
      </c>
      <c r="D794" s="2" t="s">
        <v>10</v>
      </c>
      <c r="F794" s="3">
        <v>40631</v>
      </c>
      <c r="G794" s="4">
        <v>1014001</v>
      </c>
      <c r="H794">
        <f t="shared" si="36"/>
        <v>0</v>
      </c>
      <c r="I794">
        <f t="shared" si="37"/>
        <v>0.8571428571428571</v>
      </c>
      <c r="J794">
        <f t="shared" si="38"/>
        <v>0</v>
      </c>
      <c r="O794">
        <v>2717</v>
      </c>
      <c r="P794">
        <v>1000</v>
      </c>
      <c r="R794">
        <v>3234</v>
      </c>
      <c r="S794">
        <v>0.5</v>
      </c>
    </row>
    <row r="795" spans="1:19" ht="15" customHeight="1" x14ac:dyDescent="0.2">
      <c r="A795" s="4">
        <v>2611</v>
      </c>
      <c r="B795" s="2" t="s">
        <v>7</v>
      </c>
      <c r="C795" s="2" t="s">
        <v>166</v>
      </c>
      <c r="D795" s="2" t="s">
        <v>10</v>
      </c>
      <c r="F795" s="3">
        <v>40631</v>
      </c>
      <c r="G795" s="4">
        <v>1023000</v>
      </c>
      <c r="H795">
        <f t="shared" si="36"/>
        <v>0</v>
      </c>
      <c r="I795">
        <f t="shared" si="37"/>
        <v>0.2857142857142857</v>
      </c>
      <c r="J795">
        <f t="shared" si="38"/>
        <v>0</v>
      </c>
      <c r="O795">
        <v>2723</v>
      </c>
      <c r="P795">
        <v>1000</v>
      </c>
      <c r="R795">
        <v>3256</v>
      </c>
      <c r="S795">
        <v>0.1</v>
      </c>
    </row>
    <row r="796" spans="1:19" ht="15" customHeight="1" x14ac:dyDescent="0.2">
      <c r="A796" s="4">
        <v>2612</v>
      </c>
      <c r="B796" s="2" t="s">
        <v>7</v>
      </c>
      <c r="C796" s="2" t="s">
        <v>166</v>
      </c>
      <c r="D796" s="2" t="s">
        <v>10</v>
      </c>
      <c r="F796" s="3">
        <v>40631</v>
      </c>
      <c r="G796" s="4">
        <v>1023006</v>
      </c>
      <c r="H796">
        <f t="shared" si="36"/>
        <v>0</v>
      </c>
      <c r="I796">
        <f t="shared" si="37"/>
        <v>0.2857142857142857</v>
      </c>
      <c r="J796">
        <f t="shared" si="38"/>
        <v>0</v>
      </c>
      <c r="O796">
        <v>2724</v>
      </c>
      <c r="P796">
        <v>1000</v>
      </c>
      <c r="R796">
        <v>3258</v>
      </c>
      <c r="S796">
        <v>0.66666666666666663</v>
      </c>
    </row>
    <row r="797" spans="1:19" ht="26.1" customHeight="1" x14ac:dyDescent="0.2">
      <c r="A797" s="4">
        <v>2613</v>
      </c>
      <c r="B797" s="2" t="s">
        <v>95</v>
      </c>
      <c r="C797" s="2" t="s">
        <v>167</v>
      </c>
      <c r="D797" s="2" t="s">
        <v>168</v>
      </c>
      <c r="E797" s="2">
        <v>2393</v>
      </c>
      <c r="F797" s="3">
        <v>40631</v>
      </c>
      <c r="G797" s="4">
        <v>3265001000</v>
      </c>
      <c r="H797">
        <f t="shared" si="36"/>
        <v>0</v>
      </c>
      <c r="I797">
        <f t="shared" si="37"/>
        <v>0.2857142857142857</v>
      </c>
      <c r="J797">
        <f t="shared" si="38"/>
        <v>0</v>
      </c>
      <c r="O797">
        <v>2725</v>
      </c>
      <c r="P797">
        <v>1000</v>
      </c>
      <c r="R797">
        <v>3259</v>
      </c>
      <c r="S797">
        <v>0.5</v>
      </c>
    </row>
    <row r="798" spans="1:19" ht="26.1" customHeight="1" x14ac:dyDescent="0.2">
      <c r="A798" s="4">
        <v>2614</v>
      </c>
      <c r="B798" s="2" t="s">
        <v>95</v>
      </c>
      <c r="C798" s="2" t="s">
        <v>167</v>
      </c>
      <c r="D798" s="2" t="s">
        <v>168</v>
      </c>
      <c r="E798" s="2">
        <v>2356</v>
      </c>
      <c r="F798" s="3">
        <v>40631</v>
      </c>
      <c r="G798" s="4">
        <v>1014002</v>
      </c>
      <c r="H798">
        <f t="shared" si="36"/>
        <v>0</v>
      </c>
      <c r="I798">
        <f t="shared" si="37"/>
        <v>0.2857142857142857</v>
      </c>
      <c r="J798">
        <f t="shared" si="38"/>
        <v>0</v>
      </c>
      <c r="O798">
        <v>2726</v>
      </c>
      <c r="P798">
        <v>309.5</v>
      </c>
      <c r="R798">
        <v>3262</v>
      </c>
      <c r="S798">
        <v>3</v>
      </c>
    </row>
    <row r="799" spans="1:19" ht="15" customHeight="1" x14ac:dyDescent="0.2">
      <c r="A799" s="4">
        <v>2620</v>
      </c>
      <c r="B799" s="2" t="s">
        <v>13</v>
      </c>
      <c r="C799" s="2" t="s">
        <v>169</v>
      </c>
      <c r="D799" s="2" t="s">
        <v>170</v>
      </c>
      <c r="E799" s="2">
        <v>3827</v>
      </c>
      <c r="F799" s="3">
        <v>40675</v>
      </c>
      <c r="G799" s="4">
        <v>3212001000</v>
      </c>
      <c r="H799">
        <f t="shared" si="36"/>
        <v>1000</v>
      </c>
      <c r="I799">
        <f t="shared" si="37"/>
        <v>9.5238095238095233E-2</v>
      </c>
      <c r="J799">
        <f t="shared" si="38"/>
        <v>95.238095238095227</v>
      </c>
      <c r="O799">
        <v>2730</v>
      </c>
      <c r="P799">
        <v>0</v>
      </c>
      <c r="R799">
        <v>3263</v>
      </c>
      <c r="S799">
        <v>2</v>
      </c>
    </row>
    <row r="800" spans="1:19" ht="15" customHeight="1" x14ac:dyDescent="0.2">
      <c r="A800" s="4">
        <v>2621</v>
      </c>
      <c r="B800" s="2" t="s">
        <v>13</v>
      </c>
      <c r="C800" s="2" t="s">
        <v>169</v>
      </c>
      <c r="D800" s="2" t="s">
        <v>170</v>
      </c>
      <c r="E800" s="2">
        <v>3833</v>
      </c>
      <c r="F800" s="3">
        <v>40675</v>
      </c>
      <c r="G800" s="4">
        <v>1068016000</v>
      </c>
      <c r="H800">
        <f t="shared" si="36"/>
        <v>1000</v>
      </c>
      <c r="I800">
        <f t="shared" si="37"/>
        <v>0.14285714285714285</v>
      </c>
      <c r="J800">
        <f t="shared" si="38"/>
        <v>142.85714285714286</v>
      </c>
      <c r="O800">
        <v>2731</v>
      </c>
      <c r="P800">
        <v>0</v>
      </c>
      <c r="R800">
        <v>3264</v>
      </c>
      <c r="S800">
        <v>1.4285714285714286</v>
      </c>
    </row>
    <row r="801" spans="1:19" ht="15" customHeight="1" x14ac:dyDescent="0.2">
      <c r="A801" s="4">
        <v>2622</v>
      </c>
      <c r="B801" s="2" t="s">
        <v>13</v>
      </c>
      <c r="C801" s="2" t="s">
        <v>169</v>
      </c>
      <c r="D801" s="2" t="s">
        <v>170</v>
      </c>
      <c r="E801" s="2">
        <v>3834</v>
      </c>
      <c r="F801" s="3">
        <v>40675</v>
      </c>
      <c r="G801" s="4">
        <v>2886003000</v>
      </c>
      <c r="H801">
        <f t="shared" si="36"/>
        <v>1000</v>
      </c>
      <c r="I801">
        <f t="shared" si="37"/>
        <v>0.2857142857142857</v>
      </c>
      <c r="J801">
        <f t="shared" si="38"/>
        <v>285.71428571428572</v>
      </c>
      <c r="O801">
        <v>2732</v>
      </c>
      <c r="P801">
        <v>0</v>
      </c>
      <c r="R801">
        <v>3268</v>
      </c>
      <c r="S801">
        <v>2.8571428571428572</v>
      </c>
    </row>
    <row r="802" spans="1:19" ht="15" customHeight="1" x14ac:dyDescent="0.2">
      <c r="A802" s="4">
        <v>2623</v>
      </c>
      <c r="B802" s="2" t="s">
        <v>13</v>
      </c>
      <c r="C802" s="2" t="s">
        <v>169</v>
      </c>
      <c r="D802" s="2" t="s">
        <v>170</v>
      </c>
      <c r="E802" s="2">
        <v>3855</v>
      </c>
      <c r="F802" s="3">
        <v>40675</v>
      </c>
      <c r="G802" s="4">
        <v>2514001000</v>
      </c>
      <c r="H802">
        <f t="shared" si="36"/>
        <v>1000</v>
      </c>
      <c r="I802">
        <f t="shared" si="37"/>
        <v>0.2857142857142857</v>
      </c>
      <c r="J802">
        <f t="shared" si="38"/>
        <v>285.71428571428572</v>
      </c>
      <c r="O802">
        <v>2733</v>
      </c>
      <c r="P802">
        <v>0</v>
      </c>
      <c r="R802">
        <v>3269</v>
      </c>
      <c r="S802">
        <v>2.8571428571428572</v>
      </c>
    </row>
    <row r="803" spans="1:19" ht="15" customHeight="1" x14ac:dyDescent="0.2">
      <c r="A803" s="4">
        <v>2624</v>
      </c>
      <c r="B803" s="2" t="s">
        <v>13</v>
      </c>
      <c r="C803" s="2" t="s">
        <v>169</v>
      </c>
      <c r="D803" s="2" t="s">
        <v>170</v>
      </c>
      <c r="E803" s="2">
        <v>3858</v>
      </c>
      <c r="F803" s="3">
        <v>40675</v>
      </c>
      <c r="G803" s="4">
        <v>2044029000</v>
      </c>
      <c r="H803">
        <f t="shared" si="36"/>
        <v>1000</v>
      </c>
      <c r="I803">
        <f t="shared" si="37"/>
        <v>0.2857142857142857</v>
      </c>
      <c r="J803">
        <f t="shared" si="38"/>
        <v>285.71428571428572</v>
      </c>
      <c r="O803">
        <v>2734</v>
      </c>
      <c r="P803">
        <v>0</v>
      </c>
      <c r="R803">
        <v>3270</v>
      </c>
      <c r="S803">
        <v>1</v>
      </c>
    </row>
    <row r="804" spans="1:19" ht="15" customHeight="1" x14ac:dyDescent="0.2">
      <c r="A804" s="4">
        <v>2625</v>
      </c>
      <c r="B804" s="2" t="s">
        <v>13</v>
      </c>
      <c r="C804" s="2" t="s">
        <v>169</v>
      </c>
      <c r="D804" s="2" t="s">
        <v>170</v>
      </c>
      <c r="E804" s="2">
        <v>3899</v>
      </c>
      <c r="F804" s="3">
        <v>40675</v>
      </c>
      <c r="G804" s="4">
        <v>66011000</v>
      </c>
      <c r="H804">
        <f t="shared" si="36"/>
        <v>1000</v>
      </c>
      <c r="I804">
        <f t="shared" si="37"/>
        <v>0.14285714285714285</v>
      </c>
      <c r="J804">
        <f t="shared" si="38"/>
        <v>142.85714285714286</v>
      </c>
      <c r="O804">
        <v>2735</v>
      </c>
      <c r="P804">
        <v>0</v>
      </c>
      <c r="R804">
        <v>3271</v>
      </c>
      <c r="S804">
        <v>1</v>
      </c>
    </row>
    <row r="805" spans="1:19" ht="15" customHeight="1" x14ac:dyDescent="0.2">
      <c r="A805" s="4">
        <v>2626</v>
      </c>
      <c r="B805" s="2" t="s">
        <v>13</v>
      </c>
      <c r="C805" s="2" t="s">
        <v>169</v>
      </c>
      <c r="D805" s="2" t="s">
        <v>170</v>
      </c>
      <c r="E805" s="2">
        <v>3824</v>
      </c>
      <c r="F805" s="3">
        <v>40675</v>
      </c>
      <c r="G805" s="4">
        <v>2995001000</v>
      </c>
      <c r="H805">
        <f t="shared" si="36"/>
        <v>1000</v>
      </c>
      <c r="I805">
        <f t="shared" si="37"/>
        <v>9.5238095238095233E-2</v>
      </c>
      <c r="J805">
        <f t="shared" si="38"/>
        <v>95.238095238095227</v>
      </c>
      <c r="O805">
        <v>2741</v>
      </c>
      <c r="P805">
        <v>0</v>
      </c>
      <c r="R805">
        <v>3276</v>
      </c>
      <c r="S805">
        <v>2</v>
      </c>
    </row>
    <row r="806" spans="1:19" ht="15" customHeight="1" x14ac:dyDescent="0.2">
      <c r="A806" s="4">
        <v>2627</v>
      </c>
      <c r="B806" s="2" t="s">
        <v>13</v>
      </c>
      <c r="C806" s="2" t="s">
        <v>169</v>
      </c>
      <c r="D806" s="2" t="s">
        <v>170</v>
      </c>
      <c r="E806" s="2">
        <v>3893</v>
      </c>
      <c r="F806" s="3">
        <v>40675</v>
      </c>
      <c r="G806" s="4">
        <v>165001000</v>
      </c>
      <c r="H806">
        <f t="shared" si="36"/>
        <v>1000</v>
      </c>
      <c r="I806">
        <f t="shared" si="37"/>
        <v>3.7142857142857144</v>
      </c>
      <c r="J806">
        <f t="shared" si="38"/>
        <v>3714.2857142857142</v>
      </c>
      <c r="O806">
        <v>2752</v>
      </c>
      <c r="P806">
        <v>745.7</v>
      </c>
      <c r="R806">
        <v>3278</v>
      </c>
      <c r="S806">
        <v>4</v>
      </c>
    </row>
    <row r="807" spans="1:19" ht="15" customHeight="1" x14ac:dyDescent="0.2">
      <c r="A807" s="4">
        <v>2628</v>
      </c>
      <c r="B807" s="2" t="s">
        <v>13</v>
      </c>
      <c r="C807" s="2" t="s">
        <v>169</v>
      </c>
      <c r="D807" s="2" t="s">
        <v>170</v>
      </c>
      <c r="E807" s="2">
        <v>3889</v>
      </c>
      <c r="F807" s="3">
        <v>40675</v>
      </c>
      <c r="G807" s="4">
        <v>1023000</v>
      </c>
      <c r="H807">
        <f t="shared" si="36"/>
        <v>1000</v>
      </c>
      <c r="I807">
        <f t="shared" si="37"/>
        <v>9.5714285714285724E-2</v>
      </c>
      <c r="J807">
        <f t="shared" si="38"/>
        <v>95.714285714285722</v>
      </c>
      <c r="O807">
        <v>2754</v>
      </c>
      <c r="P807">
        <v>0</v>
      </c>
      <c r="R807">
        <v>3279</v>
      </c>
      <c r="S807">
        <v>0.66666666666666663</v>
      </c>
    </row>
    <row r="808" spans="1:19" ht="15" customHeight="1" x14ac:dyDescent="0.2">
      <c r="A808" s="4">
        <v>2630</v>
      </c>
      <c r="B808" s="2" t="s">
        <v>13</v>
      </c>
      <c r="C808" s="2" t="s">
        <v>169</v>
      </c>
      <c r="D808" s="2" t="s">
        <v>170</v>
      </c>
      <c r="E808" s="2">
        <v>3965</v>
      </c>
      <c r="F808" s="3">
        <v>40675</v>
      </c>
      <c r="G808" s="4">
        <v>165001000</v>
      </c>
      <c r="H808">
        <f t="shared" si="36"/>
        <v>1000</v>
      </c>
      <c r="I808">
        <f t="shared" si="37"/>
        <v>3.7142857142857144</v>
      </c>
      <c r="J808">
        <f t="shared" si="38"/>
        <v>3714.2857142857142</v>
      </c>
      <c r="O808">
        <v>2755</v>
      </c>
      <c r="P808">
        <v>3600</v>
      </c>
      <c r="R808">
        <v>3280</v>
      </c>
      <c r="S808">
        <v>0.66666666666666663</v>
      </c>
    </row>
    <row r="809" spans="1:19" ht="15" customHeight="1" x14ac:dyDescent="0.2">
      <c r="A809" s="4">
        <v>2632</v>
      </c>
      <c r="B809" s="2" t="s">
        <v>13</v>
      </c>
      <c r="C809" s="2" t="s">
        <v>169</v>
      </c>
      <c r="D809" s="2" t="s">
        <v>170</v>
      </c>
      <c r="E809" s="2">
        <v>3841</v>
      </c>
      <c r="F809" s="3">
        <v>40675</v>
      </c>
      <c r="G809" s="4">
        <v>1014002</v>
      </c>
      <c r="H809">
        <f t="shared" si="36"/>
        <v>1000</v>
      </c>
      <c r="I809">
        <f t="shared" si="37"/>
        <v>3.7142857142857144</v>
      </c>
      <c r="J809">
        <f t="shared" si="38"/>
        <v>3714.2857142857142</v>
      </c>
      <c r="O809">
        <v>2758</v>
      </c>
      <c r="P809">
        <v>1000</v>
      </c>
      <c r="R809">
        <v>3285</v>
      </c>
      <c r="S809">
        <v>2.8571428571428572</v>
      </c>
    </row>
    <row r="810" spans="1:19" ht="15" customHeight="1" x14ac:dyDescent="0.2">
      <c r="A810" s="4">
        <v>2633</v>
      </c>
      <c r="B810" s="2" t="s">
        <v>13</v>
      </c>
      <c r="C810" s="2" t="s">
        <v>169</v>
      </c>
      <c r="D810" s="2" t="s">
        <v>170</v>
      </c>
      <c r="E810" s="2">
        <v>3969</v>
      </c>
      <c r="F810" s="3">
        <v>40675</v>
      </c>
      <c r="G810" s="4">
        <v>1165000000</v>
      </c>
      <c r="H810">
        <f t="shared" si="36"/>
        <v>1000</v>
      </c>
      <c r="I810">
        <f t="shared" si="37"/>
        <v>0.42857142857142855</v>
      </c>
      <c r="J810">
        <f t="shared" si="38"/>
        <v>428.57142857142856</v>
      </c>
      <c r="O810">
        <v>2759</v>
      </c>
      <c r="P810">
        <v>1000</v>
      </c>
      <c r="R810">
        <v>3286</v>
      </c>
      <c r="S810">
        <v>0.5714285714285714</v>
      </c>
    </row>
    <row r="811" spans="1:19" ht="15" customHeight="1" x14ac:dyDescent="0.2">
      <c r="A811" s="4">
        <v>2634</v>
      </c>
      <c r="B811" s="2" t="s">
        <v>13</v>
      </c>
      <c r="C811" s="2" t="s">
        <v>169</v>
      </c>
      <c r="D811" s="2" t="s">
        <v>170</v>
      </c>
      <c r="E811" s="2">
        <v>3740</v>
      </c>
      <c r="F811" s="3">
        <v>40675</v>
      </c>
      <c r="G811" s="4">
        <v>2798001000</v>
      </c>
      <c r="H811">
        <f t="shared" si="36"/>
        <v>1000</v>
      </c>
      <c r="I811">
        <f t="shared" si="37"/>
        <v>2</v>
      </c>
      <c r="J811">
        <f t="shared" si="38"/>
        <v>2000</v>
      </c>
      <c r="O811">
        <v>2760</v>
      </c>
      <c r="P811">
        <v>1000</v>
      </c>
      <c r="R811">
        <v>3287</v>
      </c>
      <c r="S811">
        <v>0.2857142857142857</v>
      </c>
    </row>
    <row r="812" spans="1:19" ht="15" customHeight="1" x14ac:dyDescent="0.2">
      <c r="A812" s="4">
        <v>2638</v>
      </c>
      <c r="B812" s="2" t="s">
        <v>146</v>
      </c>
      <c r="C812" s="2" t="s">
        <v>132</v>
      </c>
      <c r="D812" s="2" t="s">
        <v>157</v>
      </c>
      <c r="E812" s="2">
        <v>2371</v>
      </c>
      <c r="F812" s="3">
        <v>40724</v>
      </c>
      <c r="G812" s="4">
        <v>2514001000</v>
      </c>
      <c r="H812">
        <f t="shared" si="36"/>
        <v>1000</v>
      </c>
      <c r="I812">
        <f t="shared" si="37"/>
        <v>2</v>
      </c>
      <c r="J812">
        <f t="shared" si="38"/>
        <v>2000</v>
      </c>
      <c r="O812">
        <v>2762</v>
      </c>
      <c r="P812">
        <v>0</v>
      </c>
      <c r="R812">
        <v>3288</v>
      </c>
      <c r="S812">
        <v>0.5714285714285714</v>
      </c>
    </row>
    <row r="813" spans="1:19" ht="15" customHeight="1" x14ac:dyDescent="0.2">
      <c r="A813" s="4">
        <v>2639</v>
      </c>
      <c r="B813" s="2" t="s">
        <v>100</v>
      </c>
      <c r="C813" s="2" t="s">
        <v>69</v>
      </c>
      <c r="D813" s="2" t="s">
        <v>171</v>
      </c>
      <c r="F813" s="3">
        <v>40729</v>
      </c>
      <c r="G813" s="4">
        <v>66011000</v>
      </c>
      <c r="H813">
        <f t="shared" si="36"/>
        <v>24</v>
      </c>
      <c r="I813">
        <f t="shared" si="37"/>
        <v>2</v>
      </c>
      <c r="J813">
        <f t="shared" si="38"/>
        <v>48</v>
      </c>
      <c r="O813">
        <v>2768</v>
      </c>
      <c r="P813">
        <v>1150</v>
      </c>
      <c r="R813">
        <v>3289</v>
      </c>
      <c r="S813">
        <v>0.5714285714285714</v>
      </c>
    </row>
    <row r="814" spans="1:19" ht="26.1" customHeight="1" x14ac:dyDescent="0.2">
      <c r="A814" s="4">
        <v>2644</v>
      </c>
      <c r="B814" s="2" t="s">
        <v>123</v>
      </c>
      <c r="C814" s="2" t="s">
        <v>172</v>
      </c>
      <c r="D814" s="2" t="s">
        <v>10</v>
      </c>
      <c r="F814" s="3">
        <v>40781</v>
      </c>
      <c r="G814" s="4">
        <v>1009015</v>
      </c>
      <c r="H814">
        <f t="shared" si="36"/>
        <v>3600</v>
      </c>
      <c r="I814">
        <f t="shared" si="37"/>
        <v>2</v>
      </c>
      <c r="J814">
        <f t="shared" si="38"/>
        <v>7200</v>
      </c>
      <c r="O814">
        <v>2769</v>
      </c>
      <c r="P814">
        <v>1150</v>
      </c>
      <c r="R814">
        <v>3290</v>
      </c>
      <c r="S814">
        <v>0.5714285714285714</v>
      </c>
    </row>
    <row r="815" spans="1:19" ht="26.1" customHeight="1" x14ac:dyDescent="0.2">
      <c r="A815" s="4">
        <v>2650</v>
      </c>
      <c r="B815" s="2" t="s">
        <v>142</v>
      </c>
      <c r="C815" s="2" t="s">
        <v>173</v>
      </c>
      <c r="D815" s="2" t="s">
        <v>10</v>
      </c>
      <c r="E815" s="2">
        <v>111111111</v>
      </c>
      <c r="F815" s="3">
        <v>40855</v>
      </c>
      <c r="G815" s="4">
        <v>66011000</v>
      </c>
      <c r="H815">
        <f t="shared" si="36"/>
        <v>3600</v>
      </c>
      <c r="I815">
        <f t="shared" si="37"/>
        <v>2</v>
      </c>
      <c r="J815">
        <f t="shared" si="38"/>
        <v>7200</v>
      </c>
      <c r="O815">
        <v>2770</v>
      </c>
      <c r="P815">
        <v>1150</v>
      </c>
      <c r="R815">
        <v>3299</v>
      </c>
      <c r="S815">
        <v>0.14285714285714285</v>
      </c>
    </row>
    <row r="816" spans="1:19" ht="26.1" customHeight="1" x14ac:dyDescent="0.2">
      <c r="A816" s="4">
        <v>2653</v>
      </c>
      <c r="B816" s="2" t="s">
        <v>95</v>
      </c>
      <c r="C816" s="2" t="s">
        <v>162</v>
      </c>
      <c r="D816" s="2" t="s">
        <v>174</v>
      </c>
      <c r="F816" s="3">
        <v>40893</v>
      </c>
      <c r="G816" s="4">
        <v>1176003000</v>
      </c>
      <c r="H816">
        <f t="shared" si="36"/>
        <v>2000</v>
      </c>
      <c r="I816">
        <f t="shared" si="37"/>
        <v>3.3333333333333333E-2</v>
      </c>
      <c r="J816">
        <f t="shared" si="38"/>
        <v>66.666666666666671</v>
      </c>
      <c r="O816">
        <v>2772</v>
      </c>
      <c r="P816">
        <v>1100</v>
      </c>
      <c r="R816">
        <v>3300</v>
      </c>
      <c r="S816">
        <v>0.42857142857142855</v>
      </c>
    </row>
    <row r="817" spans="1:19" ht="26.1" customHeight="1" x14ac:dyDescent="0.2">
      <c r="A817" s="4">
        <v>2654</v>
      </c>
      <c r="B817" s="2" t="s">
        <v>24</v>
      </c>
      <c r="C817" s="2" t="s">
        <v>162</v>
      </c>
      <c r="D817" s="2" t="s">
        <v>175</v>
      </c>
      <c r="F817" s="3">
        <v>40904</v>
      </c>
      <c r="G817" s="4">
        <v>18001000</v>
      </c>
      <c r="H817">
        <f t="shared" si="36"/>
        <v>939.5</v>
      </c>
      <c r="I817">
        <f t="shared" si="37"/>
        <v>0.66666666666666663</v>
      </c>
      <c r="J817">
        <f t="shared" si="38"/>
        <v>626.33333333333326</v>
      </c>
      <c r="O817">
        <v>2773</v>
      </c>
      <c r="P817">
        <v>1300</v>
      </c>
      <c r="R817">
        <v>3301</v>
      </c>
      <c r="S817">
        <v>6</v>
      </c>
    </row>
    <row r="818" spans="1:19" ht="15" customHeight="1" x14ac:dyDescent="0.2">
      <c r="A818" s="4">
        <v>2655</v>
      </c>
      <c r="B818" s="2" t="s">
        <v>131</v>
      </c>
      <c r="C818" s="2" t="s">
        <v>25</v>
      </c>
      <c r="D818" s="2" t="s">
        <v>176</v>
      </c>
      <c r="F818" s="3">
        <v>40904</v>
      </c>
      <c r="G818" s="4">
        <v>18001000</v>
      </c>
      <c r="H818">
        <f t="shared" si="36"/>
        <v>1500</v>
      </c>
      <c r="I818">
        <f t="shared" si="37"/>
        <v>0.42857142857142855</v>
      </c>
      <c r="J818">
        <f t="shared" si="38"/>
        <v>642.85714285714278</v>
      </c>
      <c r="O818">
        <v>2781</v>
      </c>
      <c r="P818">
        <v>24</v>
      </c>
      <c r="R818">
        <v>3304</v>
      </c>
      <c r="S818">
        <v>0.5</v>
      </c>
    </row>
    <row r="819" spans="1:19" ht="15" customHeight="1" x14ac:dyDescent="0.2">
      <c r="A819" s="4">
        <v>2658</v>
      </c>
      <c r="B819" s="2" t="s">
        <v>13</v>
      </c>
      <c r="C819" s="2" t="s">
        <v>169</v>
      </c>
      <c r="D819" s="2" t="s">
        <v>170</v>
      </c>
      <c r="F819" s="3">
        <v>40927</v>
      </c>
      <c r="G819" s="4">
        <v>2514001000</v>
      </c>
      <c r="H819">
        <f t="shared" si="36"/>
        <v>1000</v>
      </c>
      <c r="I819">
        <f t="shared" si="37"/>
        <v>0.42857142857142855</v>
      </c>
      <c r="J819">
        <f t="shared" si="38"/>
        <v>428.57142857142856</v>
      </c>
      <c r="O819">
        <v>2785</v>
      </c>
      <c r="P819">
        <v>24</v>
      </c>
      <c r="R819">
        <v>3305</v>
      </c>
      <c r="S819">
        <v>0.5</v>
      </c>
    </row>
    <row r="820" spans="1:19" ht="15" customHeight="1" x14ac:dyDescent="0.2">
      <c r="A820" s="4">
        <v>2659</v>
      </c>
      <c r="B820" s="2" t="s">
        <v>13</v>
      </c>
      <c r="C820" s="2" t="s">
        <v>169</v>
      </c>
      <c r="D820" s="2" t="s">
        <v>170</v>
      </c>
      <c r="F820" s="3">
        <v>40927</v>
      </c>
      <c r="G820" s="4">
        <v>3260001000</v>
      </c>
      <c r="H820">
        <f t="shared" si="36"/>
        <v>1000</v>
      </c>
      <c r="I820">
        <f t="shared" si="37"/>
        <v>0.5714285714285714</v>
      </c>
      <c r="J820">
        <f t="shared" si="38"/>
        <v>571.42857142857144</v>
      </c>
      <c r="O820">
        <v>2788</v>
      </c>
      <c r="P820">
        <v>591.5</v>
      </c>
      <c r="R820">
        <v>3309</v>
      </c>
      <c r="S820">
        <v>0.5</v>
      </c>
    </row>
    <row r="821" spans="1:19" ht="15" customHeight="1" x14ac:dyDescent="0.2">
      <c r="A821" s="4">
        <v>2661</v>
      </c>
      <c r="B821" s="2" t="s">
        <v>79</v>
      </c>
      <c r="C821" s="2" t="s">
        <v>80</v>
      </c>
      <c r="D821" s="2" t="s">
        <v>101</v>
      </c>
      <c r="F821" s="3">
        <v>40982</v>
      </c>
      <c r="G821" s="4">
        <v>1014002</v>
      </c>
      <c r="H821">
        <f t="shared" si="36"/>
        <v>1000</v>
      </c>
      <c r="I821">
        <f t="shared" si="37"/>
        <v>0.5714285714285714</v>
      </c>
      <c r="J821">
        <f t="shared" si="38"/>
        <v>571.42857142857144</v>
      </c>
      <c r="O821">
        <v>2790</v>
      </c>
      <c r="P821">
        <v>3400</v>
      </c>
      <c r="R821">
        <v>3310</v>
      </c>
      <c r="S821">
        <v>0.2857142857142857</v>
      </c>
    </row>
    <row r="822" spans="1:19" ht="15" customHeight="1" x14ac:dyDescent="0.2">
      <c r="A822" s="4">
        <v>2662</v>
      </c>
      <c r="B822" s="2" t="s">
        <v>13</v>
      </c>
      <c r="C822" s="2" t="s">
        <v>169</v>
      </c>
      <c r="D822" s="2" t="s">
        <v>170</v>
      </c>
      <c r="E822" s="2">
        <v>3810</v>
      </c>
      <c r="F822" s="3">
        <v>40982</v>
      </c>
      <c r="G822" s="4">
        <v>3168001000</v>
      </c>
      <c r="H822">
        <f t="shared" si="36"/>
        <v>1000</v>
      </c>
      <c r="I822">
        <f t="shared" si="37"/>
        <v>0.5714285714285714</v>
      </c>
      <c r="J822">
        <f t="shared" si="38"/>
        <v>571.42857142857144</v>
      </c>
      <c r="O822">
        <v>2791</v>
      </c>
      <c r="P822">
        <v>3600</v>
      </c>
      <c r="R822">
        <v>3313</v>
      </c>
      <c r="S822">
        <v>0.14285714285714285</v>
      </c>
    </row>
    <row r="823" spans="1:19" ht="26.1" customHeight="1" x14ac:dyDescent="0.2">
      <c r="A823" s="4">
        <v>2663</v>
      </c>
      <c r="B823" s="2" t="s">
        <v>95</v>
      </c>
      <c r="C823" s="2" t="s">
        <v>162</v>
      </c>
      <c r="D823" s="2" t="s">
        <v>174</v>
      </c>
      <c r="F823" s="3">
        <v>40984</v>
      </c>
      <c r="G823" s="4">
        <v>66011000</v>
      </c>
      <c r="H823">
        <f t="shared" si="36"/>
        <v>2000</v>
      </c>
      <c r="I823">
        <f t="shared" si="37"/>
        <v>0.5714285714285714</v>
      </c>
      <c r="J823">
        <f t="shared" si="38"/>
        <v>1142.8571428571429</v>
      </c>
      <c r="O823">
        <v>2796</v>
      </c>
      <c r="P823">
        <v>0</v>
      </c>
      <c r="R823">
        <v>3314</v>
      </c>
      <c r="S823">
        <v>2</v>
      </c>
    </row>
    <row r="824" spans="1:19" ht="15" customHeight="1" x14ac:dyDescent="0.2">
      <c r="A824" s="4">
        <v>2664</v>
      </c>
      <c r="B824" s="2" t="s">
        <v>177</v>
      </c>
      <c r="C824" s="2" t="s">
        <v>178</v>
      </c>
      <c r="D824" s="2" t="s">
        <v>10</v>
      </c>
      <c r="F824" s="3">
        <v>41010</v>
      </c>
      <c r="G824" s="4">
        <v>1000003</v>
      </c>
      <c r="H824">
        <f t="shared" si="36"/>
        <v>2000</v>
      </c>
      <c r="I824">
        <f t="shared" si="37"/>
        <v>0.5714285714285714</v>
      </c>
      <c r="J824">
        <f t="shared" si="38"/>
        <v>1142.8571428571429</v>
      </c>
      <c r="O824">
        <v>2803</v>
      </c>
      <c r="P824">
        <v>1200</v>
      </c>
      <c r="R824">
        <v>3315</v>
      </c>
      <c r="S824">
        <v>0.2857142857142857</v>
      </c>
    </row>
    <row r="825" spans="1:19" ht="26.1" customHeight="1" x14ac:dyDescent="0.2">
      <c r="A825" s="4">
        <v>2667</v>
      </c>
      <c r="B825" s="2" t="s">
        <v>99</v>
      </c>
      <c r="C825" s="2" t="s">
        <v>179</v>
      </c>
      <c r="D825" s="2" t="s">
        <v>10</v>
      </c>
      <c r="E825" s="2" t="s">
        <v>180</v>
      </c>
      <c r="F825" s="3">
        <v>41011</v>
      </c>
      <c r="G825" s="4">
        <v>66011000</v>
      </c>
      <c r="H825">
        <f t="shared" si="36"/>
        <v>36</v>
      </c>
      <c r="I825">
        <f t="shared" si="37"/>
        <v>0.5714285714285714</v>
      </c>
      <c r="J825">
        <f t="shared" si="38"/>
        <v>20.571428571428569</v>
      </c>
      <c r="O825">
        <v>2804</v>
      </c>
      <c r="P825">
        <v>1500</v>
      </c>
      <c r="R825">
        <v>3317</v>
      </c>
      <c r="S825">
        <v>0.8571428571428571</v>
      </c>
    </row>
    <row r="826" spans="1:19" ht="26.1" customHeight="1" x14ac:dyDescent="0.2">
      <c r="A826" s="4">
        <v>2669</v>
      </c>
      <c r="B826" s="2" t="s">
        <v>11</v>
      </c>
      <c r="C826" s="2" t="s">
        <v>25</v>
      </c>
      <c r="D826" s="2" t="s">
        <v>181</v>
      </c>
      <c r="E826" s="2">
        <v>411</v>
      </c>
      <c r="F826" s="3">
        <v>41037</v>
      </c>
      <c r="G826" s="4">
        <v>2126003000</v>
      </c>
      <c r="H826">
        <f t="shared" si="36"/>
        <v>1100</v>
      </c>
      <c r="I826">
        <f t="shared" si="37"/>
        <v>0.42857142857142855</v>
      </c>
      <c r="J826">
        <f t="shared" si="38"/>
        <v>471.42857142857139</v>
      </c>
      <c r="O826">
        <v>2805</v>
      </c>
      <c r="P826">
        <v>1500</v>
      </c>
      <c r="R826">
        <v>3320</v>
      </c>
      <c r="S826">
        <v>0.53333333333333333</v>
      </c>
    </row>
    <row r="827" spans="1:19" ht="15" customHeight="1" x14ac:dyDescent="0.2">
      <c r="A827" s="4">
        <v>2670</v>
      </c>
      <c r="B827" s="2" t="s">
        <v>146</v>
      </c>
      <c r="C827" s="2" t="s">
        <v>132</v>
      </c>
      <c r="D827" s="2" t="s">
        <v>147</v>
      </c>
      <c r="E827" s="2">
        <v>2693</v>
      </c>
      <c r="F827" s="3">
        <v>41040</v>
      </c>
      <c r="G827" s="4">
        <v>3156001000</v>
      </c>
      <c r="H827">
        <f t="shared" si="36"/>
        <v>1100</v>
      </c>
      <c r="I827">
        <f t="shared" si="37"/>
        <v>0.42857142857142855</v>
      </c>
      <c r="J827">
        <f t="shared" si="38"/>
        <v>471.42857142857139</v>
      </c>
      <c r="O827">
        <v>2812</v>
      </c>
      <c r="P827">
        <v>0</v>
      </c>
      <c r="R827">
        <v>3330</v>
      </c>
      <c r="S827">
        <v>0.5714285714285714</v>
      </c>
    </row>
    <row r="828" spans="1:19" ht="15" customHeight="1" x14ac:dyDescent="0.2">
      <c r="A828" s="4">
        <v>2674</v>
      </c>
      <c r="B828" s="2" t="s">
        <v>146</v>
      </c>
      <c r="C828" s="2" t="s">
        <v>132</v>
      </c>
      <c r="D828" s="2" t="s">
        <v>182</v>
      </c>
      <c r="E828" s="2">
        <v>2472</v>
      </c>
      <c r="F828" s="3">
        <v>41040</v>
      </c>
      <c r="G828" s="4">
        <v>1014001</v>
      </c>
      <c r="H828">
        <f t="shared" si="36"/>
        <v>1100</v>
      </c>
      <c r="I828">
        <f t="shared" si="37"/>
        <v>0.42857142857142855</v>
      </c>
      <c r="J828">
        <f t="shared" si="38"/>
        <v>471.42857142857139</v>
      </c>
      <c r="O828">
        <v>2817</v>
      </c>
      <c r="P828">
        <v>309.5</v>
      </c>
      <c r="R828">
        <v>3343</v>
      </c>
      <c r="S828">
        <v>1</v>
      </c>
    </row>
    <row r="829" spans="1:19" ht="15" customHeight="1" x14ac:dyDescent="0.2">
      <c r="A829" s="4">
        <v>2675</v>
      </c>
      <c r="B829" s="2" t="s">
        <v>99</v>
      </c>
      <c r="C829" s="2" t="s">
        <v>183</v>
      </c>
      <c r="D829" s="2" t="s">
        <v>184</v>
      </c>
      <c r="F829" s="3">
        <v>41040</v>
      </c>
      <c r="G829" s="4">
        <v>66011000</v>
      </c>
      <c r="H829">
        <f t="shared" si="36"/>
        <v>36</v>
      </c>
      <c r="I829">
        <f t="shared" si="37"/>
        <v>0.42857142857142855</v>
      </c>
      <c r="J829">
        <f t="shared" si="38"/>
        <v>15.428571428571427</v>
      </c>
      <c r="O829">
        <v>2820</v>
      </c>
      <c r="P829">
        <v>1154</v>
      </c>
      <c r="R829">
        <v>3344</v>
      </c>
      <c r="S829">
        <v>0.14285714285714285</v>
      </c>
    </row>
    <row r="830" spans="1:19" ht="26.1" customHeight="1" x14ac:dyDescent="0.2">
      <c r="A830" s="4">
        <v>2677</v>
      </c>
      <c r="B830" s="2" t="s">
        <v>158</v>
      </c>
      <c r="C830" s="2" t="s">
        <v>185</v>
      </c>
      <c r="D830" s="2" t="s">
        <v>186</v>
      </c>
      <c r="F830" s="3">
        <v>41066</v>
      </c>
      <c r="G830" s="4">
        <v>3135001000</v>
      </c>
      <c r="H830">
        <f t="shared" si="36"/>
        <v>36</v>
      </c>
      <c r="I830">
        <f t="shared" si="37"/>
        <v>0.42857142857142855</v>
      </c>
      <c r="J830">
        <f t="shared" si="38"/>
        <v>15.428571428571427</v>
      </c>
      <c r="O830">
        <v>2821</v>
      </c>
      <c r="P830">
        <v>3600</v>
      </c>
      <c r="R830">
        <v>3350</v>
      </c>
      <c r="S830">
        <v>0.2857142857142857</v>
      </c>
    </row>
    <row r="831" spans="1:19" ht="26.1" customHeight="1" x14ac:dyDescent="0.2">
      <c r="A831" s="4">
        <v>2678</v>
      </c>
      <c r="B831" s="2" t="s">
        <v>11</v>
      </c>
      <c r="C831" s="2" t="s">
        <v>14</v>
      </c>
      <c r="D831" s="2" t="s">
        <v>10</v>
      </c>
      <c r="F831" s="3">
        <v>41074</v>
      </c>
      <c r="G831" s="4">
        <v>66011000</v>
      </c>
      <c r="H831">
        <f t="shared" si="36"/>
        <v>1289</v>
      </c>
      <c r="I831">
        <f t="shared" si="37"/>
        <v>0.42857142857142855</v>
      </c>
      <c r="J831">
        <f t="shared" si="38"/>
        <v>552.42857142857144</v>
      </c>
      <c r="O831">
        <v>2822</v>
      </c>
      <c r="P831">
        <v>309.5</v>
      </c>
      <c r="R831">
        <v>3364</v>
      </c>
      <c r="S831">
        <v>7.1428571428571425E-2</v>
      </c>
    </row>
    <row r="832" spans="1:19" ht="15" customHeight="1" x14ac:dyDescent="0.2">
      <c r="A832" s="4">
        <v>2679</v>
      </c>
      <c r="B832" s="2" t="s">
        <v>13</v>
      </c>
      <c r="C832" s="2" t="s">
        <v>169</v>
      </c>
      <c r="D832" s="2" t="s">
        <v>170</v>
      </c>
      <c r="E832" s="2">
        <v>3959</v>
      </c>
      <c r="F832" s="3">
        <v>41079</v>
      </c>
      <c r="G832" s="4">
        <v>2548079000</v>
      </c>
      <c r="H832">
        <f t="shared" si="36"/>
        <v>1000</v>
      </c>
      <c r="I832">
        <f t="shared" si="37"/>
        <v>1.6666666666666666E-2</v>
      </c>
      <c r="J832">
        <f t="shared" si="38"/>
        <v>16.666666666666668</v>
      </c>
      <c r="O832">
        <v>2825</v>
      </c>
      <c r="P832">
        <v>24</v>
      </c>
      <c r="R832">
        <v>3365</v>
      </c>
      <c r="S832">
        <v>6.6666666666666666E-2</v>
      </c>
    </row>
    <row r="833" spans="1:19" ht="15" customHeight="1" x14ac:dyDescent="0.2">
      <c r="A833" s="4">
        <v>2680</v>
      </c>
      <c r="B833" s="2" t="s">
        <v>146</v>
      </c>
      <c r="C833" s="2" t="s">
        <v>132</v>
      </c>
      <c r="D833" s="2" t="s">
        <v>147</v>
      </c>
      <c r="F833" s="3">
        <v>41100</v>
      </c>
      <c r="G833" s="4">
        <v>66011000</v>
      </c>
      <c r="H833">
        <f t="shared" si="36"/>
        <v>1000</v>
      </c>
      <c r="I833">
        <f t="shared" si="37"/>
        <v>1.6666666666666666E-2</v>
      </c>
      <c r="J833">
        <f t="shared" si="38"/>
        <v>16.666666666666668</v>
      </c>
      <c r="O833">
        <v>2834</v>
      </c>
      <c r="P833">
        <v>1138.5</v>
      </c>
      <c r="R833">
        <v>3383</v>
      </c>
      <c r="S833">
        <v>3.7142857142857144</v>
      </c>
    </row>
    <row r="834" spans="1:19" ht="15" customHeight="1" x14ac:dyDescent="0.2">
      <c r="A834" s="4">
        <v>2684</v>
      </c>
      <c r="B834" s="2" t="s">
        <v>13</v>
      </c>
      <c r="C834" s="2" t="s">
        <v>169</v>
      </c>
      <c r="D834" s="2" t="s">
        <v>170</v>
      </c>
      <c r="F834" s="3">
        <v>41127</v>
      </c>
      <c r="G834" s="4">
        <v>165001000</v>
      </c>
      <c r="H834">
        <f t="shared" ref="H834:H897" si="39">VLOOKUP(A834,O:P,2)</f>
        <v>1000</v>
      </c>
      <c r="I834">
        <f t="shared" ref="I834:I897" si="40">VLOOKUP(A834,R:S,2)</f>
        <v>3.7142857142857144</v>
      </c>
      <c r="J834">
        <f t="shared" ref="J834:J897" si="41">H834*I834</f>
        <v>3714.2857142857142</v>
      </c>
      <c r="O834">
        <v>2836</v>
      </c>
      <c r="P834">
        <v>591.5</v>
      </c>
      <c r="R834">
        <v>3384</v>
      </c>
      <c r="S834">
        <v>3.7142857142857144</v>
      </c>
    </row>
    <row r="835" spans="1:19" ht="15" customHeight="1" x14ac:dyDescent="0.2">
      <c r="A835" s="4">
        <v>2685</v>
      </c>
      <c r="B835" s="2" t="s">
        <v>146</v>
      </c>
      <c r="C835" s="2" t="s">
        <v>132</v>
      </c>
      <c r="D835" s="2" t="s">
        <v>147</v>
      </c>
      <c r="E835" s="2">
        <v>2882</v>
      </c>
      <c r="F835" s="3">
        <v>41138</v>
      </c>
      <c r="G835" s="4">
        <v>1406001000</v>
      </c>
      <c r="H835">
        <f t="shared" si="39"/>
        <v>1000</v>
      </c>
      <c r="I835">
        <f t="shared" si="40"/>
        <v>3.7142857142857144</v>
      </c>
      <c r="J835">
        <f t="shared" si="41"/>
        <v>3714.2857142857142</v>
      </c>
      <c r="O835">
        <v>2845</v>
      </c>
      <c r="P835">
        <v>1000</v>
      </c>
      <c r="R835">
        <v>3385</v>
      </c>
      <c r="S835">
        <v>3.7142857142857144</v>
      </c>
    </row>
    <row r="836" spans="1:19" ht="15" customHeight="1" x14ac:dyDescent="0.2">
      <c r="A836" s="4">
        <v>2687</v>
      </c>
      <c r="B836" s="2" t="s">
        <v>146</v>
      </c>
      <c r="C836" s="2" t="s">
        <v>132</v>
      </c>
      <c r="D836" s="2" t="s">
        <v>147</v>
      </c>
      <c r="E836" s="2">
        <v>2881</v>
      </c>
      <c r="F836" s="3">
        <v>41136</v>
      </c>
      <c r="G836" s="4">
        <v>1406010000</v>
      </c>
      <c r="H836">
        <f t="shared" si="39"/>
        <v>1000</v>
      </c>
      <c r="I836">
        <f t="shared" si="40"/>
        <v>3.7142857142857144</v>
      </c>
      <c r="J836">
        <f t="shared" si="41"/>
        <v>3714.2857142857142</v>
      </c>
      <c r="O836">
        <v>2846</v>
      </c>
      <c r="P836">
        <v>1000</v>
      </c>
      <c r="R836">
        <v>3386</v>
      </c>
      <c r="S836">
        <v>0.42857142857142855</v>
      </c>
    </row>
    <row r="837" spans="1:19" ht="26.1" customHeight="1" x14ac:dyDescent="0.2">
      <c r="A837" s="4">
        <v>2691</v>
      </c>
      <c r="B837" s="2" t="s">
        <v>146</v>
      </c>
      <c r="C837" s="2" t="s">
        <v>132</v>
      </c>
      <c r="D837" s="2" t="s">
        <v>147</v>
      </c>
      <c r="E837" s="2">
        <v>1111111</v>
      </c>
      <c r="F837" s="3">
        <v>41135</v>
      </c>
      <c r="G837" s="4">
        <v>1014001</v>
      </c>
      <c r="H837">
        <f t="shared" si="39"/>
        <v>1000</v>
      </c>
      <c r="I837">
        <f t="shared" si="40"/>
        <v>3.7142857142857144</v>
      </c>
      <c r="J837">
        <f t="shared" si="41"/>
        <v>3714.2857142857142</v>
      </c>
      <c r="O837">
        <v>2848</v>
      </c>
      <c r="P837">
        <v>1000</v>
      </c>
      <c r="R837">
        <v>3388</v>
      </c>
      <c r="S837">
        <v>4</v>
      </c>
    </row>
    <row r="838" spans="1:19" ht="15" customHeight="1" x14ac:dyDescent="0.2">
      <c r="A838" s="4">
        <v>2693</v>
      </c>
      <c r="B838" s="2" t="s">
        <v>146</v>
      </c>
      <c r="C838" s="2" t="s">
        <v>132</v>
      </c>
      <c r="D838" s="2" t="s">
        <v>182</v>
      </c>
      <c r="E838" s="2">
        <v>2631</v>
      </c>
      <c r="F838" s="3">
        <v>41135</v>
      </c>
      <c r="G838" s="4">
        <v>66011000</v>
      </c>
      <c r="H838">
        <f t="shared" si="39"/>
        <v>1000</v>
      </c>
      <c r="I838">
        <f t="shared" si="40"/>
        <v>3.7142857142857144</v>
      </c>
      <c r="J838">
        <f t="shared" si="41"/>
        <v>3714.2857142857142</v>
      </c>
      <c r="O838">
        <v>2849</v>
      </c>
      <c r="P838">
        <v>1000</v>
      </c>
      <c r="R838">
        <v>3394</v>
      </c>
      <c r="S838">
        <v>3.3333333333333333E-2</v>
      </c>
    </row>
    <row r="839" spans="1:19" ht="26.1" customHeight="1" x14ac:dyDescent="0.2">
      <c r="A839" s="4">
        <v>2697</v>
      </c>
      <c r="B839" s="2" t="s">
        <v>123</v>
      </c>
      <c r="C839" s="2" t="s">
        <v>187</v>
      </c>
      <c r="D839" s="2" t="s">
        <v>188</v>
      </c>
      <c r="F839" s="3">
        <v>41137</v>
      </c>
      <c r="G839" s="4">
        <v>18001000</v>
      </c>
      <c r="H839">
        <f t="shared" si="39"/>
        <v>3400</v>
      </c>
      <c r="I839">
        <f t="shared" si="40"/>
        <v>2</v>
      </c>
      <c r="J839">
        <f t="shared" si="41"/>
        <v>6800</v>
      </c>
      <c r="O839">
        <v>2850</v>
      </c>
      <c r="P839">
        <v>1000</v>
      </c>
      <c r="R839">
        <v>3398</v>
      </c>
      <c r="S839">
        <v>6</v>
      </c>
    </row>
    <row r="840" spans="1:19" ht="26.1" customHeight="1" x14ac:dyDescent="0.2">
      <c r="A840" s="4">
        <v>2702</v>
      </c>
      <c r="B840" s="2" t="s">
        <v>82</v>
      </c>
      <c r="C840" s="2" t="s">
        <v>80</v>
      </c>
      <c r="D840" s="2" t="s">
        <v>83</v>
      </c>
      <c r="F840" s="3">
        <v>41180</v>
      </c>
      <c r="G840" s="4">
        <v>1925001000</v>
      </c>
      <c r="H840">
        <f t="shared" si="39"/>
        <v>3400</v>
      </c>
      <c r="I840">
        <f t="shared" si="40"/>
        <v>2</v>
      </c>
      <c r="J840">
        <f t="shared" si="41"/>
        <v>6800</v>
      </c>
      <c r="O840">
        <v>2855</v>
      </c>
      <c r="P840">
        <v>0</v>
      </c>
      <c r="R840">
        <v>3402</v>
      </c>
      <c r="S840">
        <v>1.3333333333333333</v>
      </c>
    </row>
    <row r="841" spans="1:19" ht="26.1" customHeight="1" x14ac:dyDescent="0.2">
      <c r="A841" s="4">
        <v>2703</v>
      </c>
      <c r="B841" s="2" t="s">
        <v>82</v>
      </c>
      <c r="C841" s="2" t="s">
        <v>80</v>
      </c>
      <c r="D841" s="2" t="s">
        <v>83</v>
      </c>
      <c r="F841" s="3">
        <v>41180</v>
      </c>
      <c r="G841" s="4">
        <v>3154002000</v>
      </c>
      <c r="H841">
        <f t="shared" si="39"/>
        <v>3400</v>
      </c>
      <c r="I841">
        <f t="shared" si="40"/>
        <v>2</v>
      </c>
      <c r="J841">
        <f t="shared" si="41"/>
        <v>6800</v>
      </c>
      <c r="O841">
        <v>2857</v>
      </c>
      <c r="P841">
        <v>1000</v>
      </c>
      <c r="R841">
        <v>3405</v>
      </c>
      <c r="S841">
        <v>6.6666666666666666E-2</v>
      </c>
    </row>
    <row r="842" spans="1:19" ht="15" customHeight="1" x14ac:dyDescent="0.2">
      <c r="A842" s="4">
        <v>2705</v>
      </c>
      <c r="B842" s="2" t="s">
        <v>150</v>
      </c>
      <c r="C842" s="2" t="s">
        <v>80</v>
      </c>
      <c r="D842" s="2" t="s">
        <v>189</v>
      </c>
      <c r="F842" s="3">
        <v>41180</v>
      </c>
      <c r="G842" s="4">
        <v>1925001000</v>
      </c>
      <c r="H842">
        <f t="shared" si="39"/>
        <v>3400</v>
      </c>
      <c r="I842">
        <f t="shared" si="40"/>
        <v>2</v>
      </c>
      <c r="J842">
        <f t="shared" si="41"/>
        <v>6800</v>
      </c>
      <c r="O842">
        <v>2863</v>
      </c>
      <c r="P842">
        <v>24</v>
      </c>
      <c r="R842">
        <v>3416</v>
      </c>
      <c r="S842">
        <v>0.13333333333333333</v>
      </c>
    </row>
    <row r="843" spans="1:19" ht="52.15" customHeight="1" x14ac:dyDescent="0.2">
      <c r="A843" s="4">
        <v>2706</v>
      </c>
      <c r="B843" s="2" t="s">
        <v>65</v>
      </c>
      <c r="C843" s="2" t="s">
        <v>190</v>
      </c>
      <c r="D843" s="2">
        <v>604</v>
      </c>
      <c r="E843" s="2" t="s">
        <v>191</v>
      </c>
      <c r="F843" s="3">
        <v>41183</v>
      </c>
      <c r="G843" s="4">
        <v>1925001000</v>
      </c>
      <c r="H843">
        <f t="shared" si="39"/>
        <v>3400</v>
      </c>
      <c r="I843">
        <f t="shared" si="40"/>
        <v>2</v>
      </c>
      <c r="J843">
        <f t="shared" si="41"/>
        <v>6800</v>
      </c>
      <c r="O843">
        <v>2872</v>
      </c>
      <c r="P843">
        <v>24</v>
      </c>
      <c r="R843">
        <v>3424</v>
      </c>
      <c r="S843">
        <v>3.7142857142857144</v>
      </c>
    </row>
    <row r="844" spans="1:19" ht="15" customHeight="1" x14ac:dyDescent="0.2">
      <c r="A844" s="4">
        <v>2707</v>
      </c>
      <c r="B844" s="2" t="s">
        <v>192</v>
      </c>
      <c r="C844" s="2" t="s">
        <v>69</v>
      </c>
      <c r="D844" s="2" t="s">
        <v>10</v>
      </c>
      <c r="F844" s="3">
        <v>41183</v>
      </c>
      <c r="G844" s="4">
        <v>1925001000</v>
      </c>
      <c r="H844">
        <f t="shared" si="39"/>
        <v>3400</v>
      </c>
      <c r="I844">
        <f t="shared" si="40"/>
        <v>2</v>
      </c>
      <c r="J844">
        <f t="shared" si="41"/>
        <v>6800</v>
      </c>
      <c r="O844">
        <v>2874</v>
      </c>
      <c r="P844">
        <v>24</v>
      </c>
      <c r="R844">
        <v>3425</v>
      </c>
      <c r="S844">
        <v>1</v>
      </c>
    </row>
    <row r="845" spans="1:19" ht="15" customHeight="1" x14ac:dyDescent="0.2">
      <c r="A845" s="4">
        <v>2708</v>
      </c>
      <c r="B845" s="2" t="s">
        <v>192</v>
      </c>
      <c r="C845" s="2" t="s">
        <v>69</v>
      </c>
      <c r="D845" s="2" t="s">
        <v>10</v>
      </c>
      <c r="E845" s="2">
        <v>1111</v>
      </c>
      <c r="F845" s="3">
        <v>41183</v>
      </c>
      <c r="G845" s="4">
        <v>1925001000</v>
      </c>
      <c r="H845">
        <f t="shared" si="39"/>
        <v>3400</v>
      </c>
      <c r="I845">
        <f t="shared" si="40"/>
        <v>2</v>
      </c>
      <c r="J845">
        <f t="shared" si="41"/>
        <v>6800</v>
      </c>
      <c r="O845">
        <v>2875</v>
      </c>
      <c r="P845">
        <v>24</v>
      </c>
      <c r="R845">
        <v>3438</v>
      </c>
      <c r="S845">
        <v>0.5714285714285714</v>
      </c>
    </row>
    <row r="846" spans="1:19" ht="26.1" customHeight="1" x14ac:dyDescent="0.2">
      <c r="A846" s="4">
        <v>2710</v>
      </c>
      <c r="B846" s="2" t="s">
        <v>128</v>
      </c>
      <c r="C846" s="2" t="s">
        <v>69</v>
      </c>
      <c r="D846" s="2" t="s">
        <v>10</v>
      </c>
      <c r="E846" s="2" t="s">
        <v>193</v>
      </c>
      <c r="F846" s="3">
        <v>41215</v>
      </c>
      <c r="G846" s="4">
        <v>2126001000</v>
      </c>
      <c r="H846">
        <f t="shared" si="39"/>
        <v>0</v>
      </c>
      <c r="I846">
        <f t="shared" si="40"/>
        <v>1.7142857142857142</v>
      </c>
      <c r="J846">
        <f t="shared" si="41"/>
        <v>0</v>
      </c>
      <c r="O846">
        <v>2876</v>
      </c>
      <c r="P846">
        <v>24</v>
      </c>
      <c r="R846">
        <v>3479</v>
      </c>
      <c r="S846">
        <v>6.6666666666666666E-2</v>
      </c>
    </row>
    <row r="847" spans="1:19" ht="26.1" customHeight="1" x14ac:dyDescent="0.2">
      <c r="A847" s="4">
        <v>2711</v>
      </c>
      <c r="B847" s="2" t="s">
        <v>68</v>
      </c>
      <c r="C847" s="2" t="s">
        <v>69</v>
      </c>
      <c r="D847" s="2" t="s">
        <v>10</v>
      </c>
      <c r="E847" s="2" t="s">
        <v>194</v>
      </c>
      <c r="F847" s="3">
        <v>41242</v>
      </c>
      <c r="G847" s="4">
        <v>1925001000</v>
      </c>
      <c r="H847">
        <f t="shared" si="39"/>
        <v>0</v>
      </c>
      <c r="I847">
        <f t="shared" si="40"/>
        <v>1.7142857142857142</v>
      </c>
      <c r="J847">
        <f t="shared" si="41"/>
        <v>0</v>
      </c>
      <c r="O847">
        <v>2881</v>
      </c>
      <c r="P847">
        <v>1000</v>
      </c>
      <c r="R847">
        <v>3495</v>
      </c>
      <c r="S847">
        <v>1.1428571428571428</v>
      </c>
    </row>
    <row r="848" spans="1:19" ht="26.1" customHeight="1" x14ac:dyDescent="0.2">
      <c r="A848" s="4">
        <v>2712</v>
      </c>
      <c r="B848" s="2" t="s">
        <v>95</v>
      </c>
      <c r="C848" s="2" t="s">
        <v>162</v>
      </c>
      <c r="D848" s="2" t="s">
        <v>174</v>
      </c>
      <c r="E848" s="2" t="s">
        <v>195</v>
      </c>
      <c r="F848" s="3">
        <v>41254</v>
      </c>
      <c r="G848" s="4">
        <v>1165000000</v>
      </c>
      <c r="H848">
        <f t="shared" si="39"/>
        <v>2000</v>
      </c>
      <c r="I848">
        <f t="shared" si="40"/>
        <v>0.42857142857142855</v>
      </c>
      <c r="J848">
        <f t="shared" si="41"/>
        <v>857.14285714285711</v>
      </c>
      <c r="O848">
        <v>2882</v>
      </c>
      <c r="P848">
        <v>1000</v>
      </c>
      <c r="R848">
        <v>3500</v>
      </c>
      <c r="S848">
        <v>5</v>
      </c>
    </row>
    <row r="849" spans="1:19" ht="26.1" customHeight="1" x14ac:dyDescent="0.2">
      <c r="A849" s="4">
        <v>2714</v>
      </c>
      <c r="B849" s="2" t="s">
        <v>123</v>
      </c>
      <c r="C849" s="2" t="s">
        <v>187</v>
      </c>
      <c r="D849" s="2" t="s">
        <v>196</v>
      </c>
      <c r="F849" s="3">
        <v>41288</v>
      </c>
      <c r="G849" s="4">
        <v>2126001000</v>
      </c>
      <c r="H849">
        <f t="shared" si="39"/>
        <v>3400</v>
      </c>
      <c r="I849">
        <f t="shared" si="40"/>
        <v>0.42857142857142855</v>
      </c>
      <c r="J849">
        <f t="shared" si="41"/>
        <v>1457.1428571428571</v>
      </c>
      <c r="O849">
        <v>2883</v>
      </c>
      <c r="P849">
        <v>591.5</v>
      </c>
      <c r="R849">
        <v>3505</v>
      </c>
      <c r="S849">
        <v>0.5714285714285714</v>
      </c>
    </row>
    <row r="850" spans="1:19" ht="15" customHeight="1" x14ac:dyDescent="0.2">
      <c r="A850" s="4">
        <v>2716</v>
      </c>
      <c r="B850" s="2" t="s">
        <v>13</v>
      </c>
      <c r="C850" s="2" t="s">
        <v>169</v>
      </c>
      <c r="D850" s="2" t="s">
        <v>156</v>
      </c>
      <c r="E850" s="2">
        <v>3898</v>
      </c>
      <c r="F850" s="3">
        <v>41310</v>
      </c>
      <c r="G850" s="4">
        <v>1817001000</v>
      </c>
      <c r="H850">
        <f t="shared" si="39"/>
        <v>1000</v>
      </c>
      <c r="I850">
        <f t="shared" si="40"/>
        <v>4.7619047619047616E-2</v>
      </c>
      <c r="J850">
        <f t="shared" si="41"/>
        <v>47.619047619047613</v>
      </c>
      <c r="O850">
        <v>2884</v>
      </c>
      <c r="P850">
        <v>3600</v>
      </c>
      <c r="R850">
        <v>3515</v>
      </c>
      <c r="S850">
        <v>3</v>
      </c>
    </row>
    <row r="851" spans="1:19" ht="15" customHeight="1" x14ac:dyDescent="0.2">
      <c r="A851" s="4">
        <v>2717</v>
      </c>
      <c r="B851" s="2" t="s">
        <v>13</v>
      </c>
      <c r="C851" s="2" t="s">
        <v>169</v>
      </c>
      <c r="D851" s="2" t="s">
        <v>170</v>
      </c>
      <c r="E851" s="2">
        <v>3820</v>
      </c>
      <c r="F851" s="3">
        <v>41311</v>
      </c>
      <c r="G851" s="4">
        <v>2916001000</v>
      </c>
      <c r="H851">
        <f t="shared" si="39"/>
        <v>1000</v>
      </c>
      <c r="I851">
        <f t="shared" si="40"/>
        <v>0.2857142857142857</v>
      </c>
      <c r="J851">
        <f t="shared" si="41"/>
        <v>285.71428571428572</v>
      </c>
      <c r="O851">
        <v>2885</v>
      </c>
      <c r="P851">
        <v>1200</v>
      </c>
      <c r="R851">
        <v>3516</v>
      </c>
      <c r="S851">
        <v>0.42857142857142855</v>
      </c>
    </row>
    <row r="852" spans="1:19" ht="15" customHeight="1" x14ac:dyDescent="0.2">
      <c r="A852" s="4">
        <v>2720</v>
      </c>
      <c r="B852" s="2" t="s">
        <v>79</v>
      </c>
      <c r="C852" s="2" t="s">
        <v>80</v>
      </c>
      <c r="D852" s="2" t="s">
        <v>197</v>
      </c>
      <c r="F852" s="3">
        <v>41372</v>
      </c>
      <c r="G852" s="4">
        <v>1176003000</v>
      </c>
      <c r="H852">
        <f t="shared" si="39"/>
        <v>1000</v>
      </c>
      <c r="I852">
        <f t="shared" si="40"/>
        <v>0.2857142857142857</v>
      </c>
      <c r="J852">
        <f t="shared" si="41"/>
        <v>285.71428571428572</v>
      </c>
      <c r="O852">
        <v>2886</v>
      </c>
      <c r="P852">
        <v>3400</v>
      </c>
      <c r="R852">
        <v>3517</v>
      </c>
      <c r="S852">
        <v>0.42857142857142855</v>
      </c>
    </row>
    <row r="853" spans="1:19" ht="15" customHeight="1" x14ac:dyDescent="0.2">
      <c r="A853" s="4">
        <v>2722</v>
      </c>
      <c r="B853" s="2" t="s">
        <v>68</v>
      </c>
      <c r="C853" s="2" t="s">
        <v>69</v>
      </c>
      <c r="D853" s="2" t="s">
        <v>10</v>
      </c>
      <c r="F853" s="3">
        <v>42279</v>
      </c>
      <c r="G853" s="4">
        <v>153002000</v>
      </c>
      <c r="H853">
        <f t="shared" si="39"/>
        <v>1000</v>
      </c>
      <c r="I853">
        <f t="shared" si="40"/>
        <v>0.2857142857142857</v>
      </c>
      <c r="J853">
        <f t="shared" si="41"/>
        <v>285.71428571428572</v>
      </c>
      <c r="O853">
        <v>2887</v>
      </c>
      <c r="P853">
        <v>1200</v>
      </c>
      <c r="R853">
        <v>3408</v>
      </c>
      <c r="S853">
        <v>0.2857142857142857</v>
      </c>
    </row>
    <row r="854" spans="1:19" ht="15" customHeight="1" x14ac:dyDescent="0.2">
      <c r="A854" s="4">
        <v>2723</v>
      </c>
      <c r="B854" s="2" t="s">
        <v>13</v>
      </c>
      <c r="C854" s="2" t="s">
        <v>169</v>
      </c>
      <c r="D854" s="2" t="s">
        <v>170</v>
      </c>
      <c r="F854" s="3">
        <v>41401</v>
      </c>
      <c r="G854" s="4">
        <v>2548066000</v>
      </c>
      <c r="H854">
        <f t="shared" si="39"/>
        <v>1000</v>
      </c>
      <c r="I854">
        <f t="shared" si="40"/>
        <v>0.33333333333333331</v>
      </c>
      <c r="J854">
        <f t="shared" si="41"/>
        <v>333.33333333333331</v>
      </c>
      <c r="O854">
        <v>2889</v>
      </c>
      <c r="P854">
        <v>884</v>
      </c>
    </row>
    <row r="855" spans="1:19" ht="15" customHeight="1" x14ac:dyDescent="0.2">
      <c r="A855" s="4">
        <v>2724</v>
      </c>
      <c r="B855" s="2" t="s">
        <v>13</v>
      </c>
      <c r="C855" s="2" t="s">
        <v>169</v>
      </c>
      <c r="D855" s="2" t="s">
        <v>170</v>
      </c>
      <c r="F855" s="3">
        <v>41401</v>
      </c>
      <c r="G855" s="4">
        <v>1023000</v>
      </c>
      <c r="H855">
        <f t="shared" si="39"/>
        <v>1000</v>
      </c>
      <c r="I855">
        <f t="shared" si="40"/>
        <v>7.1428571428571425E-2</v>
      </c>
      <c r="J855">
        <f t="shared" si="41"/>
        <v>71.428571428571431</v>
      </c>
      <c r="O855">
        <v>2892</v>
      </c>
      <c r="P855">
        <v>1000</v>
      </c>
    </row>
    <row r="856" spans="1:19" ht="15" customHeight="1" x14ac:dyDescent="0.2">
      <c r="A856" s="4">
        <v>2725</v>
      </c>
      <c r="B856" s="2" t="s">
        <v>13</v>
      </c>
      <c r="C856" s="2" t="s">
        <v>169</v>
      </c>
      <c r="D856" s="2" t="s">
        <v>170</v>
      </c>
      <c r="F856" s="3">
        <v>41401</v>
      </c>
      <c r="G856" s="4">
        <v>1023006</v>
      </c>
      <c r="H856">
        <f t="shared" si="39"/>
        <v>1000</v>
      </c>
      <c r="I856">
        <f t="shared" si="40"/>
        <v>7.1428571428571425E-2</v>
      </c>
      <c r="J856">
        <f t="shared" si="41"/>
        <v>71.428571428571431</v>
      </c>
      <c r="O856">
        <v>2898</v>
      </c>
      <c r="P856">
        <v>1000</v>
      </c>
    </row>
    <row r="857" spans="1:19" ht="15" customHeight="1" x14ac:dyDescent="0.2">
      <c r="A857" s="4">
        <v>2726</v>
      </c>
      <c r="B857" s="2" t="s">
        <v>7</v>
      </c>
      <c r="C857" s="2" t="s">
        <v>8</v>
      </c>
      <c r="D857" s="2" t="s">
        <v>9</v>
      </c>
      <c r="E857" s="2">
        <v>3319</v>
      </c>
      <c r="F857" s="3">
        <v>25688</v>
      </c>
      <c r="G857" s="4">
        <v>3182003000</v>
      </c>
      <c r="H857">
        <f t="shared" si="39"/>
        <v>309.5</v>
      </c>
      <c r="I857">
        <f t="shared" si="40"/>
        <v>0.2857142857142857</v>
      </c>
      <c r="J857">
        <f t="shared" si="41"/>
        <v>88.428571428571431</v>
      </c>
      <c r="O857">
        <v>2899</v>
      </c>
      <c r="P857">
        <v>1000</v>
      </c>
    </row>
    <row r="858" spans="1:19" ht="15" customHeight="1" x14ac:dyDescent="0.2">
      <c r="A858" s="4">
        <v>2727</v>
      </c>
      <c r="B858" s="2" t="s">
        <v>65</v>
      </c>
      <c r="C858" s="2" t="s">
        <v>190</v>
      </c>
      <c r="D858" s="2" t="s">
        <v>198</v>
      </c>
      <c r="F858" s="3">
        <v>41418</v>
      </c>
      <c r="G858" s="4">
        <v>1000002</v>
      </c>
      <c r="H858">
        <f t="shared" si="39"/>
        <v>309.5</v>
      </c>
      <c r="I858">
        <f t="shared" si="40"/>
        <v>0.2857142857142857</v>
      </c>
      <c r="J858">
        <f t="shared" si="41"/>
        <v>88.428571428571431</v>
      </c>
      <c r="O858">
        <v>2900</v>
      </c>
      <c r="P858">
        <v>1000</v>
      </c>
    </row>
    <row r="859" spans="1:19" ht="15" customHeight="1" x14ac:dyDescent="0.2">
      <c r="A859" s="4">
        <v>2728</v>
      </c>
      <c r="B859" s="2" t="s">
        <v>68</v>
      </c>
      <c r="C859" s="2" t="s">
        <v>69</v>
      </c>
      <c r="D859" s="2" t="s">
        <v>10</v>
      </c>
      <c r="F859" s="3">
        <v>41418</v>
      </c>
      <c r="G859" s="4">
        <v>1000002</v>
      </c>
      <c r="H859">
        <f t="shared" si="39"/>
        <v>309.5</v>
      </c>
      <c r="I859">
        <f t="shared" si="40"/>
        <v>0.2857142857142857</v>
      </c>
      <c r="J859">
        <f t="shared" si="41"/>
        <v>88.428571428571431</v>
      </c>
      <c r="O859">
        <v>2901</v>
      </c>
      <c r="P859">
        <v>1000</v>
      </c>
    </row>
    <row r="860" spans="1:19" ht="15" customHeight="1" x14ac:dyDescent="0.2">
      <c r="A860" s="4">
        <v>2730</v>
      </c>
      <c r="B860" s="2" t="s">
        <v>128</v>
      </c>
      <c r="C860" s="2" t="s">
        <v>69</v>
      </c>
      <c r="D860" s="2" t="s">
        <v>10</v>
      </c>
      <c r="F860" s="3">
        <v>41451</v>
      </c>
      <c r="G860" s="4">
        <v>2126001000</v>
      </c>
      <c r="H860">
        <f t="shared" si="39"/>
        <v>0</v>
      </c>
      <c r="I860">
        <f t="shared" si="40"/>
        <v>1.7142857142857142</v>
      </c>
      <c r="J860">
        <f t="shared" si="41"/>
        <v>0</v>
      </c>
      <c r="O860">
        <v>2902</v>
      </c>
      <c r="P860">
        <v>1000</v>
      </c>
    </row>
    <row r="861" spans="1:19" ht="15" customHeight="1" x14ac:dyDescent="0.2">
      <c r="A861" s="4">
        <v>2731</v>
      </c>
      <c r="B861" s="2" t="s">
        <v>128</v>
      </c>
      <c r="C861" s="2" t="s">
        <v>69</v>
      </c>
      <c r="D861" s="2" t="s">
        <v>10</v>
      </c>
      <c r="F861" s="3">
        <v>41451</v>
      </c>
      <c r="G861" s="4">
        <v>2126001000</v>
      </c>
      <c r="H861">
        <f t="shared" si="39"/>
        <v>0</v>
      </c>
      <c r="I861">
        <f t="shared" si="40"/>
        <v>1.7142857142857142</v>
      </c>
      <c r="J861">
        <f t="shared" si="41"/>
        <v>0</v>
      </c>
      <c r="O861">
        <v>2903</v>
      </c>
      <c r="P861">
        <v>1000</v>
      </c>
    </row>
    <row r="862" spans="1:19" ht="15" customHeight="1" x14ac:dyDescent="0.2">
      <c r="A862" s="4">
        <v>2732</v>
      </c>
      <c r="B862" s="2" t="s">
        <v>128</v>
      </c>
      <c r="C862" s="2" t="s">
        <v>69</v>
      </c>
      <c r="D862" s="2" t="s">
        <v>10</v>
      </c>
      <c r="F862" s="3">
        <v>41451</v>
      </c>
      <c r="G862" s="4">
        <v>2126001000</v>
      </c>
      <c r="H862">
        <f t="shared" si="39"/>
        <v>0</v>
      </c>
      <c r="I862">
        <f t="shared" si="40"/>
        <v>1.7142857142857142</v>
      </c>
      <c r="J862">
        <f t="shared" si="41"/>
        <v>0</v>
      </c>
      <c r="O862">
        <v>2904</v>
      </c>
      <c r="P862">
        <v>24</v>
      </c>
    </row>
    <row r="863" spans="1:19" ht="15" customHeight="1" x14ac:dyDescent="0.2">
      <c r="A863" s="4">
        <v>2733</v>
      </c>
      <c r="B863" s="2" t="s">
        <v>128</v>
      </c>
      <c r="C863" s="2" t="s">
        <v>69</v>
      </c>
      <c r="D863" s="2" t="s">
        <v>10</v>
      </c>
      <c r="F863" s="3">
        <v>41451</v>
      </c>
      <c r="G863" s="4">
        <v>2126001000</v>
      </c>
      <c r="H863">
        <f t="shared" si="39"/>
        <v>0</v>
      </c>
      <c r="I863">
        <f t="shared" si="40"/>
        <v>1.7142857142857142</v>
      </c>
      <c r="J863">
        <f t="shared" si="41"/>
        <v>0</v>
      </c>
      <c r="O863">
        <v>2905</v>
      </c>
      <c r="P863">
        <v>1031</v>
      </c>
    </row>
    <row r="864" spans="1:19" ht="15" customHeight="1" x14ac:dyDescent="0.2">
      <c r="A864" s="4">
        <v>2734</v>
      </c>
      <c r="B864" s="2" t="s">
        <v>128</v>
      </c>
      <c r="C864" s="2" t="s">
        <v>69</v>
      </c>
      <c r="D864" s="2" t="s">
        <v>10</v>
      </c>
      <c r="F864" s="3">
        <v>41451</v>
      </c>
      <c r="G864" s="4">
        <v>2126001000</v>
      </c>
      <c r="H864">
        <f t="shared" si="39"/>
        <v>0</v>
      </c>
      <c r="I864">
        <f t="shared" si="40"/>
        <v>1.7142857142857142</v>
      </c>
      <c r="J864">
        <f t="shared" si="41"/>
        <v>0</v>
      </c>
      <c r="O864">
        <v>2908</v>
      </c>
      <c r="P864">
        <v>3400</v>
      </c>
    </row>
    <row r="865" spans="1:16" ht="15" customHeight="1" x14ac:dyDescent="0.2">
      <c r="A865" s="4">
        <v>2735</v>
      </c>
      <c r="B865" s="2" t="s">
        <v>128</v>
      </c>
      <c r="C865" s="2" t="s">
        <v>69</v>
      </c>
      <c r="D865" s="2" t="s">
        <v>10</v>
      </c>
      <c r="F865" s="3">
        <v>41451</v>
      </c>
      <c r="G865" s="4">
        <v>2126001000</v>
      </c>
      <c r="H865">
        <f t="shared" si="39"/>
        <v>0</v>
      </c>
      <c r="I865">
        <f t="shared" si="40"/>
        <v>1.7142857142857142</v>
      </c>
      <c r="J865">
        <f t="shared" si="41"/>
        <v>0</v>
      </c>
      <c r="O865">
        <v>2909</v>
      </c>
      <c r="P865">
        <v>1000</v>
      </c>
    </row>
    <row r="866" spans="1:16" ht="15" customHeight="1" x14ac:dyDescent="0.2">
      <c r="A866" s="4">
        <v>2741</v>
      </c>
      <c r="B866" s="2" t="s">
        <v>128</v>
      </c>
      <c r="C866" s="2" t="s">
        <v>69</v>
      </c>
      <c r="D866" s="2" t="s">
        <v>10</v>
      </c>
      <c r="F866" s="3">
        <v>41467</v>
      </c>
      <c r="G866" s="4">
        <v>66011000</v>
      </c>
      <c r="H866">
        <f t="shared" si="39"/>
        <v>0</v>
      </c>
      <c r="I866">
        <f t="shared" si="40"/>
        <v>1.7142857142857142</v>
      </c>
      <c r="J866">
        <f t="shared" si="41"/>
        <v>0</v>
      </c>
      <c r="O866">
        <v>2910</v>
      </c>
      <c r="P866">
        <v>1000</v>
      </c>
    </row>
    <row r="867" spans="1:16" ht="15" customHeight="1" x14ac:dyDescent="0.2">
      <c r="A867" s="4">
        <v>2744</v>
      </c>
      <c r="B867" s="2" t="s">
        <v>146</v>
      </c>
      <c r="C867" s="2" t="s">
        <v>141</v>
      </c>
      <c r="D867" s="2" t="s">
        <v>157</v>
      </c>
      <c r="E867" s="2">
        <v>3173</v>
      </c>
      <c r="F867" s="3">
        <v>41519</v>
      </c>
      <c r="G867" s="4">
        <v>2514001000</v>
      </c>
      <c r="H867">
        <f t="shared" si="39"/>
        <v>0</v>
      </c>
      <c r="I867">
        <f t="shared" si="40"/>
        <v>1.7142857142857142</v>
      </c>
      <c r="J867">
        <f t="shared" si="41"/>
        <v>0</v>
      </c>
      <c r="O867">
        <v>2911</v>
      </c>
      <c r="P867">
        <v>1000</v>
      </c>
    </row>
    <row r="868" spans="1:16" ht="26.1" customHeight="1" x14ac:dyDescent="0.2">
      <c r="A868" s="4">
        <v>2748</v>
      </c>
      <c r="B868" s="2" t="s">
        <v>158</v>
      </c>
      <c r="C868" s="2" t="s">
        <v>199</v>
      </c>
      <c r="D868" s="2" t="s">
        <v>10</v>
      </c>
      <c r="E868" s="2">
        <v>5332</v>
      </c>
      <c r="F868" s="3">
        <v>41575</v>
      </c>
      <c r="G868" s="4">
        <v>66011000</v>
      </c>
      <c r="H868">
        <f t="shared" si="39"/>
        <v>0</v>
      </c>
      <c r="I868">
        <f t="shared" si="40"/>
        <v>1.7142857142857142</v>
      </c>
      <c r="J868">
        <f t="shared" si="41"/>
        <v>0</v>
      </c>
      <c r="O868">
        <v>2912</v>
      </c>
      <c r="P868">
        <v>1000</v>
      </c>
    </row>
    <row r="869" spans="1:16" ht="26.1" customHeight="1" x14ac:dyDescent="0.2">
      <c r="A869" s="4">
        <v>2752</v>
      </c>
      <c r="B869" s="2" t="s">
        <v>200</v>
      </c>
      <c r="C869" s="2" t="s">
        <v>201</v>
      </c>
      <c r="D869" s="2" t="s">
        <v>202</v>
      </c>
      <c r="E869" s="2" t="s">
        <v>203</v>
      </c>
      <c r="F869" s="3">
        <v>41599</v>
      </c>
      <c r="G869" s="4">
        <v>2514001000</v>
      </c>
      <c r="H869">
        <f t="shared" si="39"/>
        <v>745.7</v>
      </c>
      <c r="I869">
        <f t="shared" si="40"/>
        <v>1.7142857142857142</v>
      </c>
      <c r="J869">
        <f t="shared" si="41"/>
        <v>1278.3428571428572</v>
      </c>
      <c r="O869">
        <v>2913</v>
      </c>
      <c r="P869">
        <v>1000</v>
      </c>
    </row>
    <row r="870" spans="1:16" ht="15" customHeight="1" x14ac:dyDescent="0.2">
      <c r="A870" s="4">
        <v>2754</v>
      </c>
      <c r="B870" s="2" t="s">
        <v>177</v>
      </c>
      <c r="C870" s="2" t="s">
        <v>204</v>
      </c>
      <c r="D870" s="2" t="s">
        <v>10</v>
      </c>
      <c r="F870" s="3">
        <v>41632</v>
      </c>
      <c r="G870" s="4">
        <v>1000011</v>
      </c>
      <c r="H870">
        <f t="shared" si="39"/>
        <v>0</v>
      </c>
      <c r="I870">
        <f t="shared" si="40"/>
        <v>1.7142857142857142</v>
      </c>
      <c r="J870">
        <f t="shared" si="41"/>
        <v>0</v>
      </c>
      <c r="O870">
        <v>2914</v>
      </c>
      <c r="P870">
        <v>1000</v>
      </c>
    </row>
    <row r="871" spans="1:16" ht="26.1" customHeight="1" x14ac:dyDescent="0.2">
      <c r="A871" s="4">
        <v>2755</v>
      </c>
      <c r="B871" s="2" t="s">
        <v>123</v>
      </c>
      <c r="C871" s="2" t="s">
        <v>164</v>
      </c>
      <c r="D871" s="2" t="s">
        <v>10</v>
      </c>
      <c r="F871" s="3">
        <v>41653</v>
      </c>
      <c r="G871" s="4">
        <v>2126001000</v>
      </c>
      <c r="H871">
        <f t="shared" si="39"/>
        <v>3600</v>
      </c>
      <c r="I871">
        <f t="shared" si="40"/>
        <v>1.7142857142857142</v>
      </c>
      <c r="J871">
        <f t="shared" si="41"/>
        <v>6171.4285714285706</v>
      </c>
      <c r="O871">
        <v>2916</v>
      </c>
      <c r="P871">
        <v>24</v>
      </c>
    </row>
    <row r="872" spans="1:16" ht="15" customHeight="1" x14ac:dyDescent="0.2">
      <c r="A872" s="4">
        <v>2758</v>
      </c>
      <c r="B872" s="2" t="s">
        <v>13</v>
      </c>
      <c r="C872" s="2" t="s">
        <v>8</v>
      </c>
      <c r="D872" s="2" t="s">
        <v>156</v>
      </c>
      <c r="E872" s="2">
        <v>6142</v>
      </c>
      <c r="F872" s="3">
        <v>41675</v>
      </c>
      <c r="G872" s="4">
        <v>1014002</v>
      </c>
      <c r="H872">
        <f t="shared" si="39"/>
        <v>1000</v>
      </c>
      <c r="I872">
        <f t="shared" si="40"/>
        <v>3.7142857142857144</v>
      </c>
      <c r="J872">
        <f t="shared" si="41"/>
        <v>3714.2857142857142</v>
      </c>
      <c r="O872">
        <v>2922</v>
      </c>
      <c r="P872">
        <v>24</v>
      </c>
    </row>
    <row r="873" spans="1:16" ht="15" customHeight="1" x14ac:dyDescent="0.2">
      <c r="A873" s="4">
        <v>2759</v>
      </c>
      <c r="B873" s="2" t="s">
        <v>13</v>
      </c>
      <c r="C873" s="2" t="s">
        <v>8</v>
      </c>
      <c r="D873" s="2" t="s">
        <v>156</v>
      </c>
      <c r="E873" s="2">
        <v>6146</v>
      </c>
      <c r="F873" s="3">
        <v>41675</v>
      </c>
      <c r="G873" s="4">
        <v>165001000</v>
      </c>
      <c r="H873">
        <f t="shared" si="39"/>
        <v>1000</v>
      </c>
      <c r="I873">
        <f t="shared" si="40"/>
        <v>3.7142857142857144</v>
      </c>
      <c r="J873">
        <f t="shared" si="41"/>
        <v>3714.2857142857142</v>
      </c>
      <c r="O873">
        <v>2923</v>
      </c>
      <c r="P873">
        <v>3400</v>
      </c>
    </row>
    <row r="874" spans="1:16" ht="15" customHeight="1" x14ac:dyDescent="0.2">
      <c r="A874" s="4">
        <v>2762</v>
      </c>
      <c r="B874" s="2" t="s">
        <v>205</v>
      </c>
      <c r="C874" s="2" t="s">
        <v>206</v>
      </c>
      <c r="D874" s="2" t="s">
        <v>207</v>
      </c>
      <c r="F874" s="3">
        <v>41730</v>
      </c>
      <c r="G874" s="4">
        <v>66011000</v>
      </c>
      <c r="H874">
        <f t="shared" si="39"/>
        <v>0</v>
      </c>
      <c r="I874">
        <f t="shared" si="40"/>
        <v>3.7142857142857144</v>
      </c>
      <c r="J874">
        <f t="shared" si="41"/>
        <v>0</v>
      </c>
      <c r="O874">
        <v>2926</v>
      </c>
      <c r="P874">
        <v>3600</v>
      </c>
    </row>
    <row r="875" spans="1:16" ht="15" customHeight="1" x14ac:dyDescent="0.2">
      <c r="A875" s="4">
        <v>2764</v>
      </c>
      <c r="B875" s="2" t="s">
        <v>79</v>
      </c>
      <c r="C875" s="2" t="s">
        <v>80</v>
      </c>
      <c r="D875" s="2" t="s">
        <v>197</v>
      </c>
      <c r="F875" s="3">
        <v>41800</v>
      </c>
      <c r="G875" s="4">
        <v>1014001</v>
      </c>
      <c r="H875">
        <f t="shared" si="39"/>
        <v>0</v>
      </c>
      <c r="I875">
        <f t="shared" si="40"/>
        <v>3.7142857142857144</v>
      </c>
      <c r="J875">
        <f t="shared" si="41"/>
        <v>0</v>
      </c>
      <c r="O875">
        <v>2929</v>
      </c>
      <c r="P875">
        <v>432</v>
      </c>
    </row>
    <row r="876" spans="1:16" ht="15" customHeight="1" x14ac:dyDescent="0.2">
      <c r="A876" s="4">
        <v>2768</v>
      </c>
      <c r="B876" s="2" t="s">
        <v>13</v>
      </c>
      <c r="C876" s="2" t="s">
        <v>208</v>
      </c>
      <c r="D876" s="2">
        <v>15</v>
      </c>
      <c r="F876" s="3">
        <v>41957</v>
      </c>
      <c r="G876" s="4">
        <v>3178002000</v>
      </c>
      <c r="H876">
        <f t="shared" si="39"/>
        <v>1150</v>
      </c>
      <c r="I876">
        <f t="shared" si="40"/>
        <v>0.14285714285714285</v>
      </c>
      <c r="J876">
        <f t="shared" si="41"/>
        <v>164.28571428571428</v>
      </c>
      <c r="O876">
        <v>2930</v>
      </c>
      <c r="P876">
        <v>0</v>
      </c>
    </row>
    <row r="877" spans="1:16" ht="15" customHeight="1" x14ac:dyDescent="0.2">
      <c r="A877" s="4">
        <v>2769</v>
      </c>
      <c r="B877" s="2" t="s">
        <v>13</v>
      </c>
      <c r="C877" s="2" t="s">
        <v>208</v>
      </c>
      <c r="D877" s="2">
        <v>15</v>
      </c>
      <c r="F877" s="3">
        <v>41957</v>
      </c>
      <c r="G877" s="4">
        <v>1176003000</v>
      </c>
      <c r="H877">
        <f t="shared" si="39"/>
        <v>1150</v>
      </c>
      <c r="I877">
        <f t="shared" si="40"/>
        <v>2</v>
      </c>
      <c r="J877">
        <f t="shared" si="41"/>
        <v>2300</v>
      </c>
      <c r="O877">
        <v>2944</v>
      </c>
      <c r="P877">
        <v>1500</v>
      </c>
    </row>
    <row r="878" spans="1:16" ht="15" customHeight="1" x14ac:dyDescent="0.2">
      <c r="A878" s="4">
        <v>2770</v>
      </c>
      <c r="B878" s="2" t="s">
        <v>13</v>
      </c>
      <c r="C878" s="2" t="s">
        <v>208</v>
      </c>
      <c r="D878" s="2">
        <v>15</v>
      </c>
      <c r="F878" s="3">
        <v>41957</v>
      </c>
      <c r="G878" s="4">
        <v>1176003000</v>
      </c>
      <c r="H878">
        <f t="shared" si="39"/>
        <v>1150</v>
      </c>
      <c r="I878">
        <f t="shared" si="40"/>
        <v>1</v>
      </c>
      <c r="J878">
        <f t="shared" si="41"/>
        <v>1150</v>
      </c>
      <c r="O878">
        <v>2947</v>
      </c>
      <c r="P878">
        <v>24</v>
      </c>
    </row>
    <row r="879" spans="1:16" ht="26.1" customHeight="1" x14ac:dyDescent="0.2">
      <c r="A879" s="4">
        <v>2772</v>
      </c>
      <c r="B879" s="2" t="s">
        <v>11</v>
      </c>
      <c r="C879" s="2" t="s">
        <v>209</v>
      </c>
      <c r="D879" s="2">
        <v>165</v>
      </c>
      <c r="F879" s="3">
        <v>41957</v>
      </c>
      <c r="G879" s="4">
        <v>1176003000</v>
      </c>
      <c r="H879">
        <f t="shared" si="39"/>
        <v>1100</v>
      </c>
      <c r="I879">
        <f t="shared" si="40"/>
        <v>0.14285714285714285</v>
      </c>
      <c r="J879">
        <f t="shared" si="41"/>
        <v>157.14285714285714</v>
      </c>
      <c r="O879">
        <v>2952</v>
      </c>
      <c r="P879">
        <v>1000</v>
      </c>
    </row>
    <row r="880" spans="1:16" ht="26.1" customHeight="1" x14ac:dyDescent="0.2">
      <c r="A880" s="4">
        <v>2773</v>
      </c>
      <c r="B880" s="2" t="s">
        <v>24</v>
      </c>
      <c r="C880" s="2" t="s">
        <v>209</v>
      </c>
      <c r="D880" s="2">
        <v>1200</v>
      </c>
      <c r="F880" s="3">
        <v>41957</v>
      </c>
      <c r="G880" s="4">
        <v>1176003000</v>
      </c>
      <c r="H880">
        <f t="shared" si="39"/>
        <v>1300</v>
      </c>
      <c r="I880">
        <f t="shared" si="40"/>
        <v>0.14285714285714285</v>
      </c>
      <c r="J880">
        <f t="shared" si="41"/>
        <v>185.71428571428569</v>
      </c>
      <c r="O880">
        <v>2953</v>
      </c>
      <c r="P880">
        <v>1000</v>
      </c>
    </row>
    <row r="881" spans="1:16" ht="15" customHeight="1" x14ac:dyDescent="0.2">
      <c r="A881" s="4">
        <v>2774</v>
      </c>
      <c r="B881" s="2" t="s">
        <v>146</v>
      </c>
      <c r="C881" s="2" t="s">
        <v>25</v>
      </c>
      <c r="D881" s="2" t="s">
        <v>210</v>
      </c>
      <c r="F881" s="3">
        <v>41956</v>
      </c>
      <c r="G881" s="4">
        <v>3042058002</v>
      </c>
      <c r="H881">
        <f t="shared" si="39"/>
        <v>1300</v>
      </c>
      <c r="I881">
        <f t="shared" si="40"/>
        <v>0.14285714285714285</v>
      </c>
      <c r="J881">
        <f t="shared" si="41"/>
        <v>185.71428571428569</v>
      </c>
      <c r="O881">
        <v>2954</v>
      </c>
      <c r="P881">
        <v>1000</v>
      </c>
    </row>
    <row r="882" spans="1:16" ht="15" customHeight="1" x14ac:dyDescent="0.2">
      <c r="A882" s="4">
        <v>2776</v>
      </c>
      <c r="B882" s="2" t="s">
        <v>146</v>
      </c>
      <c r="C882" s="2" t="s">
        <v>25</v>
      </c>
      <c r="D882" s="2" t="s">
        <v>210</v>
      </c>
      <c r="F882" s="3">
        <v>41957</v>
      </c>
      <c r="G882" s="4">
        <v>1014001</v>
      </c>
      <c r="H882">
        <f t="shared" si="39"/>
        <v>1300</v>
      </c>
      <c r="I882">
        <f t="shared" si="40"/>
        <v>0.14285714285714285</v>
      </c>
      <c r="J882">
        <f t="shared" si="41"/>
        <v>185.71428571428569</v>
      </c>
      <c r="O882">
        <v>2955</v>
      </c>
      <c r="P882">
        <v>1000</v>
      </c>
    </row>
    <row r="883" spans="1:16" ht="15" customHeight="1" x14ac:dyDescent="0.2">
      <c r="A883" s="4">
        <v>2777</v>
      </c>
      <c r="B883" s="2" t="s">
        <v>146</v>
      </c>
      <c r="C883" s="2" t="s">
        <v>25</v>
      </c>
      <c r="D883" s="2" t="s">
        <v>211</v>
      </c>
      <c r="F883" s="3">
        <v>41960</v>
      </c>
      <c r="G883" s="4">
        <v>66011000</v>
      </c>
      <c r="H883">
        <f t="shared" si="39"/>
        <v>1300</v>
      </c>
      <c r="I883">
        <f t="shared" si="40"/>
        <v>0.14285714285714285</v>
      </c>
      <c r="J883">
        <f t="shared" si="41"/>
        <v>185.71428571428569</v>
      </c>
      <c r="O883">
        <v>2959</v>
      </c>
      <c r="P883">
        <v>2200</v>
      </c>
    </row>
    <row r="884" spans="1:16" ht="15" customHeight="1" x14ac:dyDescent="0.2">
      <c r="A884" s="4">
        <v>2778</v>
      </c>
      <c r="B884" s="2" t="s">
        <v>146</v>
      </c>
      <c r="C884" s="2" t="s">
        <v>25</v>
      </c>
      <c r="D884" s="2" t="s">
        <v>210</v>
      </c>
      <c r="F884" s="3">
        <v>41960</v>
      </c>
      <c r="G884" s="4">
        <v>1014001</v>
      </c>
      <c r="H884">
        <f t="shared" si="39"/>
        <v>1300</v>
      </c>
      <c r="I884">
        <f t="shared" si="40"/>
        <v>0.14285714285714285</v>
      </c>
      <c r="J884">
        <f t="shared" si="41"/>
        <v>185.71428571428569</v>
      </c>
      <c r="O884">
        <v>2965</v>
      </c>
      <c r="P884">
        <v>36</v>
      </c>
    </row>
    <row r="885" spans="1:16" ht="15" customHeight="1" x14ac:dyDescent="0.2">
      <c r="A885" s="4">
        <v>2781</v>
      </c>
      <c r="B885" s="2" t="s">
        <v>100</v>
      </c>
      <c r="C885" s="2" t="s">
        <v>25</v>
      </c>
      <c r="D885" s="2" t="s">
        <v>10</v>
      </c>
      <c r="F885" s="3">
        <v>41960</v>
      </c>
      <c r="G885" s="4">
        <v>165001000</v>
      </c>
      <c r="H885">
        <f t="shared" si="39"/>
        <v>24</v>
      </c>
      <c r="I885">
        <f t="shared" si="40"/>
        <v>0.14285714285714285</v>
      </c>
      <c r="J885">
        <f t="shared" si="41"/>
        <v>3.4285714285714284</v>
      </c>
      <c r="O885">
        <v>2966</v>
      </c>
      <c r="P885">
        <v>591.5</v>
      </c>
    </row>
    <row r="886" spans="1:16" ht="15" customHeight="1" x14ac:dyDescent="0.2">
      <c r="A886" s="4">
        <v>2785</v>
      </c>
      <c r="B886" s="2" t="s">
        <v>100</v>
      </c>
      <c r="C886" s="2" t="s">
        <v>25</v>
      </c>
      <c r="D886" s="2" t="s">
        <v>10</v>
      </c>
      <c r="E886" s="2">
        <v>111111</v>
      </c>
      <c r="F886" s="3">
        <v>41961</v>
      </c>
      <c r="G886" s="4">
        <v>1406010000</v>
      </c>
      <c r="H886">
        <f t="shared" si="39"/>
        <v>24</v>
      </c>
      <c r="I886">
        <f t="shared" si="40"/>
        <v>0.14285714285714285</v>
      </c>
      <c r="J886">
        <f t="shared" si="41"/>
        <v>3.4285714285714284</v>
      </c>
      <c r="O886">
        <v>2969</v>
      </c>
      <c r="P886">
        <v>2200</v>
      </c>
    </row>
    <row r="887" spans="1:16" ht="15" customHeight="1" x14ac:dyDescent="0.2">
      <c r="A887" s="4">
        <v>2786</v>
      </c>
      <c r="B887" s="2" t="s">
        <v>212</v>
      </c>
      <c r="C887" s="2" t="s">
        <v>159</v>
      </c>
      <c r="D887" s="2">
        <v>90</v>
      </c>
      <c r="F887" s="3">
        <v>41960</v>
      </c>
      <c r="G887" s="4">
        <v>1014002</v>
      </c>
      <c r="H887">
        <f t="shared" si="39"/>
        <v>24</v>
      </c>
      <c r="I887">
        <f t="shared" si="40"/>
        <v>0.14285714285714285</v>
      </c>
      <c r="J887">
        <f t="shared" si="41"/>
        <v>3.4285714285714284</v>
      </c>
      <c r="O887">
        <v>2970</v>
      </c>
      <c r="P887">
        <v>3400</v>
      </c>
    </row>
    <row r="888" spans="1:16" ht="15" customHeight="1" x14ac:dyDescent="0.2">
      <c r="A888" s="4">
        <v>2788</v>
      </c>
      <c r="B888" s="2" t="s">
        <v>213</v>
      </c>
      <c r="C888" s="2" t="s">
        <v>187</v>
      </c>
      <c r="D888" s="2" t="s">
        <v>10</v>
      </c>
      <c r="F888" s="3">
        <v>41976</v>
      </c>
      <c r="G888" s="4">
        <v>2905001000</v>
      </c>
      <c r="H888">
        <f t="shared" si="39"/>
        <v>591.5</v>
      </c>
      <c r="I888">
        <f t="shared" si="40"/>
        <v>0.14285714285714285</v>
      </c>
      <c r="J888">
        <f t="shared" si="41"/>
        <v>84.5</v>
      </c>
      <c r="O888">
        <v>2975</v>
      </c>
      <c r="P888">
        <v>0</v>
      </c>
    </row>
    <row r="889" spans="1:16" ht="26.1" customHeight="1" x14ac:dyDescent="0.2">
      <c r="A889" s="4">
        <v>2789</v>
      </c>
      <c r="B889" s="2" t="s">
        <v>82</v>
      </c>
      <c r="C889" s="2" t="s">
        <v>80</v>
      </c>
      <c r="D889" s="2" t="s">
        <v>83</v>
      </c>
      <c r="E889" s="2">
        <v>12345678</v>
      </c>
      <c r="F889" s="3">
        <v>41988</v>
      </c>
      <c r="G889" s="4">
        <v>3042135001</v>
      </c>
      <c r="H889">
        <f t="shared" si="39"/>
        <v>591.5</v>
      </c>
      <c r="I889">
        <f t="shared" si="40"/>
        <v>0.14285714285714285</v>
      </c>
      <c r="J889">
        <f t="shared" si="41"/>
        <v>84.5</v>
      </c>
      <c r="O889">
        <v>2977</v>
      </c>
      <c r="P889">
        <v>0</v>
      </c>
    </row>
    <row r="890" spans="1:16" ht="26.1" customHeight="1" x14ac:dyDescent="0.2">
      <c r="A890" s="4">
        <v>2790</v>
      </c>
      <c r="B890" s="2" t="s">
        <v>123</v>
      </c>
      <c r="C890" s="2" t="s">
        <v>187</v>
      </c>
      <c r="D890" s="2" t="s">
        <v>196</v>
      </c>
      <c r="F890" s="3">
        <v>42012</v>
      </c>
      <c r="G890" s="4">
        <v>66011000</v>
      </c>
      <c r="H890">
        <f t="shared" si="39"/>
        <v>3400</v>
      </c>
      <c r="I890">
        <f t="shared" si="40"/>
        <v>0.5714285714285714</v>
      </c>
      <c r="J890">
        <f t="shared" si="41"/>
        <v>1942.8571428571427</v>
      </c>
      <c r="O890">
        <v>2978</v>
      </c>
      <c r="P890">
        <v>0</v>
      </c>
    </row>
    <row r="891" spans="1:16" ht="26.1" customHeight="1" x14ac:dyDescent="0.2">
      <c r="A891" s="4">
        <v>2791</v>
      </c>
      <c r="B891" s="2" t="s">
        <v>106</v>
      </c>
      <c r="C891" s="2" t="s">
        <v>187</v>
      </c>
      <c r="D891" s="2" t="s">
        <v>214</v>
      </c>
      <c r="F891" s="3">
        <v>42013</v>
      </c>
      <c r="G891" s="4">
        <v>43001000</v>
      </c>
      <c r="H891">
        <f t="shared" si="39"/>
        <v>3600</v>
      </c>
      <c r="I891">
        <f t="shared" si="40"/>
        <v>0.5714285714285714</v>
      </c>
      <c r="J891">
        <f t="shared" si="41"/>
        <v>2057.1428571428569</v>
      </c>
      <c r="O891">
        <v>2979</v>
      </c>
      <c r="P891">
        <v>36</v>
      </c>
    </row>
    <row r="892" spans="1:16" ht="26.1" customHeight="1" x14ac:dyDescent="0.2">
      <c r="A892" s="4">
        <v>2793</v>
      </c>
      <c r="B892" s="2" t="s">
        <v>82</v>
      </c>
      <c r="C892" s="2" t="s">
        <v>80</v>
      </c>
      <c r="D892" s="2" t="s">
        <v>83</v>
      </c>
      <c r="E892" s="2">
        <v>365734122</v>
      </c>
      <c r="F892" s="3">
        <v>42045</v>
      </c>
      <c r="G892" s="4">
        <v>1925001000</v>
      </c>
      <c r="H892">
        <f t="shared" si="39"/>
        <v>3600</v>
      </c>
      <c r="I892">
        <f t="shared" si="40"/>
        <v>0.5714285714285714</v>
      </c>
      <c r="J892">
        <f t="shared" si="41"/>
        <v>2057.1428571428569</v>
      </c>
      <c r="O892">
        <v>2981</v>
      </c>
      <c r="P892">
        <v>3400</v>
      </c>
    </row>
    <row r="893" spans="1:16" ht="26.1" customHeight="1" x14ac:dyDescent="0.2">
      <c r="A893" s="4">
        <v>2794</v>
      </c>
      <c r="B893" s="2" t="s">
        <v>158</v>
      </c>
      <c r="C893" s="2" t="s">
        <v>159</v>
      </c>
      <c r="D893" s="2">
        <v>90</v>
      </c>
      <c r="E893" s="2" t="s">
        <v>215</v>
      </c>
      <c r="F893" s="3">
        <v>42101</v>
      </c>
      <c r="G893" s="4">
        <v>2905001000</v>
      </c>
      <c r="H893">
        <f t="shared" si="39"/>
        <v>3600</v>
      </c>
      <c r="I893">
        <f t="shared" si="40"/>
        <v>0.5714285714285714</v>
      </c>
      <c r="J893">
        <f t="shared" si="41"/>
        <v>2057.1428571428569</v>
      </c>
      <c r="O893">
        <v>2986</v>
      </c>
      <c r="P893">
        <v>3600</v>
      </c>
    </row>
    <row r="894" spans="1:16" ht="15" customHeight="1" x14ac:dyDescent="0.2">
      <c r="A894" s="4">
        <v>2795</v>
      </c>
      <c r="B894" s="2" t="s">
        <v>216</v>
      </c>
      <c r="C894" s="2" t="s">
        <v>159</v>
      </c>
      <c r="D894" s="2">
        <v>1000</v>
      </c>
      <c r="F894" s="3">
        <v>42107</v>
      </c>
      <c r="G894" s="4">
        <v>66011000</v>
      </c>
      <c r="H894">
        <f t="shared" si="39"/>
        <v>3600</v>
      </c>
      <c r="I894">
        <f t="shared" si="40"/>
        <v>0.5714285714285714</v>
      </c>
      <c r="J894">
        <f t="shared" si="41"/>
        <v>2057.1428571428569</v>
      </c>
      <c r="O894">
        <v>2988</v>
      </c>
      <c r="P894">
        <v>1000</v>
      </c>
    </row>
    <row r="895" spans="1:16" ht="15" customHeight="1" x14ac:dyDescent="0.2">
      <c r="A895" s="4">
        <v>2796</v>
      </c>
      <c r="B895" s="2" t="s">
        <v>128</v>
      </c>
      <c r="C895" s="2" t="s">
        <v>69</v>
      </c>
      <c r="F895" s="3">
        <v>42107</v>
      </c>
      <c r="G895" s="4">
        <v>2814003000</v>
      </c>
      <c r="H895">
        <f t="shared" si="39"/>
        <v>0</v>
      </c>
      <c r="I895">
        <f t="shared" si="40"/>
        <v>0.5714285714285714</v>
      </c>
      <c r="J895">
        <f t="shared" si="41"/>
        <v>0</v>
      </c>
      <c r="O895">
        <v>2989</v>
      </c>
      <c r="P895">
        <v>1000</v>
      </c>
    </row>
    <row r="896" spans="1:16" ht="15" customHeight="1" x14ac:dyDescent="0.2">
      <c r="A896" s="4">
        <v>2798</v>
      </c>
      <c r="B896" s="2" t="s">
        <v>65</v>
      </c>
      <c r="C896" s="2" t="s">
        <v>190</v>
      </c>
      <c r="D896" s="2" t="s">
        <v>198</v>
      </c>
      <c r="F896" s="3">
        <v>42131</v>
      </c>
      <c r="G896" s="4">
        <v>153002000</v>
      </c>
      <c r="H896">
        <f t="shared" si="39"/>
        <v>0</v>
      </c>
      <c r="I896">
        <f t="shared" si="40"/>
        <v>0.5714285714285714</v>
      </c>
      <c r="J896">
        <f t="shared" si="41"/>
        <v>0</v>
      </c>
      <c r="O896">
        <v>2990</v>
      </c>
      <c r="P896">
        <v>767</v>
      </c>
    </row>
    <row r="897" spans="1:16" ht="15" customHeight="1" x14ac:dyDescent="0.2">
      <c r="A897" s="4">
        <v>2803</v>
      </c>
      <c r="B897" s="2" t="s">
        <v>13</v>
      </c>
      <c r="C897" s="2" t="s">
        <v>187</v>
      </c>
      <c r="D897" s="2" t="s">
        <v>217</v>
      </c>
      <c r="F897" s="3">
        <v>41792</v>
      </c>
      <c r="G897" s="4">
        <v>165001000</v>
      </c>
      <c r="H897">
        <f t="shared" si="39"/>
        <v>1200</v>
      </c>
      <c r="I897">
        <f t="shared" si="40"/>
        <v>3.4285714285714284</v>
      </c>
      <c r="J897">
        <f t="shared" si="41"/>
        <v>4114.2857142857138</v>
      </c>
      <c r="O897">
        <v>2993</v>
      </c>
      <c r="P897">
        <v>1200</v>
      </c>
    </row>
    <row r="898" spans="1:16" ht="15" customHeight="1" x14ac:dyDescent="0.2">
      <c r="A898" s="4">
        <v>2804</v>
      </c>
      <c r="B898" s="2" t="s">
        <v>13</v>
      </c>
      <c r="C898" s="2" t="s">
        <v>187</v>
      </c>
      <c r="D898" s="2" t="s">
        <v>218</v>
      </c>
      <c r="F898" s="3">
        <v>42157</v>
      </c>
      <c r="G898" s="4">
        <v>66011000</v>
      </c>
      <c r="H898">
        <f t="shared" ref="H898:H961" si="42">VLOOKUP(A898,O:P,2)</f>
        <v>1500</v>
      </c>
      <c r="I898">
        <f t="shared" ref="I898:I961" si="43">VLOOKUP(A898,R:S,2)</f>
        <v>0.14285714285714285</v>
      </c>
      <c r="J898">
        <f t="shared" ref="J898:J961" si="44">H898*I898</f>
        <v>214.28571428571428</v>
      </c>
      <c r="O898">
        <v>2994</v>
      </c>
      <c r="P898">
        <v>0</v>
      </c>
    </row>
    <row r="899" spans="1:16" ht="15" customHeight="1" x14ac:dyDescent="0.2">
      <c r="A899" s="4">
        <v>2805</v>
      </c>
      <c r="B899" s="2" t="s">
        <v>13</v>
      </c>
      <c r="C899" s="2" t="s">
        <v>187</v>
      </c>
      <c r="D899" s="2" t="s">
        <v>218</v>
      </c>
      <c r="F899" s="3">
        <v>42157</v>
      </c>
      <c r="G899" s="4">
        <v>1014002</v>
      </c>
      <c r="H899">
        <f t="shared" si="42"/>
        <v>1500</v>
      </c>
      <c r="I899">
        <f t="shared" si="43"/>
        <v>3.7142857142857144</v>
      </c>
      <c r="J899">
        <f t="shared" si="44"/>
        <v>5571.4285714285716</v>
      </c>
      <c r="O899">
        <v>3000</v>
      </c>
      <c r="P899">
        <v>1000</v>
      </c>
    </row>
    <row r="900" spans="1:16" ht="15" customHeight="1" x14ac:dyDescent="0.2">
      <c r="A900" s="4">
        <v>2812</v>
      </c>
      <c r="B900" s="2" t="s">
        <v>219</v>
      </c>
      <c r="C900" s="2" t="s">
        <v>187</v>
      </c>
      <c r="D900" s="2" t="s">
        <v>220</v>
      </c>
      <c r="F900" s="3">
        <v>42173</v>
      </c>
      <c r="G900" s="4">
        <v>3135001000</v>
      </c>
      <c r="H900">
        <f t="shared" si="42"/>
        <v>0</v>
      </c>
      <c r="I900">
        <f t="shared" si="43"/>
        <v>3</v>
      </c>
      <c r="J900">
        <f t="shared" si="44"/>
        <v>0</v>
      </c>
      <c r="O900">
        <v>3016</v>
      </c>
      <c r="P900">
        <v>1700</v>
      </c>
    </row>
    <row r="901" spans="1:16" ht="15" customHeight="1" x14ac:dyDescent="0.2">
      <c r="A901" s="4">
        <v>2817</v>
      </c>
      <c r="B901" s="2" t="s">
        <v>7</v>
      </c>
      <c r="C901" s="2" t="s">
        <v>8</v>
      </c>
      <c r="D901" s="2" t="s">
        <v>9</v>
      </c>
      <c r="F901" s="3">
        <v>42192</v>
      </c>
      <c r="G901" s="4">
        <v>43006000</v>
      </c>
      <c r="H901">
        <f t="shared" si="42"/>
        <v>309.5</v>
      </c>
      <c r="I901">
        <f t="shared" si="43"/>
        <v>0.5714285714285714</v>
      </c>
      <c r="J901">
        <f t="shared" si="44"/>
        <v>176.85714285714286</v>
      </c>
      <c r="O901">
        <v>3017</v>
      </c>
      <c r="P901">
        <v>309.5</v>
      </c>
    </row>
    <row r="902" spans="1:16" ht="15" customHeight="1" x14ac:dyDescent="0.2">
      <c r="A902" s="4">
        <v>2819</v>
      </c>
      <c r="B902" s="2" t="s">
        <v>79</v>
      </c>
      <c r="C902" s="2" t="s">
        <v>80</v>
      </c>
      <c r="D902" s="2" t="s">
        <v>197</v>
      </c>
      <c r="E902" s="2" t="s">
        <v>221</v>
      </c>
      <c r="F902" s="3">
        <v>42208</v>
      </c>
      <c r="G902" s="4">
        <v>1014002</v>
      </c>
      <c r="H902">
        <f t="shared" si="42"/>
        <v>309.5</v>
      </c>
      <c r="I902">
        <f t="shared" si="43"/>
        <v>0.5714285714285714</v>
      </c>
      <c r="J902">
        <f t="shared" si="44"/>
        <v>176.85714285714286</v>
      </c>
      <c r="O902">
        <v>3020</v>
      </c>
      <c r="P902">
        <v>1000</v>
      </c>
    </row>
    <row r="903" spans="1:16" ht="15" customHeight="1" x14ac:dyDescent="0.2">
      <c r="A903" s="4">
        <v>2820</v>
      </c>
      <c r="B903" s="2" t="s">
        <v>7</v>
      </c>
      <c r="C903" s="2" t="s">
        <v>12</v>
      </c>
      <c r="D903" s="2" t="s">
        <v>10</v>
      </c>
      <c r="F903" s="3">
        <v>42215</v>
      </c>
      <c r="G903" s="4">
        <v>1014001</v>
      </c>
      <c r="H903">
        <f t="shared" si="42"/>
        <v>1154</v>
      </c>
      <c r="I903">
        <f t="shared" si="43"/>
        <v>0.26666666666666666</v>
      </c>
      <c r="J903">
        <f t="shared" si="44"/>
        <v>307.73333333333335</v>
      </c>
      <c r="O903">
        <v>3021</v>
      </c>
      <c r="P903">
        <v>1000</v>
      </c>
    </row>
    <row r="904" spans="1:16" ht="15" customHeight="1" x14ac:dyDescent="0.2">
      <c r="A904" s="4">
        <v>2821</v>
      </c>
      <c r="B904" s="2" t="s">
        <v>222</v>
      </c>
      <c r="C904" s="2" t="s">
        <v>187</v>
      </c>
      <c r="D904" s="2" t="s">
        <v>223</v>
      </c>
      <c r="F904" s="3">
        <v>42262</v>
      </c>
      <c r="G904" s="4">
        <v>43006000</v>
      </c>
      <c r="H904">
        <f t="shared" si="42"/>
        <v>3600</v>
      </c>
      <c r="I904">
        <f t="shared" si="43"/>
        <v>0.5714285714285714</v>
      </c>
      <c r="J904">
        <f t="shared" si="44"/>
        <v>2057.1428571428569</v>
      </c>
      <c r="O904">
        <v>3022</v>
      </c>
      <c r="P904">
        <v>1000</v>
      </c>
    </row>
    <row r="905" spans="1:16" ht="26.1" customHeight="1" x14ac:dyDescent="0.2">
      <c r="A905" s="4">
        <v>2822</v>
      </c>
      <c r="B905" s="2" t="s">
        <v>11</v>
      </c>
      <c r="C905" s="2" t="s">
        <v>8</v>
      </c>
      <c r="D905" s="2" t="s">
        <v>9</v>
      </c>
      <c r="F905" s="3">
        <v>42298</v>
      </c>
      <c r="G905" s="4">
        <v>1176003000</v>
      </c>
      <c r="H905">
        <f t="shared" si="42"/>
        <v>309.5</v>
      </c>
      <c r="I905">
        <f t="shared" si="43"/>
        <v>1.6666666666666666E-2</v>
      </c>
      <c r="J905">
        <f t="shared" si="44"/>
        <v>5.1583333333333332</v>
      </c>
      <c r="O905">
        <v>3023</v>
      </c>
      <c r="P905">
        <v>1000</v>
      </c>
    </row>
    <row r="906" spans="1:16" ht="15" customHeight="1" x14ac:dyDescent="0.2">
      <c r="A906" s="4">
        <v>2825</v>
      </c>
      <c r="B906" s="2" t="s">
        <v>100</v>
      </c>
      <c r="C906" s="2" t="s">
        <v>159</v>
      </c>
      <c r="F906" s="3">
        <v>42303</v>
      </c>
      <c r="G906" s="4">
        <v>3154002000</v>
      </c>
      <c r="H906">
        <f t="shared" si="42"/>
        <v>24</v>
      </c>
      <c r="I906">
        <f t="shared" si="43"/>
        <v>1.6666666666666666E-2</v>
      </c>
      <c r="J906">
        <f t="shared" si="44"/>
        <v>0.4</v>
      </c>
      <c r="O906">
        <v>3024</v>
      </c>
      <c r="P906">
        <v>1000</v>
      </c>
    </row>
    <row r="907" spans="1:16" ht="15" customHeight="1" x14ac:dyDescent="0.2">
      <c r="A907" s="4">
        <v>2826</v>
      </c>
      <c r="B907" s="2" t="s">
        <v>216</v>
      </c>
      <c r="C907" s="2" t="s">
        <v>159</v>
      </c>
      <c r="D907" s="2">
        <v>1000</v>
      </c>
      <c r="F907" s="3">
        <v>42303</v>
      </c>
      <c r="G907" s="4">
        <v>1014001</v>
      </c>
      <c r="H907">
        <f t="shared" si="42"/>
        <v>24</v>
      </c>
      <c r="I907">
        <f t="shared" si="43"/>
        <v>1.6666666666666666E-2</v>
      </c>
      <c r="J907">
        <f t="shared" si="44"/>
        <v>0.4</v>
      </c>
      <c r="O907">
        <v>3025</v>
      </c>
      <c r="P907">
        <v>1000</v>
      </c>
    </row>
    <row r="908" spans="1:16" ht="15" customHeight="1" x14ac:dyDescent="0.2">
      <c r="A908" s="4">
        <v>2832</v>
      </c>
      <c r="B908" s="2" t="s">
        <v>128</v>
      </c>
      <c r="C908" s="2" t="s">
        <v>69</v>
      </c>
      <c r="D908" s="2" t="s">
        <v>10</v>
      </c>
      <c r="F908" s="3">
        <v>42376</v>
      </c>
      <c r="G908" s="4">
        <v>153002000</v>
      </c>
      <c r="H908">
        <f t="shared" si="42"/>
        <v>24</v>
      </c>
      <c r="I908">
        <f t="shared" si="43"/>
        <v>1.6666666666666666E-2</v>
      </c>
      <c r="J908">
        <f t="shared" si="44"/>
        <v>0.4</v>
      </c>
      <c r="O908">
        <v>3036</v>
      </c>
      <c r="P908">
        <v>2200</v>
      </c>
    </row>
    <row r="909" spans="1:16" ht="39.200000000000003" customHeight="1" x14ac:dyDescent="0.2">
      <c r="A909" s="4">
        <v>2833</v>
      </c>
      <c r="B909" s="2" t="s">
        <v>13</v>
      </c>
      <c r="C909" s="2" t="s">
        <v>69</v>
      </c>
      <c r="D909" s="2" t="s">
        <v>10</v>
      </c>
      <c r="E909" s="2">
        <v>2015071000750</v>
      </c>
      <c r="F909" s="3">
        <v>42461</v>
      </c>
      <c r="G909" s="4">
        <v>1014001</v>
      </c>
      <c r="H909">
        <f t="shared" si="42"/>
        <v>24</v>
      </c>
      <c r="I909">
        <f t="shared" si="43"/>
        <v>1.6666666666666666E-2</v>
      </c>
      <c r="J909">
        <f t="shared" si="44"/>
        <v>0.4</v>
      </c>
      <c r="O909">
        <v>3037</v>
      </c>
      <c r="P909">
        <v>2200</v>
      </c>
    </row>
    <row r="910" spans="1:16" ht="15" customHeight="1" x14ac:dyDescent="0.2">
      <c r="A910" s="4">
        <v>2834</v>
      </c>
      <c r="B910" s="2" t="s">
        <v>13</v>
      </c>
      <c r="C910" s="2" t="s">
        <v>40</v>
      </c>
      <c r="D910" s="2" t="s">
        <v>224</v>
      </c>
      <c r="F910" s="3">
        <v>42492</v>
      </c>
      <c r="G910" s="4">
        <v>2126006000</v>
      </c>
      <c r="H910">
        <f t="shared" si="42"/>
        <v>1138.5</v>
      </c>
      <c r="I910">
        <f t="shared" si="43"/>
        <v>2</v>
      </c>
      <c r="J910">
        <f t="shared" si="44"/>
        <v>2277</v>
      </c>
      <c r="O910">
        <v>3038</v>
      </c>
      <c r="P910">
        <v>2200</v>
      </c>
    </row>
    <row r="911" spans="1:16" ht="26.1" customHeight="1" x14ac:dyDescent="0.2">
      <c r="A911" s="4">
        <v>2836</v>
      </c>
      <c r="B911" s="2" t="s">
        <v>106</v>
      </c>
      <c r="C911" s="2" t="s">
        <v>187</v>
      </c>
      <c r="F911" s="3">
        <v>42517</v>
      </c>
      <c r="G911" s="4">
        <v>1000002</v>
      </c>
      <c r="H911">
        <f t="shared" si="42"/>
        <v>591.5</v>
      </c>
      <c r="I911">
        <f t="shared" si="43"/>
        <v>2</v>
      </c>
      <c r="J911">
        <f t="shared" si="44"/>
        <v>1183</v>
      </c>
      <c r="O911">
        <v>3040</v>
      </c>
      <c r="P911">
        <v>1199.5</v>
      </c>
    </row>
    <row r="912" spans="1:16" ht="15" customHeight="1" x14ac:dyDescent="0.2">
      <c r="A912" s="4">
        <v>2845</v>
      </c>
      <c r="B912" s="2" t="s">
        <v>13</v>
      </c>
      <c r="C912" s="2" t="s">
        <v>8</v>
      </c>
      <c r="D912" s="2" t="s">
        <v>156</v>
      </c>
      <c r="E912" s="2">
        <v>7954</v>
      </c>
      <c r="F912" s="3">
        <v>42534</v>
      </c>
      <c r="G912" s="4">
        <v>2762002000</v>
      </c>
      <c r="H912">
        <f t="shared" si="42"/>
        <v>1000</v>
      </c>
      <c r="I912">
        <f t="shared" si="43"/>
        <v>0.14285714285714285</v>
      </c>
      <c r="J912">
        <f t="shared" si="44"/>
        <v>142.85714285714286</v>
      </c>
      <c r="O912">
        <v>3041</v>
      </c>
      <c r="P912">
        <v>1199.5</v>
      </c>
    </row>
    <row r="913" spans="1:16" ht="15" customHeight="1" x14ac:dyDescent="0.2">
      <c r="A913" s="4">
        <v>2846</v>
      </c>
      <c r="B913" s="2" t="s">
        <v>13</v>
      </c>
      <c r="C913" s="2" t="s">
        <v>8</v>
      </c>
      <c r="D913" s="2" t="s">
        <v>156</v>
      </c>
      <c r="E913" s="2">
        <v>7943</v>
      </c>
      <c r="F913" s="3">
        <v>42534</v>
      </c>
      <c r="G913" s="4">
        <v>1068001000</v>
      </c>
      <c r="H913">
        <f t="shared" si="42"/>
        <v>1000</v>
      </c>
      <c r="I913">
        <f t="shared" si="43"/>
        <v>0.42857142857142855</v>
      </c>
      <c r="J913">
        <f t="shared" si="44"/>
        <v>428.57142857142856</v>
      </c>
      <c r="O913">
        <v>3042</v>
      </c>
      <c r="P913">
        <v>1199.5</v>
      </c>
    </row>
    <row r="914" spans="1:16" ht="26.1" customHeight="1" x14ac:dyDescent="0.2">
      <c r="A914" s="4">
        <v>2847</v>
      </c>
      <c r="B914" s="2" t="s">
        <v>82</v>
      </c>
      <c r="C914" s="2" t="s">
        <v>80</v>
      </c>
      <c r="D914" s="2" t="s">
        <v>10</v>
      </c>
      <c r="E914" s="2">
        <v>111111111</v>
      </c>
      <c r="F914" s="3">
        <v>42563</v>
      </c>
      <c r="G914" s="4">
        <v>3300200000</v>
      </c>
      <c r="H914">
        <f t="shared" si="42"/>
        <v>1000</v>
      </c>
      <c r="I914">
        <f t="shared" si="43"/>
        <v>0.42857142857142855</v>
      </c>
      <c r="J914">
        <f t="shared" si="44"/>
        <v>428.57142857142856</v>
      </c>
      <c r="O914">
        <v>3043</v>
      </c>
      <c r="P914">
        <v>1199.5</v>
      </c>
    </row>
    <row r="915" spans="1:16" ht="15" customHeight="1" x14ac:dyDescent="0.2">
      <c r="A915" s="4">
        <v>2848</v>
      </c>
      <c r="B915" s="2" t="s">
        <v>13</v>
      </c>
      <c r="C915" s="2" t="s">
        <v>169</v>
      </c>
      <c r="D915" s="2" t="s">
        <v>170</v>
      </c>
      <c r="E915" s="2">
        <v>7899</v>
      </c>
      <c r="F915" s="3">
        <v>42564</v>
      </c>
      <c r="G915" s="4">
        <v>157002000</v>
      </c>
      <c r="H915">
        <f t="shared" si="42"/>
        <v>1000</v>
      </c>
      <c r="I915">
        <f t="shared" si="43"/>
        <v>0.66666666666666663</v>
      </c>
      <c r="J915">
        <f t="shared" si="44"/>
        <v>666.66666666666663</v>
      </c>
      <c r="O915">
        <v>3044</v>
      </c>
      <c r="P915">
        <v>3600</v>
      </c>
    </row>
    <row r="916" spans="1:16" ht="15" customHeight="1" x14ac:dyDescent="0.2">
      <c r="A916" s="4">
        <v>2849</v>
      </c>
      <c r="B916" s="2" t="s">
        <v>13</v>
      </c>
      <c r="C916" s="2" t="s">
        <v>169</v>
      </c>
      <c r="D916" s="2" t="s">
        <v>170</v>
      </c>
      <c r="E916" s="2">
        <v>7929</v>
      </c>
      <c r="F916" s="3">
        <v>42564</v>
      </c>
      <c r="G916" s="4">
        <v>1000002</v>
      </c>
      <c r="H916">
        <f t="shared" si="42"/>
        <v>1000</v>
      </c>
      <c r="I916">
        <f t="shared" si="43"/>
        <v>0.66666666666666663</v>
      </c>
      <c r="J916">
        <f t="shared" si="44"/>
        <v>666.66666666666663</v>
      </c>
      <c r="O916">
        <v>3045</v>
      </c>
      <c r="P916">
        <v>1000</v>
      </c>
    </row>
    <row r="917" spans="1:16" ht="15" customHeight="1" x14ac:dyDescent="0.2">
      <c r="A917" s="4">
        <v>2850</v>
      </c>
      <c r="B917" s="2" t="s">
        <v>13</v>
      </c>
      <c r="C917" s="2" t="s">
        <v>169</v>
      </c>
      <c r="D917" s="2" t="s">
        <v>170</v>
      </c>
      <c r="E917" s="2">
        <v>7898</v>
      </c>
      <c r="F917" s="3">
        <v>42564</v>
      </c>
      <c r="G917" s="4">
        <v>157001000</v>
      </c>
      <c r="H917">
        <f t="shared" si="42"/>
        <v>1000</v>
      </c>
      <c r="I917">
        <f t="shared" si="43"/>
        <v>0.66666666666666663</v>
      </c>
      <c r="J917">
        <f t="shared" si="44"/>
        <v>666.66666666666663</v>
      </c>
      <c r="O917">
        <v>3046</v>
      </c>
      <c r="P917">
        <v>1000</v>
      </c>
    </row>
    <row r="918" spans="1:16" ht="15" customHeight="1" x14ac:dyDescent="0.2">
      <c r="A918" s="4">
        <v>2851</v>
      </c>
      <c r="B918" s="2" t="s">
        <v>79</v>
      </c>
      <c r="C918" s="2" t="s">
        <v>80</v>
      </c>
      <c r="D918" s="2" t="s">
        <v>197</v>
      </c>
      <c r="F918" s="3">
        <v>42605</v>
      </c>
      <c r="G918" s="4">
        <v>2514001000</v>
      </c>
      <c r="H918">
        <f t="shared" si="42"/>
        <v>1000</v>
      </c>
      <c r="I918">
        <f t="shared" si="43"/>
        <v>0.66666666666666663</v>
      </c>
      <c r="J918">
        <f t="shared" si="44"/>
        <v>666.66666666666663</v>
      </c>
      <c r="O918">
        <v>3047</v>
      </c>
      <c r="P918">
        <v>1000</v>
      </c>
    </row>
    <row r="919" spans="1:16" ht="15" customHeight="1" x14ac:dyDescent="0.2">
      <c r="A919" s="4">
        <v>2852</v>
      </c>
      <c r="B919" s="2" t="s">
        <v>79</v>
      </c>
      <c r="C919" s="2" t="s">
        <v>80</v>
      </c>
      <c r="D919" s="2" t="s">
        <v>220</v>
      </c>
      <c r="F919" s="3">
        <v>42605</v>
      </c>
      <c r="G919" s="4">
        <v>2514002000</v>
      </c>
      <c r="H919">
        <f t="shared" si="42"/>
        <v>1000</v>
      </c>
      <c r="I919">
        <f t="shared" si="43"/>
        <v>0.66666666666666663</v>
      </c>
      <c r="J919">
        <f t="shared" si="44"/>
        <v>666.66666666666663</v>
      </c>
      <c r="O919">
        <v>3052</v>
      </c>
      <c r="P919">
        <v>1700</v>
      </c>
    </row>
    <row r="920" spans="1:16" ht="15" customHeight="1" x14ac:dyDescent="0.2">
      <c r="A920" s="4">
        <v>2853</v>
      </c>
      <c r="B920" s="2" t="s">
        <v>128</v>
      </c>
      <c r="C920" s="2" t="s">
        <v>69</v>
      </c>
      <c r="D920" s="2" t="s">
        <v>10</v>
      </c>
      <c r="F920" s="3">
        <v>42610</v>
      </c>
      <c r="G920" s="4">
        <v>1014001</v>
      </c>
      <c r="H920">
        <f t="shared" si="42"/>
        <v>1000</v>
      </c>
      <c r="I920">
        <f t="shared" si="43"/>
        <v>0.66666666666666663</v>
      </c>
      <c r="J920">
        <f t="shared" si="44"/>
        <v>666.66666666666663</v>
      </c>
      <c r="O920">
        <v>3057</v>
      </c>
      <c r="P920">
        <v>1000</v>
      </c>
    </row>
    <row r="921" spans="1:16" ht="15" customHeight="1" x14ac:dyDescent="0.2">
      <c r="A921" s="4">
        <v>2854</v>
      </c>
      <c r="B921" s="2" t="s">
        <v>128</v>
      </c>
      <c r="C921" s="2" t="s">
        <v>69</v>
      </c>
      <c r="D921" s="2" t="s">
        <v>10</v>
      </c>
      <c r="F921" s="3">
        <v>42610</v>
      </c>
      <c r="G921" s="4">
        <v>1014001</v>
      </c>
      <c r="H921">
        <f t="shared" si="42"/>
        <v>1000</v>
      </c>
      <c r="I921">
        <f t="shared" si="43"/>
        <v>0.66666666666666663</v>
      </c>
      <c r="J921">
        <f t="shared" si="44"/>
        <v>666.66666666666663</v>
      </c>
      <c r="O921">
        <v>3058</v>
      </c>
      <c r="P921">
        <v>1000</v>
      </c>
    </row>
    <row r="922" spans="1:16" ht="15" customHeight="1" x14ac:dyDescent="0.2">
      <c r="A922" s="4">
        <v>2855</v>
      </c>
      <c r="B922" s="2" t="s">
        <v>128</v>
      </c>
      <c r="C922" s="2" t="s">
        <v>69</v>
      </c>
      <c r="D922" s="2" t="s">
        <v>10</v>
      </c>
      <c r="E922" s="2">
        <v>12345</v>
      </c>
      <c r="F922" s="3">
        <v>42608</v>
      </c>
      <c r="G922" s="4">
        <v>66011000</v>
      </c>
      <c r="H922">
        <f t="shared" si="42"/>
        <v>0</v>
      </c>
      <c r="I922">
        <f t="shared" si="43"/>
        <v>0.66666666666666663</v>
      </c>
      <c r="J922">
        <f t="shared" si="44"/>
        <v>0</v>
      </c>
      <c r="O922">
        <v>3059</v>
      </c>
      <c r="P922">
        <v>3600</v>
      </c>
    </row>
    <row r="923" spans="1:16" ht="15" customHeight="1" x14ac:dyDescent="0.2">
      <c r="A923" s="4">
        <v>2856</v>
      </c>
      <c r="B923" s="2" t="s">
        <v>128</v>
      </c>
      <c r="C923" s="2" t="s">
        <v>69</v>
      </c>
      <c r="D923" s="2" t="s">
        <v>10</v>
      </c>
      <c r="E923" s="2">
        <v>111111</v>
      </c>
      <c r="F923" s="3">
        <v>42608</v>
      </c>
      <c r="G923" s="4">
        <v>43001000</v>
      </c>
      <c r="H923">
        <f t="shared" si="42"/>
        <v>0</v>
      </c>
      <c r="I923">
        <f t="shared" si="43"/>
        <v>0.66666666666666663</v>
      </c>
      <c r="J923">
        <f t="shared" si="44"/>
        <v>0</v>
      </c>
      <c r="O923">
        <v>3061</v>
      </c>
      <c r="P923">
        <v>1000</v>
      </c>
    </row>
    <row r="924" spans="1:16" ht="15" customHeight="1" x14ac:dyDescent="0.2">
      <c r="A924" s="4">
        <v>2857</v>
      </c>
      <c r="B924" s="2" t="s">
        <v>13</v>
      </c>
      <c r="C924" s="2" t="s">
        <v>169</v>
      </c>
      <c r="D924" s="2" t="s">
        <v>170</v>
      </c>
      <c r="E924" s="2">
        <v>7930</v>
      </c>
      <c r="F924" s="3">
        <v>42611</v>
      </c>
      <c r="G924" s="4">
        <v>1685002000</v>
      </c>
      <c r="H924">
        <f t="shared" si="42"/>
        <v>1000</v>
      </c>
      <c r="I924">
        <f t="shared" si="43"/>
        <v>1.3333333333333333</v>
      </c>
      <c r="J924">
        <f t="shared" si="44"/>
        <v>1333.3333333333333</v>
      </c>
      <c r="O924">
        <v>3062</v>
      </c>
      <c r="P924">
        <v>1000</v>
      </c>
    </row>
    <row r="925" spans="1:16" ht="15" customHeight="1" x14ac:dyDescent="0.2">
      <c r="A925" s="4">
        <v>2863</v>
      </c>
      <c r="B925" s="2" t="s">
        <v>100</v>
      </c>
      <c r="C925" s="2" t="s">
        <v>187</v>
      </c>
      <c r="D925" s="2" t="s">
        <v>10</v>
      </c>
      <c r="E925" s="2">
        <v>1234</v>
      </c>
      <c r="F925" s="3">
        <v>42644</v>
      </c>
      <c r="G925" s="4">
        <v>1014001</v>
      </c>
      <c r="H925">
        <f t="shared" si="42"/>
        <v>24</v>
      </c>
      <c r="I925">
        <f t="shared" si="43"/>
        <v>4</v>
      </c>
      <c r="J925">
        <f t="shared" si="44"/>
        <v>96</v>
      </c>
      <c r="O925">
        <v>3063</v>
      </c>
      <c r="P925">
        <v>1000</v>
      </c>
    </row>
    <row r="926" spans="1:16" ht="15" customHeight="1" x14ac:dyDescent="0.2">
      <c r="A926" s="4">
        <v>2865</v>
      </c>
      <c r="B926" s="2" t="s">
        <v>146</v>
      </c>
      <c r="C926" s="2" t="s">
        <v>132</v>
      </c>
      <c r="D926" s="2" t="s">
        <v>147</v>
      </c>
      <c r="E926" s="2">
        <v>4153</v>
      </c>
      <c r="F926" s="3">
        <v>42615</v>
      </c>
      <c r="G926" s="4">
        <v>1014001</v>
      </c>
      <c r="H926">
        <f t="shared" si="42"/>
        <v>24</v>
      </c>
      <c r="I926">
        <f t="shared" si="43"/>
        <v>4</v>
      </c>
      <c r="J926">
        <f t="shared" si="44"/>
        <v>96</v>
      </c>
      <c r="O926">
        <v>3064</v>
      </c>
      <c r="P926">
        <v>1000</v>
      </c>
    </row>
    <row r="927" spans="1:16" ht="15" customHeight="1" x14ac:dyDescent="0.2">
      <c r="A927" s="4">
        <v>2866</v>
      </c>
      <c r="B927" s="2" t="s">
        <v>146</v>
      </c>
      <c r="C927" s="2" t="s">
        <v>132</v>
      </c>
      <c r="D927" s="2" t="s">
        <v>147</v>
      </c>
      <c r="E927" s="2">
        <v>4179</v>
      </c>
      <c r="F927" s="3">
        <v>42615</v>
      </c>
      <c r="G927" s="4">
        <v>3135001000</v>
      </c>
      <c r="H927">
        <f t="shared" si="42"/>
        <v>24</v>
      </c>
      <c r="I927">
        <f t="shared" si="43"/>
        <v>4</v>
      </c>
      <c r="J927">
        <f t="shared" si="44"/>
        <v>96</v>
      </c>
      <c r="O927">
        <v>3066</v>
      </c>
      <c r="P927">
        <v>3600</v>
      </c>
    </row>
    <row r="928" spans="1:16" ht="15" customHeight="1" x14ac:dyDescent="0.2">
      <c r="A928" s="4">
        <v>2867</v>
      </c>
      <c r="B928" s="2" t="s">
        <v>146</v>
      </c>
      <c r="C928" s="2" t="s">
        <v>132</v>
      </c>
      <c r="D928" s="2" t="s">
        <v>147</v>
      </c>
      <c r="E928" s="2">
        <v>4180</v>
      </c>
      <c r="F928" s="3">
        <v>42615</v>
      </c>
      <c r="G928" s="4">
        <v>1014001</v>
      </c>
      <c r="H928">
        <f t="shared" si="42"/>
        <v>24</v>
      </c>
      <c r="I928">
        <f t="shared" si="43"/>
        <v>4</v>
      </c>
      <c r="J928">
        <f t="shared" si="44"/>
        <v>96</v>
      </c>
      <c r="O928">
        <v>3069</v>
      </c>
      <c r="P928">
        <v>24</v>
      </c>
    </row>
    <row r="929" spans="1:16" ht="15" customHeight="1" x14ac:dyDescent="0.2">
      <c r="A929" s="4">
        <v>2869</v>
      </c>
      <c r="B929" s="2" t="s">
        <v>146</v>
      </c>
      <c r="C929" s="2" t="s">
        <v>132</v>
      </c>
      <c r="D929" s="2" t="s">
        <v>147</v>
      </c>
      <c r="E929" s="2">
        <v>4182</v>
      </c>
      <c r="F929" s="3">
        <v>42615</v>
      </c>
      <c r="G929" s="4">
        <v>1014001</v>
      </c>
      <c r="H929">
        <f t="shared" si="42"/>
        <v>24</v>
      </c>
      <c r="I929">
        <f t="shared" si="43"/>
        <v>4</v>
      </c>
      <c r="J929">
        <f t="shared" si="44"/>
        <v>96</v>
      </c>
      <c r="O929">
        <v>3071</v>
      </c>
      <c r="P929">
        <v>24</v>
      </c>
    </row>
    <row r="930" spans="1:16" ht="15" customHeight="1" x14ac:dyDescent="0.2">
      <c r="A930" s="4">
        <v>2870</v>
      </c>
      <c r="B930" s="2" t="s">
        <v>146</v>
      </c>
      <c r="C930" s="2" t="s">
        <v>132</v>
      </c>
      <c r="D930" s="2" t="s">
        <v>147</v>
      </c>
      <c r="E930" s="2">
        <v>4183</v>
      </c>
      <c r="F930" s="3">
        <v>42615</v>
      </c>
      <c r="G930" s="4">
        <v>1014001</v>
      </c>
      <c r="H930">
        <f t="shared" si="42"/>
        <v>24</v>
      </c>
      <c r="I930">
        <f t="shared" si="43"/>
        <v>4</v>
      </c>
      <c r="J930">
        <f t="shared" si="44"/>
        <v>96</v>
      </c>
      <c r="O930">
        <v>3075</v>
      </c>
      <c r="P930">
        <v>1500</v>
      </c>
    </row>
    <row r="931" spans="1:16" ht="15" customHeight="1" x14ac:dyDescent="0.2">
      <c r="A931" s="4">
        <v>2872</v>
      </c>
      <c r="B931" s="2" t="s">
        <v>100</v>
      </c>
      <c r="C931" s="2" t="s">
        <v>132</v>
      </c>
      <c r="F931" s="3">
        <v>42615</v>
      </c>
      <c r="G931" s="4">
        <v>3042058002</v>
      </c>
      <c r="H931">
        <f t="shared" si="42"/>
        <v>24</v>
      </c>
      <c r="I931">
        <f t="shared" si="43"/>
        <v>2</v>
      </c>
      <c r="J931">
        <f t="shared" si="44"/>
        <v>48</v>
      </c>
      <c r="O931">
        <v>3076</v>
      </c>
      <c r="P931">
        <v>2000</v>
      </c>
    </row>
    <row r="932" spans="1:16" ht="15" customHeight="1" x14ac:dyDescent="0.2">
      <c r="A932" s="4">
        <v>2874</v>
      </c>
      <c r="B932" s="2" t="s">
        <v>100</v>
      </c>
      <c r="C932" s="2" t="s">
        <v>132</v>
      </c>
      <c r="F932" s="3">
        <v>42615</v>
      </c>
      <c r="G932" s="4">
        <v>1014001</v>
      </c>
      <c r="H932">
        <f t="shared" si="42"/>
        <v>24</v>
      </c>
      <c r="I932">
        <f t="shared" si="43"/>
        <v>2</v>
      </c>
      <c r="J932">
        <f t="shared" si="44"/>
        <v>48</v>
      </c>
      <c r="O932">
        <v>3083</v>
      </c>
      <c r="P932">
        <v>24</v>
      </c>
    </row>
    <row r="933" spans="1:16" ht="15" customHeight="1" x14ac:dyDescent="0.2">
      <c r="A933" s="4">
        <v>2875</v>
      </c>
      <c r="B933" s="2" t="s">
        <v>100</v>
      </c>
      <c r="C933" s="2" t="s">
        <v>132</v>
      </c>
      <c r="D933" s="2" t="s">
        <v>225</v>
      </c>
      <c r="E933" s="2">
        <v>12345</v>
      </c>
      <c r="F933" s="3">
        <v>42615</v>
      </c>
      <c r="G933" s="4">
        <v>1023000</v>
      </c>
      <c r="H933">
        <f t="shared" si="42"/>
        <v>24</v>
      </c>
      <c r="I933">
        <f t="shared" si="43"/>
        <v>2</v>
      </c>
      <c r="J933">
        <f t="shared" si="44"/>
        <v>48</v>
      </c>
      <c r="O933">
        <v>3084</v>
      </c>
      <c r="P933">
        <v>24</v>
      </c>
    </row>
    <row r="934" spans="1:16" ht="15" customHeight="1" x14ac:dyDescent="0.2">
      <c r="A934" s="4">
        <v>2876</v>
      </c>
      <c r="B934" s="2" t="s">
        <v>100</v>
      </c>
      <c r="C934" s="2" t="s">
        <v>132</v>
      </c>
      <c r="F934" s="3">
        <v>42615</v>
      </c>
      <c r="G934" s="4">
        <v>66011000</v>
      </c>
      <c r="H934">
        <f t="shared" si="42"/>
        <v>24</v>
      </c>
      <c r="I934">
        <f t="shared" si="43"/>
        <v>2</v>
      </c>
      <c r="J934">
        <f t="shared" si="44"/>
        <v>48</v>
      </c>
      <c r="O934">
        <v>3085</v>
      </c>
      <c r="P934">
        <v>24</v>
      </c>
    </row>
    <row r="935" spans="1:16" ht="15" customHeight="1" x14ac:dyDescent="0.2">
      <c r="A935" s="4">
        <v>2881</v>
      </c>
      <c r="B935" s="2" t="s">
        <v>13</v>
      </c>
      <c r="C935" s="2" t="s">
        <v>8</v>
      </c>
      <c r="D935" s="2" t="s">
        <v>156</v>
      </c>
      <c r="E935" s="2">
        <v>8163</v>
      </c>
      <c r="F935" s="3">
        <v>42625</v>
      </c>
      <c r="G935" s="4">
        <v>3260001000</v>
      </c>
      <c r="H935">
        <f t="shared" si="42"/>
        <v>1000</v>
      </c>
      <c r="I935">
        <f t="shared" si="43"/>
        <v>2</v>
      </c>
      <c r="J935">
        <f t="shared" si="44"/>
        <v>2000</v>
      </c>
      <c r="O935">
        <v>3096</v>
      </c>
      <c r="P935">
        <v>0</v>
      </c>
    </row>
    <row r="936" spans="1:16" ht="15" customHeight="1" x14ac:dyDescent="0.2">
      <c r="A936" s="4">
        <v>2882</v>
      </c>
      <c r="B936" s="2" t="s">
        <v>13</v>
      </c>
      <c r="C936" s="2" t="s">
        <v>8</v>
      </c>
      <c r="D936" s="2" t="s">
        <v>156</v>
      </c>
      <c r="E936" s="2">
        <v>8170</v>
      </c>
      <c r="F936" s="3">
        <v>42625</v>
      </c>
      <c r="G936" s="4">
        <v>157005000</v>
      </c>
      <c r="H936">
        <f t="shared" si="42"/>
        <v>1000</v>
      </c>
      <c r="I936">
        <f t="shared" si="43"/>
        <v>2</v>
      </c>
      <c r="J936">
        <f t="shared" si="44"/>
        <v>2000</v>
      </c>
      <c r="O936">
        <v>3097</v>
      </c>
      <c r="P936">
        <v>0</v>
      </c>
    </row>
    <row r="937" spans="1:16" ht="26.1" customHeight="1" x14ac:dyDescent="0.2">
      <c r="A937" s="4">
        <v>2883</v>
      </c>
      <c r="B937" s="2" t="s">
        <v>106</v>
      </c>
      <c r="C937" s="2" t="s">
        <v>187</v>
      </c>
      <c r="D937" s="2" t="s">
        <v>115</v>
      </c>
      <c r="E937" s="2">
        <v>10292</v>
      </c>
      <c r="F937" s="3">
        <v>42627</v>
      </c>
      <c r="G937" s="4">
        <v>165001000</v>
      </c>
      <c r="H937">
        <f t="shared" si="42"/>
        <v>591.5</v>
      </c>
      <c r="I937">
        <f t="shared" si="43"/>
        <v>3.7142857142857144</v>
      </c>
      <c r="J937">
        <f t="shared" si="44"/>
        <v>2197</v>
      </c>
      <c r="O937">
        <v>3104</v>
      </c>
      <c r="P937">
        <v>24</v>
      </c>
    </row>
    <row r="938" spans="1:16" ht="26.1" customHeight="1" x14ac:dyDescent="0.2">
      <c r="A938" s="4">
        <v>2884</v>
      </c>
      <c r="B938" s="2" t="s">
        <v>106</v>
      </c>
      <c r="C938" s="2" t="s">
        <v>187</v>
      </c>
      <c r="D938" s="2" t="s">
        <v>214</v>
      </c>
      <c r="E938" s="2">
        <v>10481</v>
      </c>
      <c r="F938" s="3">
        <v>42627</v>
      </c>
      <c r="G938" s="4">
        <v>1014001</v>
      </c>
      <c r="H938">
        <f t="shared" si="42"/>
        <v>3600</v>
      </c>
      <c r="I938">
        <f t="shared" si="43"/>
        <v>3.7142857142857144</v>
      </c>
      <c r="J938">
        <f t="shared" si="44"/>
        <v>13371.428571428572</v>
      </c>
      <c r="O938">
        <v>3107</v>
      </c>
      <c r="P938">
        <v>1199.5</v>
      </c>
    </row>
    <row r="939" spans="1:16" ht="26.1" customHeight="1" x14ac:dyDescent="0.2">
      <c r="A939" s="4">
        <v>2885</v>
      </c>
      <c r="B939" s="2" t="s">
        <v>24</v>
      </c>
      <c r="C939" s="2" t="s">
        <v>226</v>
      </c>
      <c r="D939" s="2">
        <v>1500</v>
      </c>
      <c r="F939" s="3">
        <v>42662</v>
      </c>
      <c r="G939" s="4">
        <v>165001000</v>
      </c>
      <c r="H939">
        <f t="shared" si="42"/>
        <v>1200</v>
      </c>
      <c r="I939">
        <f t="shared" si="43"/>
        <v>2.5714285714285716</v>
      </c>
      <c r="J939">
        <f t="shared" si="44"/>
        <v>3085.7142857142858</v>
      </c>
      <c r="O939">
        <v>3108</v>
      </c>
      <c r="P939">
        <v>24</v>
      </c>
    </row>
    <row r="940" spans="1:16" ht="26.1" customHeight="1" x14ac:dyDescent="0.2">
      <c r="A940" s="4">
        <v>2886</v>
      </c>
      <c r="B940" s="2" t="s">
        <v>123</v>
      </c>
      <c r="C940" s="2" t="s">
        <v>187</v>
      </c>
      <c r="D940" s="2" t="s">
        <v>196</v>
      </c>
      <c r="E940" s="2">
        <v>11700</v>
      </c>
      <c r="F940" s="3">
        <v>42654</v>
      </c>
      <c r="G940" s="4">
        <v>2514002000</v>
      </c>
      <c r="H940">
        <f t="shared" si="42"/>
        <v>3400</v>
      </c>
      <c r="I940">
        <f t="shared" si="43"/>
        <v>1.5</v>
      </c>
      <c r="J940">
        <f t="shared" si="44"/>
        <v>5100</v>
      </c>
      <c r="O940">
        <v>3109</v>
      </c>
      <c r="P940">
        <v>24</v>
      </c>
    </row>
    <row r="941" spans="1:16" ht="26.1" customHeight="1" x14ac:dyDescent="0.2">
      <c r="A941" s="4">
        <v>2887</v>
      </c>
      <c r="B941" s="2" t="s">
        <v>24</v>
      </c>
      <c r="C941" s="2" t="s">
        <v>226</v>
      </c>
      <c r="D941" s="2">
        <v>1500</v>
      </c>
      <c r="F941" s="3">
        <v>42662</v>
      </c>
      <c r="G941" s="4">
        <v>3265001000</v>
      </c>
      <c r="H941">
        <f t="shared" si="42"/>
        <v>1200</v>
      </c>
      <c r="I941">
        <f t="shared" si="43"/>
        <v>2</v>
      </c>
      <c r="J941">
        <f t="shared" si="44"/>
        <v>2400</v>
      </c>
      <c r="O941">
        <v>3110</v>
      </c>
      <c r="P941">
        <v>24</v>
      </c>
    </row>
    <row r="942" spans="1:16" ht="15" customHeight="1" x14ac:dyDescent="0.2">
      <c r="A942" s="4">
        <v>2889</v>
      </c>
      <c r="B942" s="2" t="s">
        <v>13</v>
      </c>
      <c r="C942" s="2" t="s">
        <v>169</v>
      </c>
      <c r="D942" s="2" t="s">
        <v>198</v>
      </c>
      <c r="E942" s="2">
        <v>8171</v>
      </c>
      <c r="F942" s="3">
        <v>42682</v>
      </c>
      <c r="G942" s="4">
        <v>3101001000</v>
      </c>
      <c r="H942">
        <f t="shared" si="42"/>
        <v>884</v>
      </c>
      <c r="I942">
        <f t="shared" si="43"/>
        <v>1</v>
      </c>
      <c r="J942">
        <f t="shared" si="44"/>
        <v>884</v>
      </c>
      <c r="O942">
        <v>3112</v>
      </c>
      <c r="P942">
        <v>0</v>
      </c>
    </row>
    <row r="943" spans="1:16" ht="15" customHeight="1" x14ac:dyDescent="0.2">
      <c r="A943" s="4">
        <v>2891</v>
      </c>
      <c r="B943" s="2" t="s">
        <v>227</v>
      </c>
      <c r="C943" s="2" t="s">
        <v>228</v>
      </c>
      <c r="D943" s="2">
        <v>15</v>
      </c>
      <c r="F943" s="3">
        <v>42706</v>
      </c>
      <c r="G943" s="4">
        <v>1022000</v>
      </c>
      <c r="H943">
        <f t="shared" si="42"/>
        <v>884</v>
      </c>
      <c r="I943">
        <f t="shared" si="43"/>
        <v>1</v>
      </c>
      <c r="J943">
        <f t="shared" si="44"/>
        <v>884</v>
      </c>
      <c r="O943">
        <v>3123</v>
      </c>
      <c r="P943">
        <v>24</v>
      </c>
    </row>
    <row r="944" spans="1:16" ht="15" customHeight="1" x14ac:dyDescent="0.2">
      <c r="A944" s="4">
        <v>2892</v>
      </c>
      <c r="B944" s="2" t="s">
        <v>13</v>
      </c>
      <c r="C944" s="2" t="s">
        <v>8</v>
      </c>
      <c r="D944" s="2" t="s">
        <v>156</v>
      </c>
      <c r="E944" s="2">
        <v>8169</v>
      </c>
      <c r="F944" s="3">
        <v>42709</v>
      </c>
      <c r="G944" s="4">
        <v>953011000</v>
      </c>
      <c r="H944">
        <f t="shared" si="42"/>
        <v>1000</v>
      </c>
      <c r="I944">
        <f t="shared" si="43"/>
        <v>1</v>
      </c>
      <c r="J944">
        <f t="shared" si="44"/>
        <v>1000</v>
      </c>
      <c r="O944">
        <v>3124</v>
      </c>
      <c r="P944">
        <v>24</v>
      </c>
    </row>
    <row r="945" spans="1:16" ht="26.1" customHeight="1" x14ac:dyDescent="0.2">
      <c r="A945" s="4">
        <v>2895</v>
      </c>
      <c r="B945" s="2" t="s">
        <v>82</v>
      </c>
      <c r="C945" s="2" t="s">
        <v>80</v>
      </c>
      <c r="D945" s="2" t="s">
        <v>83</v>
      </c>
      <c r="E945" s="2">
        <v>123456</v>
      </c>
      <c r="F945" s="3">
        <v>42734</v>
      </c>
      <c r="G945" s="4">
        <v>2514002000</v>
      </c>
      <c r="H945">
        <f t="shared" si="42"/>
        <v>1000</v>
      </c>
      <c r="I945">
        <f t="shared" si="43"/>
        <v>1</v>
      </c>
      <c r="J945">
        <f t="shared" si="44"/>
        <v>1000</v>
      </c>
      <c r="O945">
        <v>3125</v>
      </c>
      <c r="P945">
        <v>24</v>
      </c>
    </row>
    <row r="946" spans="1:16" ht="15" customHeight="1" x14ac:dyDescent="0.2">
      <c r="A946" s="4">
        <v>2898</v>
      </c>
      <c r="B946" s="2" t="s">
        <v>13</v>
      </c>
      <c r="C946" s="2" t="s">
        <v>8</v>
      </c>
      <c r="D946" s="2" t="s">
        <v>156</v>
      </c>
      <c r="E946" s="2">
        <v>8532</v>
      </c>
      <c r="F946" s="3">
        <v>42818</v>
      </c>
      <c r="G946" s="4">
        <v>1014002</v>
      </c>
      <c r="H946">
        <f t="shared" si="42"/>
        <v>1000</v>
      </c>
      <c r="I946">
        <f t="shared" si="43"/>
        <v>2</v>
      </c>
      <c r="J946">
        <f t="shared" si="44"/>
        <v>2000</v>
      </c>
      <c r="O946">
        <v>3127</v>
      </c>
      <c r="P946">
        <v>1199.5</v>
      </c>
    </row>
    <row r="947" spans="1:16" ht="15" customHeight="1" x14ac:dyDescent="0.2">
      <c r="A947" s="4">
        <v>2899</v>
      </c>
      <c r="B947" s="2" t="s">
        <v>13</v>
      </c>
      <c r="C947" s="2" t="s">
        <v>8</v>
      </c>
      <c r="D947" s="2" t="s">
        <v>156</v>
      </c>
      <c r="E947" s="2">
        <v>8531</v>
      </c>
      <c r="F947" s="3">
        <v>42818</v>
      </c>
      <c r="G947" s="4">
        <v>2994001000</v>
      </c>
      <c r="H947">
        <f t="shared" si="42"/>
        <v>1000</v>
      </c>
      <c r="I947">
        <f t="shared" si="43"/>
        <v>1</v>
      </c>
      <c r="J947">
        <f t="shared" si="44"/>
        <v>1000</v>
      </c>
      <c r="O947">
        <v>3131</v>
      </c>
      <c r="P947">
        <v>0</v>
      </c>
    </row>
    <row r="948" spans="1:16" ht="15" customHeight="1" x14ac:dyDescent="0.2">
      <c r="A948" s="4">
        <v>2900</v>
      </c>
      <c r="B948" s="2" t="s">
        <v>13</v>
      </c>
      <c r="C948" s="2" t="s">
        <v>8</v>
      </c>
      <c r="D948" s="2" t="s">
        <v>156</v>
      </c>
      <c r="E948" s="2">
        <v>8525</v>
      </c>
      <c r="F948" s="3">
        <v>42818</v>
      </c>
      <c r="G948" s="4">
        <v>1967012000</v>
      </c>
      <c r="H948">
        <f t="shared" si="42"/>
        <v>1000</v>
      </c>
      <c r="I948">
        <f t="shared" si="43"/>
        <v>3</v>
      </c>
      <c r="J948">
        <f t="shared" si="44"/>
        <v>3000</v>
      </c>
      <c r="O948">
        <v>3134</v>
      </c>
      <c r="P948">
        <v>24</v>
      </c>
    </row>
    <row r="949" spans="1:16" ht="15" customHeight="1" x14ac:dyDescent="0.2">
      <c r="A949" s="4">
        <v>2901</v>
      </c>
      <c r="B949" s="2" t="s">
        <v>13</v>
      </c>
      <c r="C949" s="2" t="s">
        <v>8</v>
      </c>
      <c r="D949" s="2" t="s">
        <v>156</v>
      </c>
      <c r="E949" s="2">
        <v>8529</v>
      </c>
      <c r="F949" s="3">
        <v>42818</v>
      </c>
      <c r="G949" s="4">
        <v>1978003000</v>
      </c>
      <c r="H949">
        <f t="shared" si="42"/>
        <v>1000</v>
      </c>
      <c r="I949">
        <f t="shared" si="43"/>
        <v>1</v>
      </c>
      <c r="J949">
        <f t="shared" si="44"/>
        <v>1000</v>
      </c>
      <c r="O949">
        <v>3140</v>
      </c>
      <c r="P949">
        <v>24</v>
      </c>
    </row>
    <row r="950" spans="1:16" ht="15" customHeight="1" x14ac:dyDescent="0.2">
      <c r="A950" s="4">
        <v>2902</v>
      </c>
      <c r="B950" s="2" t="s">
        <v>13</v>
      </c>
      <c r="C950" s="2" t="s">
        <v>8</v>
      </c>
      <c r="D950" s="2" t="s">
        <v>156</v>
      </c>
      <c r="E950" s="2">
        <v>8522</v>
      </c>
      <c r="F950" s="3">
        <v>42818</v>
      </c>
      <c r="G950" s="4">
        <v>2994001000</v>
      </c>
      <c r="H950">
        <f t="shared" si="42"/>
        <v>1000</v>
      </c>
      <c r="I950">
        <f t="shared" si="43"/>
        <v>1</v>
      </c>
      <c r="J950">
        <f t="shared" si="44"/>
        <v>1000</v>
      </c>
      <c r="O950">
        <v>3148</v>
      </c>
      <c r="P950">
        <v>24</v>
      </c>
    </row>
    <row r="951" spans="1:16" ht="15" customHeight="1" x14ac:dyDescent="0.2">
      <c r="A951" s="4">
        <v>2903</v>
      </c>
      <c r="B951" s="2" t="s">
        <v>13</v>
      </c>
      <c r="C951" s="2" t="s">
        <v>8</v>
      </c>
      <c r="D951" s="2" t="s">
        <v>156</v>
      </c>
      <c r="E951" s="2">
        <v>8524</v>
      </c>
      <c r="F951" s="3">
        <v>42818</v>
      </c>
      <c r="G951" s="4">
        <v>2995001000</v>
      </c>
      <c r="H951">
        <f t="shared" si="42"/>
        <v>1000</v>
      </c>
      <c r="I951">
        <f t="shared" si="43"/>
        <v>1</v>
      </c>
      <c r="J951">
        <f t="shared" si="44"/>
        <v>1000</v>
      </c>
      <c r="O951">
        <v>3152</v>
      </c>
      <c r="P951">
        <v>20</v>
      </c>
    </row>
    <row r="952" spans="1:16" ht="26.1" customHeight="1" x14ac:dyDescent="0.2">
      <c r="A952" s="4">
        <v>2904</v>
      </c>
      <c r="B952" s="2" t="s">
        <v>100</v>
      </c>
      <c r="C952" s="2" t="s">
        <v>152</v>
      </c>
      <c r="E952" s="2">
        <v>55981338907</v>
      </c>
      <c r="F952" s="3">
        <v>42818</v>
      </c>
      <c r="G952" s="4">
        <v>1720001000</v>
      </c>
      <c r="H952">
        <f t="shared" si="42"/>
        <v>24</v>
      </c>
      <c r="I952">
        <f t="shared" si="43"/>
        <v>1</v>
      </c>
      <c r="J952">
        <f t="shared" si="44"/>
        <v>24</v>
      </c>
      <c r="O952">
        <v>3156</v>
      </c>
      <c r="P952">
        <v>24</v>
      </c>
    </row>
    <row r="953" spans="1:16" ht="15" customHeight="1" x14ac:dyDescent="0.2">
      <c r="A953" s="4">
        <v>2905</v>
      </c>
      <c r="B953" s="2" t="s">
        <v>13</v>
      </c>
      <c r="C953" s="2" t="s">
        <v>187</v>
      </c>
      <c r="D953" s="2" t="s">
        <v>229</v>
      </c>
      <c r="E953" s="2">
        <v>11136</v>
      </c>
      <c r="F953" s="3">
        <v>42822</v>
      </c>
      <c r="G953" s="4">
        <v>2994001000</v>
      </c>
      <c r="H953">
        <f t="shared" si="42"/>
        <v>1031</v>
      </c>
      <c r="I953">
        <f t="shared" si="43"/>
        <v>1.3333333333333333</v>
      </c>
      <c r="J953">
        <f t="shared" si="44"/>
        <v>1374.6666666666665</v>
      </c>
      <c r="O953">
        <v>3158</v>
      </c>
      <c r="P953">
        <v>24</v>
      </c>
    </row>
    <row r="954" spans="1:16" ht="15" customHeight="1" x14ac:dyDescent="0.2">
      <c r="A954" s="4">
        <v>2906</v>
      </c>
      <c r="B954" s="2" t="s">
        <v>146</v>
      </c>
      <c r="C954" s="2" t="s">
        <v>25</v>
      </c>
      <c r="D954" s="2" t="s">
        <v>211</v>
      </c>
      <c r="E954" s="2">
        <v>4179</v>
      </c>
      <c r="F954" s="3">
        <v>42780</v>
      </c>
      <c r="G954" s="4">
        <v>165001000</v>
      </c>
      <c r="H954">
        <f t="shared" si="42"/>
        <v>1031</v>
      </c>
      <c r="I954">
        <f t="shared" si="43"/>
        <v>1.3333333333333333</v>
      </c>
      <c r="J954">
        <f t="shared" si="44"/>
        <v>1374.6666666666665</v>
      </c>
      <c r="O954">
        <v>3159</v>
      </c>
      <c r="P954">
        <v>1200</v>
      </c>
    </row>
    <row r="955" spans="1:16" ht="15" customHeight="1" x14ac:dyDescent="0.2">
      <c r="A955" s="4">
        <v>2907</v>
      </c>
      <c r="B955" s="2" t="s">
        <v>146</v>
      </c>
      <c r="C955" s="2" t="s">
        <v>25</v>
      </c>
      <c r="D955" s="2" t="s">
        <v>211</v>
      </c>
      <c r="E955" s="2">
        <v>4414</v>
      </c>
      <c r="F955" s="3">
        <v>42780</v>
      </c>
      <c r="G955" s="4">
        <v>165001000</v>
      </c>
      <c r="H955">
        <f t="shared" si="42"/>
        <v>1031</v>
      </c>
      <c r="I955">
        <f t="shared" si="43"/>
        <v>1.3333333333333333</v>
      </c>
      <c r="J955">
        <f t="shared" si="44"/>
        <v>1374.6666666666665</v>
      </c>
      <c r="O955">
        <v>3160</v>
      </c>
      <c r="P955">
        <v>1200</v>
      </c>
    </row>
    <row r="956" spans="1:16" ht="26.1" customHeight="1" x14ac:dyDescent="0.2">
      <c r="A956" s="4">
        <v>2908</v>
      </c>
      <c r="B956" s="2" t="s">
        <v>123</v>
      </c>
      <c r="C956" s="2" t="s">
        <v>187</v>
      </c>
      <c r="D956" s="2" t="s">
        <v>196</v>
      </c>
      <c r="E956" s="2">
        <v>27499</v>
      </c>
      <c r="F956" s="3">
        <v>42837</v>
      </c>
      <c r="G956" s="4">
        <v>1022000</v>
      </c>
      <c r="H956">
        <f t="shared" si="42"/>
        <v>3400</v>
      </c>
      <c r="I956">
        <f t="shared" si="43"/>
        <v>1.1428571428571428</v>
      </c>
      <c r="J956">
        <f t="shared" si="44"/>
        <v>3885.7142857142853</v>
      </c>
      <c r="O956">
        <v>3161</v>
      </c>
      <c r="P956">
        <v>1200</v>
      </c>
    </row>
    <row r="957" spans="1:16" ht="15" customHeight="1" x14ac:dyDescent="0.2">
      <c r="A957" s="4">
        <v>2909</v>
      </c>
      <c r="B957" s="2" t="s">
        <v>13</v>
      </c>
      <c r="C957" s="2" t="s">
        <v>8</v>
      </c>
      <c r="D957" s="2" t="s">
        <v>156</v>
      </c>
      <c r="E957" s="2">
        <v>8701</v>
      </c>
      <c r="F957" s="3">
        <v>42857</v>
      </c>
      <c r="G957" s="4">
        <v>1165000000</v>
      </c>
      <c r="H957">
        <f t="shared" si="42"/>
        <v>1000</v>
      </c>
      <c r="I957">
        <f t="shared" si="43"/>
        <v>0.42857142857142855</v>
      </c>
      <c r="J957">
        <f t="shared" si="44"/>
        <v>428.57142857142856</v>
      </c>
      <c r="O957">
        <v>3163</v>
      </c>
      <c r="P957">
        <v>24</v>
      </c>
    </row>
    <row r="958" spans="1:16" ht="15" customHeight="1" x14ac:dyDescent="0.2">
      <c r="A958" s="4">
        <v>2910</v>
      </c>
      <c r="B958" s="2" t="s">
        <v>13</v>
      </c>
      <c r="C958" s="2" t="s">
        <v>8</v>
      </c>
      <c r="D958" s="2" t="s">
        <v>156</v>
      </c>
      <c r="E958" s="2">
        <v>8698</v>
      </c>
      <c r="F958" s="3">
        <v>42857</v>
      </c>
      <c r="G958" s="4">
        <v>3300202000</v>
      </c>
      <c r="H958">
        <f t="shared" si="42"/>
        <v>1000</v>
      </c>
      <c r="I958">
        <f t="shared" si="43"/>
        <v>0.14285714285714285</v>
      </c>
      <c r="J958">
        <f t="shared" si="44"/>
        <v>142.85714285714286</v>
      </c>
      <c r="O958">
        <v>3164</v>
      </c>
      <c r="P958">
        <v>600</v>
      </c>
    </row>
    <row r="959" spans="1:16" ht="15" customHeight="1" x14ac:dyDescent="0.2">
      <c r="A959" s="4">
        <v>2911</v>
      </c>
      <c r="B959" s="2" t="s">
        <v>13</v>
      </c>
      <c r="C959" s="2" t="s">
        <v>8</v>
      </c>
      <c r="D959" s="2" t="s">
        <v>156</v>
      </c>
      <c r="E959" s="2">
        <v>8693</v>
      </c>
      <c r="F959" s="3">
        <v>42859</v>
      </c>
      <c r="G959" s="4">
        <v>3370001000</v>
      </c>
      <c r="H959">
        <f t="shared" si="42"/>
        <v>1000</v>
      </c>
      <c r="I959">
        <f t="shared" si="43"/>
        <v>0.14285714285714285</v>
      </c>
      <c r="J959">
        <f t="shared" si="44"/>
        <v>142.85714285714286</v>
      </c>
      <c r="O959">
        <v>3170</v>
      </c>
      <c r="P959">
        <v>24</v>
      </c>
    </row>
    <row r="960" spans="1:16" ht="15" customHeight="1" x14ac:dyDescent="0.2">
      <c r="A960" s="4">
        <v>2912</v>
      </c>
      <c r="B960" s="2" t="s">
        <v>13</v>
      </c>
      <c r="C960" s="2" t="s">
        <v>8</v>
      </c>
      <c r="D960" s="2" t="s">
        <v>156</v>
      </c>
      <c r="E960" s="2">
        <v>8699</v>
      </c>
      <c r="F960" s="3">
        <v>42859</v>
      </c>
      <c r="G960" s="4">
        <v>3370009000</v>
      </c>
      <c r="H960">
        <f t="shared" si="42"/>
        <v>1000</v>
      </c>
      <c r="I960">
        <f t="shared" si="43"/>
        <v>0.2857142857142857</v>
      </c>
      <c r="J960">
        <f t="shared" si="44"/>
        <v>285.71428571428572</v>
      </c>
      <c r="O960">
        <v>3171</v>
      </c>
      <c r="P960">
        <v>2200</v>
      </c>
    </row>
    <row r="961" spans="1:16" ht="15" customHeight="1" x14ac:dyDescent="0.2">
      <c r="A961" s="4">
        <v>2913</v>
      </c>
      <c r="B961" s="2" t="s">
        <v>13</v>
      </c>
      <c r="C961" s="2" t="s">
        <v>8</v>
      </c>
      <c r="D961" s="2" t="s">
        <v>156</v>
      </c>
      <c r="E961" s="2">
        <v>8694</v>
      </c>
      <c r="F961" s="3">
        <v>42859</v>
      </c>
      <c r="G961" s="4">
        <v>2789001000</v>
      </c>
      <c r="H961">
        <f t="shared" si="42"/>
        <v>1000</v>
      </c>
      <c r="I961">
        <f t="shared" si="43"/>
        <v>0.14285714285714285</v>
      </c>
      <c r="J961">
        <f t="shared" si="44"/>
        <v>142.85714285714286</v>
      </c>
      <c r="O961">
        <v>3172</v>
      </c>
      <c r="P961">
        <v>2200</v>
      </c>
    </row>
    <row r="962" spans="1:16" ht="15" customHeight="1" x14ac:dyDescent="0.2">
      <c r="A962" s="4">
        <v>2914</v>
      </c>
      <c r="B962" s="2" t="s">
        <v>13</v>
      </c>
      <c r="C962" s="2" t="s">
        <v>8</v>
      </c>
      <c r="D962" s="2" t="s">
        <v>156</v>
      </c>
      <c r="E962" s="2">
        <v>8700</v>
      </c>
      <c r="F962" s="3">
        <v>42859</v>
      </c>
      <c r="G962" s="4">
        <v>3042134001</v>
      </c>
      <c r="H962">
        <f t="shared" ref="H962:H1025" si="45">VLOOKUP(A962,O:P,2)</f>
        <v>1000</v>
      </c>
      <c r="I962">
        <f t="shared" ref="I962:I1025" si="46">VLOOKUP(A962,R:S,2)</f>
        <v>0.67</v>
      </c>
      <c r="J962">
        <f t="shared" ref="J962:J1025" si="47">H962*I962</f>
        <v>670</v>
      </c>
      <c r="O962">
        <v>3174</v>
      </c>
      <c r="P962">
        <v>2000</v>
      </c>
    </row>
    <row r="963" spans="1:16" ht="15" customHeight="1" x14ac:dyDescent="0.2">
      <c r="A963" s="4">
        <v>2916</v>
      </c>
      <c r="B963" s="2" t="s">
        <v>100</v>
      </c>
      <c r="C963" s="2" t="s">
        <v>230</v>
      </c>
      <c r="D963" s="2" t="s">
        <v>231</v>
      </c>
      <c r="E963" s="2">
        <v>617</v>
      </c>
      <c r="F963" s="3">
        <v>42917</v>
      </c>
      <c r="G963" s="4">
        <v>1000003</v>
      </c>
      <c r="H963">
        <f t="shared" si="45"/>
        <v>24</v>
      </c>
      <c r="I963">
        <f t="shared" si="46"/>
        <v>0.67</v>
      </c>
      <c r="J963">
        <f t="shared" si="47"/>
        <v>16.080000000000002</v>
      </c>
      <c r="O963">
        <v>3175</v>
      </c>
      <c r="P963">
        <v>600</v>
      </c>
    </row>
    <row r="964" spans="1:16" ht="15" customHeight="1" x14ac:dyDescent="0.2">
      <c r="A964" s="4">
        <v>2918</v>
      </c>
      <c r="B964" s="2" t="s">
        <v>146</v>
      </c>
      <c r="C964" s="2" t="s">
        <v>25</v>
      </c>
      <c r="D964" s="2" t="s">
        <v>210</v>
      </c>
      <c r="E964" s="2">
        <v>9384</v>
      </c>
      <c r="F964" s="3">
        <v>42982</v>
      </c>
      <c r="G964" s="4">
        <v>1406001000</v>
      </c>
      <c r="H964">
        <f t="shared" si="45"/>
        <v>24</v>
      </c>
      <c r="I964">
        <f t="shared" si="46"/>
        <v>0.67</v>
      </c>
      <c r="J964">
        <f t="shared" si="47"/>
        <v>16.080000000000002</v>
      </c>
      <c r="O964">
        <v>3177</v>
      </c>
      <c r="P964">
        <v>3600</v>
      </c>
    </row>
    <row r="965" spans="1:16" ht="15" customHeight="1" x14ac:dyDescent="0.2">
      <c r="A965" s="4">
        <v>2919</v>
      </c>
      <c r="B965" s="2" t="s">
        <v>146</v>
      </c>
      <c r="C965" s="2" t="s">
        <v>132</v>
      </c>
      <c r="D965" s="2" t="s">
        <v>147</v>
      </c>
      <c r="E965" s="2">
        <v>4693</v>
      </c>
      <c r="F965" s="3">
        <v>42986</v>
      </c>
      <c r="G965" s="4">
        <v>529001000</v>
      </c>
      <c r="H965">
        <f t="shared" si="45"/>
        <v>24</v>
      </c>
      <c r="I965">
        <f t="shared" si="46"/>
        <v>0.67</v>
      </c>
      <c r="J965">
        <f t="shared" si="47"/>
        <v>16.080000000000002</v>
      </c>
      <c r="O965">
        <v>3178</v>
      </c>
      <c r="P965">
        <v>3600</v>
      </c>
    </row>
    <row r="966" spans="1:16" ht="15" customHeight="1" x14ac:dyDescent="0.2">
      <c r="A966" s="4">
        <v>2921</v>
      </c>
      <c r="B966" s="2" t="s">
        <v>146</v>
      </c>
      <c r="C966" s="2" t="s">
        <v>132</v>
      </c>
      <c r="D966" s="2" t="s">
        <v>157</v>
      </c>
      <c r="E966" s="2">
        <v>4668</v>
      </c>
      <c r="F966" s="3">
        <v>42986</v>
      </c>
      <c r="G966" s="4">
        <v>3400002000</v>
      </c>
      <c r="H966">
        <f t="shared" si="45"/>
        <v>24</v>
      </c>
      <c r="I966">
        <f t="shared" si="46"/>
        <v>0.67</v>
      </c>
      <c r="J966">
        <f t="shared" si="47"/>
        <v>16.080000000000002</v>
      </c>
      <c r="O966">
        <v>3179</v>
      </c>
      <c r="P966">
        <v>3600</v>
      </c>
    </row>
    <row r="967" spans="1:16" ht="15" customHeight="1" x14ac:dyDescent="0.2">
      <c r="A967" s="4">
        <v>2922</v>
      </c>
      <c r="B967" s="2" t="s">
        <v>100</v>
      </c>
      <c r="C967" s="2" t="s">
        <v>232</v>
      </c>
      <c r="D967" s="2" t="s">
        <v>225</v>
      </c>
      <c r="E967" s="2" t="s">
        <v>233</v>
      </c>
      <c r="F967" s="3">
        <v>42986</v>
      </c>
      <c r="G967" s="4">
        <v>1014001</v>
      </c>
      <c r="H967">
        <f t="shared" si="45"/>
        <v>24</v>
      </c>
      <c r="I967">
        <f t="shared" si="46"/>
        <v>0.67</v>
      </c>
      <c r="J967">
        <f t="shared" si="47"/>
        <v>16.080000000000002</v>
      </c>
      <c r="O967">
        <v>3183</v>
      </c>
      <c r="P967">
        <v>24</v>
      </c>
    </row>
    <row r="968" spans="1:16" ht="26.1" customHeight="1" x14ac:dyDescent="0.2">
      <c r="A968" s="4">
        <v>2923</v>
      </c>
      <c r="B968" s="2" t="s">
        <v>123</v>
      </c>
      <c r="C968" s="2" t="s">
        <v>187</v>
      </c>
      <c r="D968" s="2" t="s">
        <v>196</v>
      </c>
      <c r="E968" s="2">
        <v>10253</v>
      </c>
      <c r="F968" s="3">
        <v>42992</v>
      </c>
      <c r="G968" s="4">
        <v>3042058002</v>
      </c>
      <c r="H968">
        <f t="shared" si="45"/>
        <v>3400</v>
      </c>
      <c r="I968">
        <f t="shared" si="46"/>
        <v>0.5714285714285714</v>
      </c>
      <c r="J968">
        <f t="shared" si="47"/>
        <v>1942.8571428571427</v>
      </c>
      <c r="O968">
        <v>3184</v>
      </c>
      <c r="P968">
        <v>24</v>
      </c>
    </row>
    <row r="969" spans="1:16" ht="15" customHeight="1" x14ac:dyDescent="0.2">
      <c r="A969" s="4">
        <v>2926</v>
      </c>
      <c r="B969" s="2" t="s">
        <v>222</v>
      </c>
      <c r="C969" s="2" t="s">
        <v>234</v>
      </c>
      <c r="D969" s="2" t="s">
        <v>234</v>
      </c>
      <c r="E969" s="2" t="s">
        <v>235</v>
      </c>
      <c r="F969" s="3">
        <v>42999</v>
      </c>
      <c r="G969" s="4">
        <v>1000003</v>
      </c>
      <c r="H969">
        <f t="shared" si="45"/>
        <v>3600</v>
      </c>
      <c r="I969">
        <f t="shared" si="46"/>
        <v>0.5714285714285714</v>
      </c>
      <c r="J969">
        <f t="shared" si="47"/>
        <v>2057.1428571428569</v>
      </c>
      <c r="O969">
        <v>3185</v>
      </c>
      <c r="P969">
        <v>24</v>
      </c>
    </row>
    <row r="970" spans="1:16" ht="26.1" customHeight="1" x14ac:dyDescent="0.2">
      <c r="A970" s="4">
        <v>2928</v>
      </c>
      <c r="B970" s="2" t="s">
        <v>82</v>
      </c>
      <c r="C970" s="2" t="s">
        <v>80</v>
      </c>
      <c r="D970" s="2" t="s">
        <v>83</v>
      </c>
      <c r="E970" s="2">
        <v>367353067</v>
      </c>
      <c r="F970" s="3">
        <v>43004</v>
      </c>
      <c r="G970" s="4">
        <v>1014001</v>
      </c>
      <c r="H970">
        <f t="shared" si="45"/>
        <v>3600</v>
      </c>
      <c r="I970">
        <f t="shared" si="46"/>
        <v>0.5714285714285714</v>
      </c>
      <c r="J970">
        <f t="shared" si="47"/>
        <v>2057.1428571428569</v>
      </c>
      <c r="O970">
        <v>3195</v>
      </c>
      <c r="P970">
        <v>2200</v>
      </c>
    </row>
    <row r="971" spans="1:16" ht="15" customHeight="1" x14ac:dyDescent="0.2">
      <c r="A971" s="4">
        <v>2929</v>
      </c>
      <c r="B971" s="2" t="s">
        <v>236</v>
      </c>
      <c r="C971" s="2" t="s">
        <v>8</v>
      </c>
      <c r="D971" s="2">
        <v>500</v>
      </c>
      <c r="E971" s="2">
        <v>46</v>
      </c>
      <c r="F971" s="3">
        <v>43006</v>
      </c>
      <c r="G971" s="4">
        <v>66011000</v>
      </c>
      <c r="H971">
        <f t="shared" si="45"/>
        <v>432</v>
      </c>
      <c r="I971">
        <f t="shared" si="46"/>
        <v>1</v>
      </c>
      <c r="J971">
        <f t="shared" si="47"/>
        <v>432</v>
      </c>
      <c r="O971">
        <v>3196</v>
      </c>
      <c r="P971">
        <v>2200</v>
      </c>
    </row>
    <row r="972" spans="1:16" ht="15" customHeight="1" x14ac:dyDescent="0.2">
      <c r="A972" s="4">
        <v>2930</v>
      </c>
      <c r="B972" s="2" t="s">
        <v>236</v>
      </c>
      <c r="C972" s="2" t="s">
        <v>14</v>
      </c>
      <c r="D972" s="2">
        <v>500</v>
      </c>
      <c r="E972" s="2">
        <v>45</v>
      </c>
      <c r="F972" s="3">
        <v>43006</v>
      </c>
      <c r="G972" s="4">
        <v>66011000</v>
      </c>
      <c r="H972">
        <f t="shared" si="45"/>
        <v>0</v>
      </c>
      <c r="I972">
        <f t="shared" si="46"/>
        <v>1</v>
      </c>
      <c r="J972">
        <f t="shared" si="47"/>
        <v>0</v>
      </c>
      <c r="O972">
        <v>3201</v>
      </c>
      <c r="P972">
        <v>24</v>
      </c>
    </row>
    <row r="973" spans="1:16" ht="15" customHeight="1" x14ac:dyDescent="0.2">
      <c r="A973" s="4">
        <v>2939</v>
      </c>
      <c r="B973" s="2" t="s">
        <v>128</v>
      </c>
      <c r="C973" s="2" t="s">
        <v>69</v>
      </c>
      <c r="D973" s="2" t="s">
        <v>10</v>
      </c>
      <c r="E973" s="2">
        <v>123456</v>
      </c>
      <c r="F973" s="3">
        <v>43035</v>
      </c>
      <c r="G973" s="4">
        <v>1014002</v>
      </c>
      <c r="H973">
        <f t="shared" si="45"/>
        <v>0</v>
      </c>
      <c r="I973">
        <f t="shared" si="46"/>
        <v>1</v>
      </c>
      <c r="J973">
        <f t="shared" si="47"/>
        <v>0</v>
      </c>
      <c r="O973">
        <v>3207</v>
      </c>
      <c r="P973">
        <v>24</v>
      </c>
    </row>
    <row r="974" spans="1:16" ht="15" customHeight="1" x14ac:dyDescent="0.2">
      <c r="A974" s="4">
        <v>2941</v>
      </c>
      <c r="B974" s="2" t="s">
        <v>128</v>
      </c>
      <c r="C974" s="2" t="s">
        <v>69</v>
      </c>
      <c r="D974" s="2" t="s">
        <v>10</v>
      </c>
      <c r="E974" s="2">
        <v>123456</v>
      </c>
      <c r="F974" s="3">
        <v>43035</v>
      </c>
      <c r="G974" s="4">
        <v>1014002</v>
      </c>
      <c r="H974">
        <f t="shared" si="45"/>
        <v>0</v>
      </c>
      <c r="I974">
        <f t="shared" si="46"/>
        <v>1</v>
      </c>
      <c r="J974">
        <f t="shared" si="47"/>
        <v>0</v>
      </c>
      <c r="O974">
        <v>3211</v>
      </c>
      <c r="P974">
        <v>2200</v>
      </c>
    </row>
    <row r="975" spans="1:16" ht="26.1" customHeight="1" x14ac:dyDescent="0.2">
      <c r="A975" s="4">
        <v>2944</v>
      </c>
      <c r="B975" s="2" t="s">
        <v>24</v>
      </c>
      <c r="C975" s="2" t="s">
        <v>25</v>
      </c>
      <c r="D975" s="2" t="s">
        <v>237</v>
      </c>
      <c r="E975" s="2">
        <v>1449</v>
      </c>
      <c r="F975" s="3">
        <v>43046</v>
      </c>
      <c r="G975" s="4">
        <v>2514001000</v>
      </c>
      <c r="H975">
        <f t="shared" si="45"/>
        <v>1500</v>
      </c>
      <c r="I975">
        <f t="shared" si="46"/>
        <v>1</v>
      </c>
      <c r="J975">
        <f t="shared" si="47"/>
        <v>1500</v>
      </c>
      <c r="O975">
        <v>3213</v>
      </c>
      <c r="P975">
        <v>2200</v>
      </c>
    </row>
    <row r="976" spans="1:16" ht="15" customHeight="1" x14ac:dyDescent="0.2">
      <c r="A976" s="4">
        <v>2945</v>
      </c>
      <c r="B976" s="2" t="s">
        <v>146</v>
      </c>
      <c r="C976" s="2" t="s">
        <v>25</v>
      </c>
      <c r="D976" s="2" t="s">
        <v>238</v>
      </c>
      <c r="E976" s="2">
        <v>12791</v>
      </c>
      <c r="F976" s="3">
        <v>43046</v>
      </c>
      <c r="G976" s="4">
        <v>1014002</v>
      </c>
      <c r="H976">
        <f t="shared" si="45"/>
        <v>1500</v>
      </c>
      <c r="I976">
        <f t="shared" si="46"/>
        <v>1</v>
      </c>
      <c r="J976">
        <f t="shared" si="47"/>
        <v>1500</v>
      </c>
      <c r="O976">
        <v>3217</v>
      </c>
    </row>
    <row r="977" spans="1:16" ht="26.1" customHeight="1" x14ac:dyDescent="0.2">
      <c r="A977" s="4">
        <v>2946</v>
      </c>
      <c r="B977" s="2" t="s">
        <v>158</v>
      </c>
      <c r="C977" s="2" t="s">
        <v>159</v>
      </c>
      <c r="D977" s="2">
        <v>90</v>
      </c>
      <c r="E977" s="2">
        <v>123456</v>
      </c>
      <c r="F977" s="3">
        <v>43046</v>
      </c>
      <c r="G977" s="4">
        <v>2814003000</v>
      </c>
      <c r="H977">
        <f t="shared" si="45"/>
        <v>1500</v>
      </c>
      <c r="I977">
        <f t="shared" si="46"/>
        <v>1</v>
      </c>
      <c r="J977">
        <f t="shared" si="47"/>
        <v>1500</v>
      </c>
      <c r="O977">
        <v>3218</v>
      </c>
      <c r="P977">
        <v>591.5</v>
      </c>
    </row>
    <row r="978" spans="1:16" ht="26.1" customHeight="1" x14ac:dyDescent="0.2">
      <c r="A978" s="4">
        <v>2947</v>
      </c>
      <c r="B978" s="2" t="s">
        <v>100</v>
      </c>
      <c r="C978" s="2" t="s">
        <v>152</v>
      </c>
      <c r="D978" s="2" t="s">
        <v>153</v>
      </c>
      <c r="E978" s="2">
        <v>1455711</v>
      </c>
      <c r="F978" s="3">
        <v>43063</v>
      </c>
      <c r="G978" s="4">
        <v>3156001000</v>
      </c>
      <c r="H978">
        <f t="shared" si="45"/>
        <v>24</v>
      </c>
      <c r="I978">
        <f t="shared" si="46"/>
        <v>1</v>
      </c>
      <c r="J978">
        <f t="shared" si="47"/>
        <v>24</v>
      </c>
      <c r="O978">
        <v>3223</v>
      </c>
      <c r="P978">
        <v>24</v>
      </c>
    </row>
    <row r="979" spans="1:16" ht="26.1" customHeight="1" x14ac:dyDescent="0.2">
      <c r="A979" s="4">
        <v>2951</v>
      </c>
      <c r="B979" s="2" t="s">
        <v>146</v>
      </c>
      <c r="C979" s="2" t="s">
        <v>25</v>
      </c>
      <c r="D979" s="2" t="s">
        <v>210</v>
      </c>
      <c r="E979" s="2" t="s">
        <v>239</v>
      </c>
      <c r="F979" s="3">
        <v>43083</v>
      </c>
      <c r="G979" s="4">
        <v>1550001000</v>
      </c>
      <c r="H979">
        <f t="shared" si="45"/>
        <v>24</v>
      </c>
      <c r="I979">
        <f t="shared" si="46"/>
        <v>1</v>
      </c>
      <c r="J979">
        <f t="shared" si="47"/>
        <v>24</v>
      </c>
      <c r="O979">
        <v>3228</v>
      </c>
      <c r="P979">
        <v>1100</v>
      </c>
    </row>
    <row r="980" spans="1:16" ht="15" customHeight="1" x14ac:dyDescent="0.2">
      <c r="A980" s="4">
        <v>2952</v>
      </c>
      <c r="B980" s="2" t="s">
        <v>13</v>
      </c>
      <c r="C980" s="2" t="s">
        <v>8</v>
      </c>
      <c r="D980" s="2" t="s">
        <v>156</v>
      </c>
      <c r="E980" s="2">
        <v>8944</v>
      </c>
      <c r="F980" s="3">
        <v>43095</v>
      </c>
      <c r="G980" s="4">
        <v>1967012000</v>
      </c>
      <c r="H980">
        <f t="shared" si="45"/>
        <v>1000</v>
      </c>
      <c r="I980">
        <f t="shared" si="46"/>
        <v>3</v>
      </c>
      <c r="J980">
        <f t="shared" si="47"/>
        <v>3000</v>
      </c>
      <c r="O980">
        <v>3230</v>
      </c>
      <c r="P980">
        <v>24</v>
      </c>
    </row>
    <row r="981" spans="1:16" ht="15" customHeight="1" x14ac:dyDescent="0.2">
      <c r="A981" s="4">
        <v>2953</v>
      </c>
      <c r="B981" s="2" t="s">
        <v>13</v>
      </c>
      <c r="C981" s="2" t="s">
        <v>8</v>
      </c>
      <c r="D981" s="2" t="s">
        <v>156</v>
      </c>
      <c r="E981" s="2">
        <v>9032</v>
      </c>
      <c r="F981" s="3">
        <v>43095</v>
      </c>
      <c r="G981" s="4">
        <v>3152001000</v>
      </c>
      <c r="H981">
        <f t="shared" si="45"/>
        <v>1000</v>
      </c>
      <c r="I981">
        <f t="shared" si="46"/>
        <v>0.14285714285714285</v>
      </c>
      <c r="J981">
        <f t="shared" si="47"/>
        <v>142.85714285714286</v>
      </c>
      <c r="O981">
        <v>3232</v>
      </c>
      <c r="P981">
        <v>24</v>
      </c>
    </row>
    <row r="982" spans="1:16" ht="15" customHeight="1" x14ac:dyDescent="0.2">
      <c r="A982" s="4">
        <v>2954</v>
      </c>
      <c r="B982" s="2" t="s">
        <v>13</v>
      </c>
      <c r="C982" s="2" t="s">
        <v>8</v>
      </c>
      <c r="D982" s="2" t="s">
        <v>156</v>
      </c>
      <c r="E982" s="2">
        <v>9080</v>
      </c>
      <c r="F982" s="3">
        <v>43095</v>
      </c>
      <c r="G982" s="4">
        <v>1967007000</v>
      </c>
      <c r="H982">
        <f t="shared" si="45"/>
        <v>1000</v>
      </c>
      <c r="I982">
        <f t="shared" si="46"/>
        <v>2</v>
      </c>
      <c r="J982">
        <f t="shared" si="47"/>
        <v>2000</v>
      </c>
      <c r="O982">
        <v>3234</v>
      </c>
      <c r="P982">
        <v>1000</v>
      </c>
    </row>
    <row r="983" spans="1:16" ht="15" customHeight="1" x14ac:dyDescent="0.2">
      <c r="A983" s="4">
        <v>2955</v>
      </c>
      <c r="B983" s="2" t="s">
        <v>13</v>
      </c>
      <c r="C983" s="2" t="s">
        <v>8</v>
      </c>
      <c r="D983" s="2" t="s">
        <v>156</v>
      </c>
      <c r="E983" s="2">
        <v>9035</v>
      </c>
      <c r="F983" s="3">
        <v>43095</v>
      </c>
      <c r="G983" s="4">
        <v>1967007000</v>
      </c>
      <c r="H983">
        <f t="shared" si="45"/>
        <v>1000</v>
      </c>
      <c r="I983">
        <f t="shared" si="46"/>
        <v>2</v>
      </c>
      <c r="J983">
        <f t="shared" si="47"/>
        <v>2000</v>
      </c>
      <c r="O983">
        <v>3238</v>
      </c>
      <c r="P983">
        <v>24</v>
      </c>
    </row>
    <row r="984" spans="1:16" ht="26.1" customHeight="1" x14ac:dyDescent="0.2">
      <c r="A984" s="4">
        <v>2956</v>
      </c>
      <c r="B984" s="2" t="s">
        <v>146</v>
      </c>
      <c r="C984" s="2" t="s">
        <v>25</v>
      </c>
      <c r="D984" s="2" t="s">
        <v>211</v>
      </c>
      <c r="E984" s="2" t="s">
        <v>240</v>
      </c>
      <c r="F984" s="3">
        <v>43152</v>
      </c>
      <c r="G984" s="4">
        <v>165001000</v>
      </c>
      <c r="H984">
        <f t="shared" si="45"/>
        <v>1000</v>
      </c>
      <c r="I984">
        <f t="shared" si="46"/>
        <v>2</v>
      </c>
      <c r="J984">
        <f t="shared" si="47"/>
        <v>2000</v>
      </c>
      <c r="O984">
        <v>3240</v>
      </c>
      <c r="P984">
        <v>24</v>
      </c>
    </row>
    <row r="985" spans="1:16" ht="26.1" customHeight="1" x14ac:dyDescent="0.2">
      <c r="A985" s="4">
        <v>2957</v>
      </c>
      <c r="B985" s="2" t="s">
        <v>146</v>
      </c>
      <c r="C985" s="2" t="s">
        <v>25</v>
      </c>
      <c r="D985" s="2" t="s">
        <v>211</v>
      </c>
      <c r="E985" s="2" t="s">
        <v>241</v>
      </c>
      <c r="F985" s="3">
        <v>43152</v>
      </c>
      <c r="G985" s="4">
        <v>3042058002</v>
      </c>
      <c r="H985">
        <f t="shared" si="45"/>
        <v>1000</v>
      </c>
      <c r="I985">
        <f t="shared" si="46"/>
        <v>2</v>
      </c>
      <c r="J985">
        <f t="shared" si="47"/>
        <v>2000</v>
      </c>
      <c r="O985">
        <v>3245</v>
      </c>
      <c r="P985">
        <v>24</v>
      </c>
    </row>
    <row r="986" spans="1:16" ht="26.1" customHeight="1" x14ac:dyDescent="0.2">
      <c r="A986" s="4">
        <v>2958</v>
      </c>
      <c r="B986" s="2" t="s">
        <v>146</v>
      </c>
      <c r="C986" s="2" t="s">
        <v>25</v>
      </c>
      <c r="D986" s="2" t="s">
        <v>211</v>
      </c>
      <c r="E986" s="2" t="s">
        <v>242</v>
      </c>
      <c r="F986" s="3">
        <v>43152</v>
      </c>
      <c r="G986" s="4">
        <v>2814003000</v>
      </c>
      <c r="H986">
        <f t="shared" si="45"/>
        <v>1000</v>
      </c>
      <c r="I986">
        <f t="shared" si="46"/>
        <v>2</v>
      </c>
      <c r="J986">
        <f t="shared" si="47"/>
        <v>2000</v>
      </c>
      <c r="O986">
        <v>3246</v>
      </c>
      <c r="P986">
        <v>24</v>
      </c>
    </row>
    <row r="987" spans="1:16" ht="39.200000000000003" customHeight="1" x14ac:dyDescent="0.2">
      <c r="A987" s="4">
        <v>2959</v>
      </c>
      <c r="B987" s="2" t="s">
        <v>123</v>
      </c>
      <c r="C987" s="2" t="s">
        <v>187</v>
      </c>
      <c r="D987" s="2" t="s">
        <v>243</v>
      </c>
      <c r="E987" s="2">
        <v>93982120002500</v>
      </c>
      <c r="F987" s="3">
        <v>43164</v>
      </c>
      <c r="G987" s="4">
        <v>2994001000</v>
      </c>
      <c r="H987">
        <f t="shared" si="45"/>
        <v>2200</v>
      </c>
      <c r="I987">
        <f t="shared" si="46"/>
        <v>0.33333333333333331</v>
      </c>
      <c r="J987">
        <f t="shared" si="47"/>
        <v>733.33333333333326</v>
      </c>
      <c r="O987">
        <v>3255</v>
      </c>
      <c r="P987">
        <v>24</v>
      </c>
    </row>
    <row r="988" spans="1:16" ht="26.1" customHeight="1" x14ac:dyDescent="0.2">
      <c r="A988" s="4">
        <v>2963</v>
      </c>
      <c r="B988" s="2" t="s">
        <v>146</v>
      </c>
      <c r="C988" s="2" t="s">
        <v>25</v>
      </c>
      <c r="D988" s="2" t="s">
        <v>210</v>
      </c>
      <c r="E988" s="2" t="s">
        <v>244</v>
      </c>
      <c r="F988" s="3">
        <v>43167</v>
      </c>
      <c r="G988" s="4">
        <v>1014001</v>
      </c>
      <c r="H988">
        <f t="shared" si="45"/>
        <v>2200</v>
      </c>
      <c r="I988">
        <f t="shared" si="46"/>
        <v>0.33333333333333331</v>
      </c>
      <c r="J988">
        <f t="shared" si="47"/>
        <v>733.33333333333326</v>
      </c>
      <c r="O988">
        <v>3256</v>
      </c>
      <c r="P988">
        <v>1000</v>
      </c>
    </row>
    <row r="989" spans="1:16" ht="26.1" customHeight="1" x14ac:dyDescent="0.2">
      <c r="A989" s="4">
        <v>2964</v>
      </c>
      <c r="B989" s="2" t="s">
        <v>245</v>
      </c>
      <c r="C989" s="2" t="s">
        <v>246</v>
      </c>
      <c r="D989" s="2" t="s">
        <v>247</v>
      </c>
      <c r="E989" s="2">
        <v>117009705</v>
      </c>
      <c r="F989" s="3">
        <v>43175</v>
      </c>
      <c r="G989" s="4">
        <v>165001000</v>
      </c>
      <c r="H989">
        <f t="shared" si="45"/>
        <v>2200</v>
      </c>
      <c r="I989">
        <f t="shared" si="46"/>
        <v>0.33333333333333331</v>
      </c>
      <c r="J989">
        <f t="shared" si="47"/>
        <v>733.33333333333326</v>
      </c>
      <c r="O989">
        <v>3257</v>
      </c>
      <c r="P989">
        <v>1000</v>
      </c>
    </row>
    <row r="990" spans="1:16" ht="15" customHeight="1" x14ac:dyDescent="0.2">
      <c r="A990" s="4">
        <v>2965</v>
      </c>
      <c r="B990" s="2" t="s">
        <v>99</v>
      </c>
      <c r="C990" s="2" t="s">
        <v>246</v>
      </c>
      <c r="D990" s="2" t="s">
        <v>10</v>
      </c>
      <c r="E990" s="2" t="s">
        <v>248</v>
      </c>
      <c r="F990" s="3">
        <v>43175</v>
      </c>
      <c r="G990" s="4">
        <v>3265001000</v>
      </c>
      <c r="H990">
        <f t="shared" si="45"/>
        <v>36</v>
      </c>
      <c r="I990">
        <f t="shared" si="46"/>
        <v>0.33333333333333331</v>
      </c>
      <c r="J990">
        <f t="shared" si="47"/>
        <v>12</v>
      </c>
      <c r="O990">
        <v>3258</v>
      </c>
      <c r="P990">
        <v>1000</v>
      </c>
    </row>
    <row r="991" spans="1:16" ht="15" customHeight="1" x14ac:dyDescent="0.2">
      <c r="A991" s="4">
        <v>2966</v>
      </c>
      <c r="B991" s="2" t="s">
        <v>49</v>
      </c>
      <c r="C991" s="2" t="s">
        <v>187</v>
      </c>
      <c r="D991" s="2" t="s">
        <v>10</v>
      </c>
      <c r="E991" s="2">
        <v>27235</v>
      </c>
      <c r="F991" s="3">
        <v>43174</v>
      </c>
      <c r="G991" s="4">
        <v>66011000</v>
      </c>
      <c r="H991">
        <f t="shared" si="45"/>
        <v>591.5</v>
      </c>
      <c r="I991">
        <f t="shared" si="46"/>
        <v>0.33333333333333331</v>
      </c>
      <c r="J991">
        <f t="shared" si="47"/>
        <v>197.16666666666666</v>
      </c>
      <c r="O991">
        <v>3259</v>
      </c>
      <c r="P991">
        <v>1000</v>
      </c>
    </row>
    <row r="992" spans="1:16" ht="26.1" customHeight="1" x14ac:dyDescent="0.2">
      <c r="A992" s="4">
        <v>2967</v>
      </c>
      <c r="B992" s="2" t="s">
        <v>158</v>
      </c>
      <c r="C992" s="2" t="s">
        <v>159</v>
      </c>
      <c r="D992" s="2">
        <v>90</v>
      </c>
      <c r="E992" s="2" t="s">
        <v>249</v>
      </c>
      <c r="F992" s="3">
        <v>43195</v>
      </c>
      <c r="G992" s="4">
        <v>3034001000</v>
      </c>
      <c r="H992">
        <f t="shared" si="45"/>
        <v>591.5</v>
      </c>
      <c r="I992">
        <f t="shared" si="46"/>
        <v>0.33333333333333331</v>
      </c>
      <c r="J992">
        <f t="shared" si="47"/>
        <v>197.16666666666666</v>
      </c>
      <c r="O992">
        <v>3262</v>
      </c>
      <c r="P992">
        <v>3950.5</v>
      </c>
    </row>
    <row r="993" spans="1:16" ht="26.1" customHeight="1" x14ac:dyDescent="0.2">
      <c r="A993" s="4">
        <v>2969</v>
      </c>
      <c r="B993" s="2" t="s">
        <v>123</v>
      </c>
      <c r="C993" s="2" t="s">
        <v>187</v>
      </c>
      <c r="D993" s="2" t="s">
        <v>243</v>
      </c>
      <c r="E993" s="2">
        <v>2665</v>
      </c>
      <c r="F993" s="3">
        <v>43228</v>
      </c>
      <c r="G993" s="4">
        <v>953011000</v>
      </c>
      <c r="H993">
        <f t="shared" si="45"/>
        <v>2200</v>
      </c>
      <c r="I993">
        <f t="shared" si="46"/>
        <v>0.33333333333333331</v>
      </c>
      <c r="J993">
        <f t="shared" si="47"/>
        <v>733.33333333333326</v>
      </c>
      <c r="O993">
        <v>3263</v>
      </c>
      <c r="P993">
        <v>3950.5</v>
      </c>
    </row>
    <row r="994" spans="1:16" ht="26.1" customHeight="1" x14ac:dyDescent="0.2">
      <c r="A994" s="4">
        <v>2970</v>
      </c>
      <c r="B994" s="2" t="s">
        <v>123</v>
      </c>
      <c r="C994" s="2" t="s">
        <v>187</v>
      </c>
      <c r="D994" s="2" t="s">
        <v>188</v>
      </c>
      <c r="F994" s="3">
        <v>43294</v>
      </c>
      <c r="G994" s="4">
        <v>193012000</v>
      </c>
      <c r="H994">
        <f t="shared" si="45"/>
        <v>3400</v>
      </c>
      <c r="I994">
        <f t="shared" si="46"/>
        <v>2</v>
      </c>
      <c r="J994">
        <f t="shared" si="47"/>
        <v>6800</v>
      </c>
      <c r="O994">
        <v>3264</v>
      </c>
      <c r="P994">
        <v>0</v>
      </c>
    </row>
    <row r="995" spans="1:16" ht="26.1" customHeight="1" x14ac:dyDescent="0.2">
      <c r="A995" s="4">
        <v>2972</v>
      </c>
      <c r="B995" s="2" t="s">
        <v>250</v>
      </c>
      <c r="C995" s="2" t="s">
        <v>199</v>
      </c>
      <c r="D995" s="2" t="s">
        <v>10</v>
      </c>
      <c r="F995" s="3">
        <v>43362</v>
      </c>
      <c r="G995" s="4">
        <v>66011000</v>
      </c>
      <c r="H995">
        <f t="shared" si="45"/>
        <v>3400</v>
      </c>
      <c r="I995">
        <f t="shared" si="46"/>
        <v>2</v>
      </c>
      <c r="J995">
        <f t="shared" si="47"/>
        <v>6800</v>
      </c>
      <c r="O995">
        <v>3265</v>
      </c>
      <c r="P995">
        <v>24</v>
      </c>
    </row>
    <row r="996" spans="1:16" ht="15" customHeight="1" x14ac:dyDescent="0.2">
      <c r="A996" s="4">
        <v>2973</v>
      </c>
      <c r="B996" s="2" t="s">
        <v>146</v>
      </c>
      <c r="C996" s="2" t="s">
        <v>132</v>
      </c>
      <c r="D996" s="2" t="s">
        <v>147</v>
      </c>
      <c r="F996" s="3">
        <v>43362</v>
      </c>
      <c r="G996" s="4">
        <v>1014001</v>
      </c>
      <c r="H996">
        <f t="shared" si="45"/>
        <v>3400</v>
      </c>
      <c r="I996">
        <f t="shared" si="46"/>
        <v>2</v>
      </c>
      <c r="J996">
        <f t="shared" si="47"/>
        <v>6800</v>
      </c>
      <c r="O996">
        <v>3267</v>
      </c>
      <c r="P996">
        <v>24</v>
      </c>
    </row>
    <row r="997" spans="1:16" ht="15" customHeight="1" x14ac:dyDescent="0.2">
      <c r="A997" s="4">
        <v>2975</v>
      </c>
      <c r="B997" s="2" t="s">
        <v>128</v>
      </c>
      <c r="C997" s="2" t="s">
        <v>69</v>
      </c>
      <c r="D997" s="2" t="s">
        <v>10</v>
      </c>
      <c r="F997" s="3">
        <v>43381</v>
      </c>
      <c r="G997" s="4">
        <v>1025002</v>
      </c>
      <c r="H997">
        <f t="shared" si="45"/>
        <v>0</v>
      </c>
      <c r="I997">
        <f t="shared" si="46"/>
        <v>2</v>
      </c>
      <c r="J997">
        <f t="shared" si="47"/>
        <v>0</v>
      </c>
      <c r="O997">
        <v>3268</v>
      </c>
      <c r="P997">
        <v>1200</v>
      </c>
    </row>
    <row r="998" spans="1:16" ht="15" customHeight="1" x14ac:dyDescent="0.2">
      <c r="A998" s="4">
        <v>2977</v>
      </c>
      <c r="B998" s="2" t="s">
        <v>13</v>
      </c>
      <c r="C998" s="2" t="s">
        <v>69</v>
      </c>
      <c r="D998" s="2" t="s">
        <v>10</v>
      </c>
      <c r="F998" s="3">
        <v>43358</v>
      </c>
      <c r="G998" s="4">
        <v>165008000</v>
      </c>
      <c r="H998">
        <f t="shared" si="45"/>
        <v>0</v>
      </c>
      <c r="I998">
        <f t="shared" si="46"/>
        <v>2</v>
      </c>
      <c r="J998">
        <f t="shared" si="47"/>
        <v>0</v>
      </c>
      <c r="O998">
        <v>3269</v>
      </c>
      <c r="P998">
        <v>1200</v>
      </c>
    </row>
    <row r="999" spans="1:16" ht="26.1" customHeight="1" x14ac:dyDescent="0.2">
      <c r="A999" s="4">
        <v>2978</v>
      </c>
      <c r="B999" s="2" t="s">
        <v>245</v>
      </c>
      <c r="C999" s="2" t="s">
        <v>251</v>
      </c>
      <c r="D999" s="2">
        <v>7876817</v>
      </c>
      <c r="F999" s="3">
        <v>43403</v>
      </c>
      <c r="G999" s="4">
        <v>1014002</v>
      </c>
      <c r="H999">
        <f t="shared" si="45"/>
        <v>0</v>
      </c>
      <c r="I999">
        <f t="shared" si="46"/>
        <v>2</v>
      </c>
      <c r="J999">
        <f t="shared" si="47"/>
        <v>0</v>
      </c>
      <c r="O999">
        <v>3270</v>
      </c>
      <c r="P999">
        <v>3950.5</v>
      </c>
    </row>
    <row r="1000" spans="1:16" ht="15" customHeight="1" x14ac:dyDescent="0.2">
      <c r="A1000" s="4">
        <v>2979</v>
      </c>
      <c r="B1000" s="2" t="s">
        <v>99</v>
      </c>
      <c r="C1000" s="2" t="s">
        <v>252</v>
      </c>
      <c r="D1000" s="2" t="s">
        <v>253</v>
      </c>
      <c r="F1000" s="3">
        <v>43403</v>
      </c>
      <c r="G1000" s="4">
        <v>66011000</v>
      </c>
      <c r="H1000">
        <f t="shared" si="45"/>
        <v>36</v>
      </c>
      <c r="I1000">
        <f t="shared" si="46"/>
        <v>2</v>
      </c>
      <c r="J1000">
        <f t="shared" si="47"/>
        <v>72</v>
      </c>
      <c r="O1000">
        <v>3271</v>
      </c>
      <c r="P1000">
        <v>3950.5</v>
      </c>
    </row>
    <row r="1001" spans="1:16" ht="15" customHeight="1" x14ac:dyDescent="0.2">
      <c r="A1001" s="4">
        <v>2980</v>
      </c>
      <c r="B1001" s="2" t="s">
        <v>254</v>
      </c>
      <c r="C1001" s="2" t="s">
        <v>255</v>
      </c>
      <c r="F1001" s="3">
        <v>43490</v>
      </c>
      <c r="G1001" s="4">
        <v>1007000</v>
      </c>
      <c r="H1001">
        <f t="shared" si="45"/>
        <v>36</v>
      </c>
      <c r="I1001">
        <f t="shared" si="46"/>
        <v>2</v>
      </c>
      <c r="J1001">
        <f t="shared" si="47"/>
        <v>72</v>
      </c>
      <c r="O1001">
        <v>3272</v>
      </c>
      <c r="P1001">
        <v>1000</v>
      </c>
    </row>
    <row r="1002" spans="1:16" ht="15" customHeight="1" x14ac:dyDescent="0.2">
      <c r="A1002" s="4">
        <v>2981</v>
      </c>
      <c r="B1002" s="2" t="s">
        <v>222</v>
      </c>
      <c r="C1002" s="2" t="s">
        <v>187</v>
      </c>
      <c r="D1002" s="2" t="s">
        <v>256</v>
      </c>
      <c r="F1002" s="3">
        <v>43500</v>
      </c>
      <c r="G1002" s="4">
        <v>2126001000</v>
      </c>
      <c r="H1002">
        <f t="shared" si="45"/>
        <v>3400</v>
      </c>
      <c r="I1002">
        <f t="shared" si="46"/>
        <v>0.8571428571428571</v>
      </c>
      <c r="J1002">
        <f t="shared" si="47"/>
        <v>2914.2857142857142</v>
      </c>
      <c r="O1002">
        <v>3273</v>
      </c>
      <c r="P1002">
        <v>1000</v>
      </c>
    </row>
    <row r="1003" spans="1:16" ht="15" customHeight="1" x14ac:dyDescent="0.2">
      <c r="A1003" s="4">
        <v>2984</v>
      </c>
      <c r="B1003" s="2" t="s">
        <v>257</v>
      </c>
      <c r="C1003" s="2" t="s">
        <v>258</v>
      </c>
      <c r="D1003" s="2" t="s">
        <v>10</v>
      </c>
      <c r="F1003" s="3">
        <v>43572</v>
      </c>
      <c r="G1003" s="4">
        <v>1022000</v>
      </c>
      <c r="H1003">
        <f t="shared" si="45"/>
        <v>3400</v>
      </c>
      <c r="I1003">
        <f t="shared" si="46"/>
        <v>0.8571428571428571</v>
      </c>
      <c r="J1003">
        <f t="shared" si="47"/>
        <v>2914.2857142857142</v>
      </c>
      <c r="O1003">
        <v>3274</v>
      </c>
      <c r="P1003">
        <v>1000</v>
      </c>
    </row>
    <row r="1004" spans="1:16" ht="26.1" customHeight="1" x14ac:dyDescent="0.2">
      <c r="A1004" s="4">
        <v>2986</v>
      </c>
      <c r="B1004" s="2" t="s">
        <v>106</v>
      </c>
      <c r="C1004" s="2" t="s">
        <v>187</v>
      </c>
      <c r="D1004" s="2" t="s">
        <v>214</v>
      </c>
      <c r="E1004" s="2" t="s">
        <v>195</v>
      </c>
      <c r="F1004" s="3">
        <v>43676</v>
      </c>
      <c r="G1004" s="4">
        <v>165001000</v>
      </c>
      <c r="H1004">
        <f t="shared" si="45"/>
        <v>3600</v>
      </c>
      <c r="I1004">
        <f t="shared" si="46"/>
        <v>2.8571428571428572</v>
      </c>
      <c r="J1004">
        <f t="shared" si="47"/>
        <v>10285.714285714286</v>
      </c>
      <c r="O1004">
        <v>3275</v>
      </c>
      <c r="P1004">
        <v>2000</v>
      </c>
    </row>
    <row r="1005" spans="1:16" ht="15" customHeight="1" x14ac:dyDescent="0.2">
      <c r="A1005" s="4">
        <v>2988</v>
      </c>
      <c r="B1005" s="2" t="s">
        <v>13</v>
      </c>
      <c r="C1005" s="2" t="s">
        <v>8</v>
      </c>
      <c r="D1005" s="2" t="s">
        <v>156</v>
      </c>
      <c r="E1005" s="2">
        <v>9863</v>
      </c>
      <c r="F1005" s="3">
        <v>43711</v>
      </c>
      <c r="G1005" s="4">
        <v>153002000</v>
      </c>
      <c r="H1005">
        <f t="shared" si="45"/>
        <v>1000</v>
      </c>
      <c r="I1005">
        <f t="shared" si="46"/>
        <v>2</v>
      </c>
      <c r="J1005">
        <f t="shared" si="47"/>
        <v>2000</v>
      </c>
      <c r="O1005">
        <v>3276</v>
      </c>
      <c r="P1005">
        <v>3600</v>
      </c>
    </row>
    <row r="1006" spans="1:16" ht="15" customHeight="1" x14ac:dyDescent="0.2">
      <c r="A1006" s="4">
        <v>2989</v>
      </c>
      <c r="B1006" s="2" t="s">
        <v>13</v>
      </c>
      <c r="C1006" s="2" t="s">
        <v>8</v>
      </c>
      <c r="D1006" s="2" t="s">
        <v>156</v>
      </c>
      <c r="E1006" s="2">
        <v>9930</v>
      </c>
      <c r="F1006" s="3">
        <v>43711</v>
      </c>
      <c r="G1006" s="4">
        <v>2548013000</v>
      </c>
      <c r="H1006">
        <f t="shared" si="45"/>
        <v>1000</v>
      </c>
      <c r="I1006">
        <f t="shared" si="46"/>
        <v>0.2857142857142857</v>
      </c>
      <c r="J1006">
        <f t="shared" si="47"/>
        <v>285.71428571428572</v>
      </c>
      <c r="O1006">
        <v>3277</v>
      </c>
      <c r="P1006">
        <v>3700</v>
      </c>
    </row>
    <row r="1007" spans="1:16" ht="26.1" customHeight="1" x14ac:dyDescent="0.2">
      <c r="A1007" s="4">
        <v>2990</v>
      </c>
      <c r="B1007" s="2" t="s">
        <v>13</v>
      </c>
      <c r="C1007" s="2" t="s">
        <v>204</v>
      </c>
      <c r="E1007" s="2" t="s">
        <v>259</v>
      </c>
      <c r="F1007" s="3">
        <v>43718</v>
      </c>
      <c r="G1007" s="4">
        <v>3319002000</v>
      </c>
      <c r="H1007">
        <f t="shared" si="45"/>
        <v>767</v>
      </c>
      <c r="I1007">
        <f t="shared" si="46"/>
        <v>0.33333333333333331</v>
      </c>
      <c r="J1007">
        <f t="shared" si="47"/>
        <v>255.66666666666666</v>
      </c>
      <c r="O1007">
        <v>3278</v>
      </c>
      <c r="P1007">
        <v>24</v>
      </c>
    </row>
    <row r="1008" spans="1:16" ht="15" customHeight="1" x14ac:dyDescent="0.2">
      <c r="A1008" s="4">
        <v>2993</v>
      </c>
      <c r="B1008" s="2" t="s">
        <v>13</v>
      </c>
      <c r="C1008" s="2" t="s">
        <v>187</v>
      </c>
      <c r="D1008" s="2" t="s">
        <v>217</v>
      </c>
      <c r="F1008" s="3">
        <v>43719</v>
      </c>
      <c r="G1008" s="4">
        <v>3135003000</v>
      </c>
      <c r="H1008">
        <f t="shared" si="45"/>
        <v>1200</v>
      </c>
      <c r="I1008">
        <f t="shared" si="46"/>
        <v>0.14285714285714285</v>
      </c>
      <c r="J1008">
        <f t="shared" si="47"/>
        <v>171.42857142857142</v>
      </c>
      <c r="O1008">
        <v>3279</v>
      </c>
      <c r="P1008">
        <v>1000</v>
      </c>
    </row>
    <row r="1009" spans="1:16" ht="15" customHeight="1" x14ac:dyDescent="0.2">
      <c r="A1009" s="4">
        <v>2994</v>
      </c>
      <c r="B1009" s="2" t="s">
        <v>222</v>
      </c>
      <c r="C1009" s="2" t="s">
        <v>80</v>
      </c>
      <c r="D1009" s="2" t="s">
        <v>10</v>
      </c>
      <c r="F1009" s="3">
        <v>43718</v>
      </c>
      <c r="G1009" s="4">
        <v>165008000</v>
      </c>
      <c r="H1009">
        <f t="shared" si="45"/>
        <v>0</v>
      </c>
      <c r="I1009">
        <f t="shared" si="46"/>
        <v>0.33333333333333331</v>
      </c>
      <c r="J1009">
        <f t="shared" si="47"/>
        <v>0</v>
      </c>
      <c r="O1009">
        <v>3280</v>
      </c>
      <c r="P1009">
        <v>1000</v>
      </c>
    </row>
    <row r="1010" spans="1:16" ht="15" customHeight="1" x14ac:dyDescent="0.2">
      <c r="A1010" s="4">
        <v>2995</v>
      </c>
      <c r="B1010" s="2" t="s">
        <v>260</v>
      </c>
      <c r="C1010" s="2" t="s">
        <v>80</v>
      </c>
      <c r="D1010" s="2" t="s">
        <v>10</v>
      </c>
      <c r="F1010" s="3">
        <v>43761</v>
      </c>
      <c r="G1010" s="4">
        <v>66011000</v>
      </c>
      <c r="H1010">
        <f t="shared" si="45"/>
        <v>0</v>
      </c>
      <c r="I1010">
        <f t="shared" si="46"/>
        <v>0.33333333333333331</v>
      </c>
      <c r="J1010">
        <f t="shared" si="47"/>
        <v>0</v>
      </c>
      <c r="O1010">
        <v>3285</v>
      </c>
      <c r="P1010">
        <v>24</v>
      </c>
    </row>
    <row r="1011" spans="1:16" ht="15" customHeight="1" x14ac:dyDescent="0.2">
      <c r="A1011" s="4">
        <v>3000</v>
      </c>
      <c r="B1011" s="2" t="s">
        <v>13</v>
      </c>
      <c r="C1011" s="2" t="s">
        <v>8</v>
      </c>
      <c r="D1011" s="2" t="s">
        <v>156</v>
      </c>
      <c r="F1011" s="3">
        <v>43763</v>
      </c>
      <c r="G1011" s="4">
        <v>3178010000</v>
      </c>
      <c r="H1011">
        <f t="shared" si="45"/>
        <v>1000</v>
      </c>
      <c r="I1011">
        <f t="shared" si="46"/>
        <v>1</v>
      </c>
      <c r="J1011">
        <f t="shared" si="47"/>
        <v>1000</v>
      </c>
      <c r="O1011">
        <v>3286</v>
      </c>
      <c r="P1011">
        <v>1000</v>
      </c>
    </row>
    <row r="1012" spans="1:16" ht="39.200000000000003" customHeight="1" x14ac:dyDescent="0.2">
      <c r="A1012" s="4">
        <v>3003</v>
      </c>
      <c r="B1012" s="2" t="s">
        <v>146</v>
      </c>
      <c r="C1012" s="2" t="s">
        <v>226</v>
      </c>
      <c r="D1012" s="2" t="s">
        <v>261</v>
      </c>
      <c r="E1012" s="2" t="s">
        <v>262</v>
      </c>
      <c r="F1012" s="3">
        <v>43776</v>
      </c>
      <c r="G1012" s="4">
        <v>2905001000</v>
      </c>
      <c r="H1012">
        <f t="shared" si="45"/>
        <v>1000</v>
      </c>
      <c r="I1012">
        <f t="shared" si="46"/>
        <v>1</v>
      </c>
      <c r="J1012">
        <f t="shared" si="47"/>
        <v>1000</v>
      </c>
      <c r="O1012">
        <v>3287</v>
      </c>
      <c r="P1012">
        <v>3600</v>
      </c>
    </row>
    <row r="1013" spans="1:16" ht="39.200000000000003" customHeight="1" x14ac:dyDescent="0.2">
      <c r="A1013" s="4">
        <v>3006</v>
      </c>
      <c r="B1013" s="2" t="s">
        <v>146</v>
      </c>
      <c r="C1013" s="2" t="s">
        <v>226</v>
      </c>
      <c r="D1013" s="2" t="s">
        <v>261</v>
      </c>
      <c r="E1013" s="2" t="s">
        <v>263</v>
      </c>
      <c r="F1013" s="3">
        <v>43776</v>
      </c>
      <c r="G1013" s="4">
        <v>3135001000</v>
      </c>
      <c r="H1013">
        <f t="shared" si="45"/>
        <v>1000</v>
      </c>
      <c r="I1013">
        <f t="shared" si="46"/>
        <v>1</v>
      </c>
      <c r="J1013">
        <f t="shared" si="47"/>
        <v>1000</v>
      </c>
      <c r="O1013">
        <v>3288</v>
      </c>
      <c r="P1013">
        <v>1013</v>
      </c>
    </row>
    <row r="1014" spans="1:16" ht="39.200000000000003" customHeight="1" x14ac:dyDescent="0.2">
      <c r="A1014" s="4">
        <v>3007</v>
      </c>
      <c r="B1014" s="2" t="s">
        <v>146</v>
      </c>
      <c r="C1014" s="2" t="s">
        <v>226</v>
      </c>
      <c r="D1014" s="2" t="s">
        <v>261</v>
      </c>
      <c r="E1014" s="2" t="s">
        <v>264</v>
      </c>
      <c r="F1014" s="3">
        <v>43776</v>
      </c>
      <c r="G1014" s="4">
        <v>3135001000</v>
      </c>
      <c r="H1014">
        <f t="shared" si="45"/>
        <v>1000</v>
      </c>
      <c r="I1014">
        <f t="shared" si="46"/>
        <v>1</v>
      </c>
      <c r="J1014">
        <f t="shared" si="47"/>
        <v>1000</v>
      </c>
      <c r="O1014">
        <v>3289</v>
      </c>
      <c r="P1014">
        <v>1200</v>
      </c>
    </row>
    <row r="1015" spans="1:16" ht="39.200000000000003" customHeight="1" x14ac:dyDescent="0.2">
      <c r="A1015" s="4">
        <v>3008</v>
      </c>
      <c r="B1015" s="2" t="s">
        <v>146</v>
      </c>
      <c r="C1015" s="2" t="s">
        <v>226</v>
      </c>
      <c r="D1015" s="2" t="s">
        <v>261</v>
      </c>
      <c r="E1015" s="2" t="s">
        <v>265</v>
      </c>
      <c r="F1015" s="3">
        <v>43776</v>
      </c>
      <c r="G1015" s="4">
        <v>1978003000</v>
      </c>
      <c r="H1015">
        <f t="shared" si="45"/>
        <v>1000</v>
      </c>
      <c r="I1015">
        <f t="shared" si="46"/>
        <v>1</v>
      </c>
      <c r="J1015">
        <f t="shared" si="47"/>
        <v>1000</v>
      </c>
      <c r="O1015">
        <v>3290</v>
      </c>
      <c r="P1015">
        <v>1200</v>
      </c>
    </row>
    <row r="1016" spans="1:16" ht="26.1" customHeight="1" x14ac:dyDescent="0.2">
      <c r="A1016" s="4">
        <v>3010</v>
      </c>
      <c r="B1016" s="2" t="s">
        <v>266</v>
      </c>
      <c r="C1016" s="2" t="s">
        <v>226</v>
      </c>
      <c r="D1016" s="2" t="s">
        <v>267</v>
      </c>
      <c r="E1016" s="2" t="s">
        <v>268</v>
      </c>
      <c r="F1016" s="3">
        <v>43776</v>
      </c>
      <c r="G1016" s="4">
        <v>165001000</v>
      </c>
      <c r="H1016">
        <f t="shared" si="45"/>
        <v>1000</v>
      </c>
      <c r="I1016">
        <f t="shared" si="46"/>
        <v>1</v>
      </c>
      <c r="J1016">
        <f t="shared" si="47"/>
        <v>1000</v>
      </c>
      <c r="O1016">
        <v>3292</v>
      </c>
      <c r="P1016">
        <v>24</v>
      </c>
    </row>
    <row r="1017" spans="1:16" ht="26.1" customHeight="1" x14ac:dyDescent="0.2">
      <c r="A1017" s="4">
        <v>3011</v>
      </c>
      <c r="B1017" s="2" t="s">
        <v>266</v>
      </c>
      <c r="C1017" s="2" t="s">
        <v>226</v>
      </c>
      <c r="D1017" s="2" t="s">
        <v>267</v>
      </c>
      <c r="E1017" s="2" t="s">
        <v>269</v>
      </c>
      <c r="F1017" s="3">
        <v>43776</v>
      </c>
      <c r="G1017" s="4">
        <v>1014001</v>
      </c>
      <c r="H1017">
        <f t="shared" si="45"/>
        <v>1000</v>
      </c>
      <c r="I1017">
        <f t="shared" si="46"/>
        <v>1</v>
      </c>
      <c r="J1017">
        <f t="shared" si="47"/>
        <v>1000</v>
      </c>
      <c r="O1017">
        <v>3293</v>
      </c>
      <c r="P1017">
        <v>24</v>
      </c>
    </row>
    <row r="1018" spans="1:16" ht="15" customHeight="1" x14ac:dyDescent="0.2">
      <c r="A1018" s="4">
        <v>3015</v>
      </c>
      <c r="B1018" s="2" t="s">
        <v>150</v>
      </c>
      <c r="C1018" s="2" t="s">
        <v>80</v>
      </c>
      <c r="D1018" s="2" t="s">
        <v>270</v>
      </c>
      <c r="E1018" s="2">
        <v>123456</v>
      </c>
      <c r="F1018" s="3">
        <v>43776</v>
      </c>
      <c r="G1018" s="4">
        <v>2126010000</v>
      </c>
      <c r="H1018">
        <f t="shared" si="45"/>
        <v>1000</v>
      </c>
      <c r="I1018">
        <f t="shared" si="46"/>
        <v>1</v>
      </c>
      <c r="J1018">
        <f t="shared" si="47"/>
        <v>1000</v>
      </c>
      <c r="O1018">
        <v>3295</v>
      </c>
      <c r="P1018">
        <v>24</v>
      </c>
    </row>
    <row r="1019" spans="1:16" ht="26.1" customHeight="1" x14ac:dyDescent="0.2">
      <c r="A1019" s="4">
        <v>3016</v>
      </c>
      <c r="B1019" s="2" t="s">
        <v>123</v>
      </c>
      <c r="C1019" s="2" t="s">
        <v>80</v>
      </c>
      <c r="D1019" s="2" t="s">
        <v>271</v>
      </c>
      <c r="E1019" s="2">
        <v>123456</v>
      </c>
      <c r="F1019" s="3">
        <v>43776</v>
      </c>
      <c r="G1019" s="4">
        <v>3116001000</v>
      </c>
      <c r="H1019">
        <f t="shared" si="45"/>
        <v>1700</v>
      </c>
      <c r="I1019">
        <f t="shared" si="46"/>
        <v>0.33333333333333331</v>
      </c>
      <c r="J1019">
        <f t="shared" si="47"/>
        <v>566.66666666666663</v>
      </c>
      <c r="O1019">
        <v>3299</v>
      </c>
      <c r="P1019">
        <v>1000</v>
      </c>
    </row>
    <row r="1020" spans="1:16" ht="26.1" customHeight="1" x14ac:dyDescent="0.2">
      <c r="A1020" s="4">
        <v>3017</v>
      </c>
      <c r="B1020" s="2" t="s">
        <v>11</v>
      </c>
      <c r="C1020" s="2" t="s">
        <v>8</v>
      </c>
      <c r="D1020" s="2" t="s">
        <v>9</v>
      </c>
      <c r="E1020" s="2">
        <v>39695</v>
      </c>
      <c r="F1020" s="3">
        <v>43781</v>
      </c>
      <c r="G1020" s="4">
        <v>1023000</v>
      </c>
      <c r="H1020">
        <f t="shared" si="45"/>
        <v>309.5</v>
      </c>
      <c r="I1020">
        <f t="shared" si="46"/>
        <v>0.14285714285714285</v>
      </c>
      <c r="J1020">
        <f t="shared" si="47"/>
        <v>44.214285714285715</v>
      </c>
      <c r="O1020">
        <v>3300</v>
      </c>
      <c r="P1020">
        <v>1000</v>
      </c>
    </row>
    <row r="1021" spans="1:16" ht="15" customHeight="1" x14ac:dyDescent="0.2">
      <c r="A1021" s="4">
        <v>3020</v>
      </c>
      <c r="B1021" s="2" t="s">
        <v>13</v>
      </c>
      <c r="C1021" s="2" t="s">
        <v>169</v>
      </c>
      <c r="D1021" s="2" t="s">
        <v>156</v>
      </c>
      <c r="E1021" s="2">
        <v>10065</v>
      </c>
      <c r="F1021" s="3">
        <v>43781</v>
      </c>
      <c r="G1021" s="4">
        <v>1068027000</v>
      </c>
      <c r="H1021">
        <f t="shared" si="45"/>
        <v>1000</v>
      </c>
      <c r="I1021">
        <f t="shared" si="46"/>
        <v>2</v>
      </c>
      <c r="J1021">
        <f t="shared" si="47"/>
        <v>2000</v>
      </c>
      <c r="O1021">
        <v>3301</v>
      </c>
      <c r="P1021">
        <v>1000</v>
      </c>
    </row>
    <row r="1022" spans="1:16" ht="15" customHeight="1" x14ac:dyDescent="0.2">
      <c r="A1022" s="4">
        <v>3021</v>
      </c>
      <c r="B1022" s="2" t="s">
        <v>13</v>
      </c>
      <c r="C1022" s="2" t="s">
        <v>169</v>
      </c>
      <c r="D1022" s="2" t="s">
        <v>156</v>
      </c>
      <c r="E1022" s="2">
        <v>10066</v>
      </c>
      <c r="F1022" s="3">
        <v>43781</v>
      </c>
      <c r="G1022" s="4">
        <v>1165000000</v>
      </c>
      <c r="H1022">
        <f t="shared" si="45"/>
        <v>1000</v>
      </c>
      <c r="I1022">
        <f t="shared" si="46"/>
        <v>0.42857142857142855</v>
      </c>
      <c r="J1022">
        <f t="shared" si="47"/>
        <v>428.57142857142856</v>
      </c>
      <c r="O1022">
        <v>3302</v>
      </c>
      <c r="P1022">
        <v>1000</v>
      </c>
    </row>
    <row r="1023" spans="1:16" ht="15" customHeight="1" x14ac:dyDescent="0.2">
      <c r="A1023" s="4">
        <v>3022</v>
      </c>
      <c r="B1023" s="2" t="s">
        <v>13</v>
      </c>
      <c r="C1023" s="2" t="s">
        <v>169</v>
      </c>
      <c r="D1023" s="2" t="s">
        <v>156</v>
      </c>
      <c r="E1023" s="2">
        <v>10067</v>
      </c>
      <c r="F1023" s="3">
        <v>43781</v>
      </c>
      <c r="G1023" s="4">
        <v>1023000</v>
      </c>
      <c r="H1023">
        <f t="shared" si="45"/>
        <v>1000</v>
      </c>
      <c r="I1023">
        <f t="shared" si="46"/>
        <v>0.21428571428571427</v>
      </c>
      <c r="J1023">
        <f t="shared" si="47"/>
        <v>214.28571428571428</v>
      </c>
      <c r="O1023">
        <v>3303</v>
      </c>
      <c r="P1023">
        <v>24</v>
      </c>
    </row>
    <row r="1024" spans="1:16" ht="15" customHeight="1" x14ac:dyDescent="0.2">
      <c r="A1024" s="4">
        <v>3023</v>
      </c>
      <c r="B1024" s="2" t="s">
        <v>13</v>
      </c>
      <c r="C1024" s="2" t="s">
        <v>169</v>
      </c>
      <c r="D1024" s="2" t="s">
        <v>156</v>
      </c>
      <c r="E1024" s="2">
        <v>10068</v>
      </c>
      <c r="F1024" s="3">
        <v>43781</v>
      </c>
      <c r="G1024" s="4">
        <v>3370011000</v>
      </c>
      <c r="H1024">
        <f t="shared" si="45"/>
        <v>1000</v>
      </c>
      <c r="I1024">
        <f t="shared" si="46"/>
        <v>0.21428571428571427</v>
      </c>
      <c r="J1024">
        <f t="shared" si="47"/>
        <v>214.28571428571428</v>
      </c>
      <c r="O1024">
        <v>3304</v>
      </c>
      <c r="P1024">
        <v>1200</v>
      </c>
    </row>
    <row r="1025" spans="1:16" ht="15" customHeight="1" x14ac:dyDescent="0.2">
      <c r="A1025" s="4">
        <v>3024</v>
      </c>
      <c r="B1025" s="2" t="s">
        <v>13</v>
      </c>
      <c r="C1025" s="2" t="s">
        <v>169</v>
      </c>
      <c r="D1025" s="2" t="s">
        <v>156</v>
      </c>
      <c r="E1025" s="2">
        <v>10070</v>
      </c>
      <c r="F1025" s="3">
        <v>43798</v>
      </c>
      <c r="G1025" s="4">
        <v>1925007000</v>
      </c>
      <c r="H1025">
        <f t="shared" si="45"/>
        <v>1000</v>
      </c>
      <c r="I1025">
        <f t="shared" si="46"/>
        <v>3</v>
      </c>
      <c r="J1025">
        <f t="shared" si="47"/>
        <v>3000</v>
      </c>
      <c r="O1025">
        <v>3305</v>
      </c>
      <c r="P1025">
        <v>1200</v>
      </c>
    </row>
    <row r="1026" spans="1:16" ht="15" customHeight="1" x14ac:dyDescent="0.2">
      <c r="A1026" s="4">
        <v>3025</v>
      </c>
      <c r="B1026" s="2" t="s">
        <v>13</v>
      </c>
      <c r="C1026" s="2" t="s">
        <v>169</v>
      </c>
      <c r="D1026" s="2" t="s">
        <v>156</v>
      </c>
      <c r="E1026" s="2">
        <v>10069</v>
      </c>
      <c r="F1026" s="3">
        <v>43798</v>
      </c>
      <c r="G1026" s="4">
        <v>2053001000</v>
      </c>
      <c r="H1026">
        <f t="shared" ref="H1026:H1089" si="48">VLOOKUP(A1026,O:P,2)</f>
        <v>1000</v>
      </c>
      <c r="I1026">
        <f t="shared" ref="I1026:I1089" si="49">VLOOKUP(A1026,R:S,2)</f>
        <v>0.05</v>
      </c>
      <c r="J1026">
        <f t="shared" ref="J1026:J1089" si="50">H1026*I1026</f>
        <v>50</v>
      </c>
      <c r="O1026">
        <v>3308</v>
      </c>
      <c r="P1026">
        <v>24</v>
      </c>
    </row>
    <row r="1027" spans="1:16" ht="26.1" customHeight="1" x14ac:dyDescent="0.2">
      <c r="A1027" s="4">
        <v>3026</v>
      </c>
      <c r="B1027" s="2" t="s">
        <v>82</v>
      </c>
      <c r="C1027" s="2" t="s">
        <v>80</v>
      </c>
      <c r="D1027" s="2" t="s">
        <v>83</v>
      </c>
      <c r="E1027" s="2">
        <v>368731291</v>
      </c>
      <c r="F1027" s="3">
        <v>43801</v>
      </c>
      <c r="G1027" s="4">
        <v>1925007000</v>
      </c>
      <c r="H1027">
        <f t="shared" si="48"/>
        <v>1000</v>
      </c>
      <c r="I1027">
        <f t="shared" si="49"/>
        <v>0.05</v>
      </c>
      <c r="J1027">
        <f t="shared" si="50"/>
        <v>50</v>
      </c>
      <c r="O1027">
        <v>3309</v>
      </c>
      <c r="P1027">
        <v>1200</v>
      </c>
    </row>
    <row r="1028" spans="1:16" ht="26.1" customHeight="1" x14ac:dyDescent="0.2">
      <c r="A1028" s="4">
        <v>3029</v>
      </c>
      <c r="B1028" s="2" t="s">
        <v>79</v>
      </c>
      <c r="C1028" s="2" t="s">
        <v>80</v>
      </c>
      <c r="D1028" s="2" t="s">
        <v>197</v>
      </c>
      <c r="E1028" s="2">
        <v>42030111633</v>
      </c>
      <c r="F1028" s="3">
        <v>43802</v>
      </c>
      <c r="G1028" s="4">
        <v>1925007000</v>
      </c>
      <c r="H1028">
        <f t="shared" si="48"/>
        <v>1000</v>
      </c>
      <c r="I1028">
        <f t="shared" si="49"/>
        <v>0.05</v>
      </c>
      <c r="J1028">
        <f t="shared" si="50"/>
        <v>50</v>
      </c>
      <c r="O1028">
        <v>3310</v>
      </c>
      <c r="P1028">
        <v>1013</v>
      </c>
    </row>
    <row r="1029" spans="1:16" ht="39.200000000000003" customHeight="1" x14ac:dyDescent="0.2">
      <c r="A1029" s="4">
        <v>3032</v>
      </c>
      <c r="B1029" s="2" t="s">
        <v>65</v>
      </c>
      <c r="C1029" s="2" t="s">
        <v>272</v>
      </c>
      <c r="D1029" s="2" t="s">
        <v>273</v>
      </c>
      <c r="E1029" s="2" t="s">
        <v>274</v>
      </c>
      <c r="F1029" s="3">
        <v>43801</v>
      </c>
      <c r="G1029" s="4">
        <v>1925007000</v>
      </c>
      <c r="H1029">
        <f t="shared" si="48"/>
        <v>1000</v>
      </c>
      <c r="I1029">
        <f t="shared" si="49"/>
        <v>0.05</v>
      </c>
      <c r="J1029">
        <f t="shared" si="50"/>
        <v>50</v>
      </c>
      <c r="O1029">
        <v>3312</v>
      </c>
      <c r="P1029">
        <v>1200</v>
      </c>
    </row>
    <row r="1030" spans="1:16" ht="15" customHeight="1" x14ac:dyDescent="0.2">
      <c r="A1030" s="4">
        <v>3033</v>
      </c>
      <c r="B1030" s="2" t="s">
        <v>68</v>
      </c>
      <c r="C1030" s="2" t="s">
        <v>69</v>
      </c>
      <c r="D1030" s="2" t="s">
        <v>10</v>
      </c>
      <c r="E1030" s="2" t="s">
        <v>275</v>
      </c>
      <c r="F1030" s="3">
        <v>43801</v>
      </c>
      <c r="G1030" s="4">
        <v>1925007000</v>
      </c>
      <c r="H1030">
        <f t="shared" si="48"/>
        <v>1000</v>
      </c>
      <c r="I1030">
        <f t="shared" si="49"/>
        <v>0.05</v>
      </c>
      <c r="J1030">
        <f t="shared" si="50"/>
        <v>50</v>
      </c>
      <c r="O1030">
        <v>3313</v>
      </c>
      <c r="P1030">
        <v>1200</v>
      </c>
    </row>
    <row r="1031" spans="1:16" ht="15" customHeight="1" x14ac:dyDescent="0.2">
      <c r="A1031" s="4">
        <v>3034</v>
      </c>
      <c r="B1031" s="2" t="s">
        <v>276</v>
      </c>
      <c r="C1031" s="2" t="s">
        <v>277</v>
      </c>
      <c r="D1031" s="2" t="s">
        <v>278</v>
      </c>
      <c r="F1031" s="3">
        <v>43810</v>
      </c>
      <c r="G1031" s="4">
        <v>1925007000</v>
      </c>
      <c r="H1031">
        <f t="shared" si="48"/>
        <v>1000</v>
      </c>
      <c r="I1031">
        <f t="shared" si="49"/>
        <v>0.05</v>
      </c>
      <c r="J1031">
        <f t="shared" si="50"/>
        <v>50</v>
      </c>
      <c r="O1031">
        <v>3314</v>
      </c>
      <c r="P1031">
        <v>2037.55</v>
      </c>
    </row>
    <row r="1032" spans="1:16" ht="15" customHeight="1" x14ac:dyDescent="0.2">
      <c r="A1032" s="4">
        <v>3036</v>
      </c>
      <c r="B1032" s="2" t="s">
        <v>13</v>
      </c>
      <c r="C1032" s="2" t="s">
        <v>279</v>
      </c>
      <c r="D1032" s="2" t="s">
        <v>280</v>
      </c>
      <c r="E1032" s="2">
        <v>1192</v>
      </c>
      <c r="F1032" s="3">
        <v>43803</v>
      </c>
      <c r="G1032" s="4">
        <v>1014001</v>
      </c>
      <c r="H1032">
        <f t="shared" si="48"/>
        <v>2200</v>
      </c>
      <c r="I1032">
        <f t="shared" si="49"/>
        <v>6</v>
      </c>
      <c r="J1032">
        <f t="shared" si="50"/>
        <v>13200</v>
      </c>
      <c r="O1032">
        <v>3315</v>
      </c>
      <c r="P1032">
        <v>1200</v>
      </c>
    </row>
    <row r="1033" spans="1:16" ht="15" customHeight="1" x14ac:dyDescent="0.2">
      <c r="A1033" s="4">
        <v>3037</v>
      </c>
      <c r="B1033" s="2" t="s">
        <v>13</v>
      </c>
      <c r="C1033" s="2" t="s">
        <v>279</v>
      </c>
      <c r="D1033" s="2" t="s">
        <v>280</v>
      </c>
      <c r="E1033" s="2">
        <v>1200</v>
      </c>
      <c r="F1033" s="3">
        <v>43803</v>
      </c>
      <c r="G1033" s="4">
        <v>165001000</v>
      </c>
      <c r="H1033">
        <f t="shared" si="48"/>
        <v>2200</v>
      </c>
      <c r="I1033">
        <f t="shared" si="49"/>
        <v>3.7142857142857144</v>
      </c>
      <c r="J1033">
        <f t="shared" si="50"/>
        <v>8171.4285714285716</v>
      </c>
      <c r="O1033">
        <v>3317</v>
      </c>
      <c r="P1033">
        <v>2456</v>
      </c>
    </row>
    <row r="1034" spans="1:16" ht="15" customHeight="1" x14ac:dyDescent="0.2">
      <c r="A1034" s="4">
        <v>3038</v>
      </c>
      <c r="B1034" s="2" t="s">
        <v>13</v>
      </c>
      <c r="C1034" s="2" t="s">
        <v>279</v>
      </c>
      <c r="D1034" s="2" t="s">
        <v>280</v>
      </c>
      <c r="E1034" s="2">
        <v>1199</v>
      </c>
      <c r="F1034" s="3">
        <v>43773</v>
      </c>
      <c r="G1034" s="4">
        <v>1925011000</v>
      </c>
      <c r="H1034">
        <f t="shared" si="48"/>
        <v>2200</v>
      </c>
      <c r="I1034">
        <f t="shared" si="49"/>
        <v>3.7142857142857144</v>
      </c>
      <c r="J1034">
        <f t="shared" si="50"/>
        <v>8171.4285714285716</v>
      </c>
      <c r="O1034">
        <v>3319</v>
      </c>
      <c r="P1034">
        <v>859</v>
      </c>
    </row>
    <row r="1035" spans="1:16" ht="26.1" customHeight="1" x14ac:dyDescent="0.2">
      <c r="A1035" s="4">
        <v>3040</v>
      </c>
      <c r="B1035" s="2" t="s">
        <v>123</v>
      </c>
      <c r="C1035" s="2" t="s">
        <v>107</v>
      </c>
      <c r="D1035" s="2" t="s">
        <v>281</v>
      </c>
      <c r="E1035" s="2">
        <v>12345</v>
      </c>
      <c r="F1035" s="3">
        <v>43590</v>
      </c>
      <c r="G1035" s="4">
        <v>3135001000</v>
      </c>
      <c r="H1035">
        <f t="shared" si="48"/>
        <v>1199.5</v>
      </c>
      <c r="I1035">
        <f t="shared" si="49"/>
        <v>0.8571428571428571</v>
      </c>
      <c r="J1035">
        <f t="shared" si="50"/>
        <v>1028.1428571428571</v>
      </c>
      <c r="O1035">
        <v>3320</v>
      </c>
      <c r="P1035">
        <v>1200</v>
      </c>
    </row>
    <row r="1036" spans="1:16" ht="26.1" customHeight="1" x14ac:dyDescent="0.2">
      <c r="A1036" s="4">
        <v>3041</v>
      </c>
      <c r="B1036" s="2" t="s">
        <v>123</v>
      </c>
      <c r="C1036" s="2" t="s">
        <v>107</v>
      </c>
      <c r="D1036" s="2" t="s">
        <v>281</v>
      </c>
      <c r="E1036" s="2">
        <v>12345</v>
      </c>
      <c r="F1036" s="3">
        <v>43811</v>
      </c>
      <c r="G1036" s="4">
        <v>3365001000</v>
      </c>
      <c r="H1036">
        <f t="shared" si="48"/>
        <v>1199.5</v>
      </c>
      <c r="I1036">
        <f t="shared" si="49"/>
        <v>0.14285714285714285</v>
      </c>
      <c r="J1036">
        <f t="shared" si="50"/>
        <v>171.35714285714286</v>
      </c>
      <c r="O1036">
        <v>3321</v>
      </c>
      <c r="P1036">
        <v>2900</v>
      </c>
    </row>
    <row r="1037" spans="1:16" ht="26.1" customHeight="1" x14ac:dyDescent="0.2">
      <c r="A1037" s="4">
        <v>3042</v>
      </c>
      <c r="B1037" s="2" t="s">
        <v>123</v>
      </c>
      <c r="C1037" s="2" t="s">
        <v>107</v>
      </c>
      <c r="D1037" s="2" t="s">
        <v>281</v>
      </c>
      <c r="E1037" s="2">
        <v>5656565</v>
      </c>
      <c r="F1037" s="3">
        <v>43811</v>
      </c>
      <c r="G1037" s="4">
        <v>165001000</v>
      </c>
      <c r="H1037">
        <f t="shared" si="48"/>
        <v>1199.5</v>
      </c>
      <c r="I1037">
        <f t="shared" si="49"/>
        <v>3.4285714285714284</v>
      </c>
      <c r="J1037">
        <f t="shared" si="50"/>
        <v>4112.5714285714284</v>
      </c>
      <c r="O1037">
        <v>3325</v>
      </c>
      <c r="P1037">
        <v>12</v>
      </c>
    </row>
    <row r="1038" spans="1:16" ht="26.1" customHeight="1" x14ac:dyDescent="0.2">
      <c r="A1038" s="4">
        <v>3043</v>
      </c>
      <c r="B1038" s="2" t="s">
        <v>123</v>
      </c>
      <c r="C1038" s="2" t="s">
        <v>107</v>
      </c>
      <c r="D1038" s="2" t="s">
        <v>281</v>
      </c>
      <c r="E1038" s="2">
        <v>12345</v>
      </c>
      <c r="F1038" s="3">
        <v>43816</v>
      </c>
      <c r="G1038" s="4">
        <v>1014001</v>
      </c>
      <c r="H1038">
        <f t="shared" si="48"/>
        <v>1199.5</v>
      </c>
      <c r="I1038">
        <f t="shared" si="49"/>
        <v>0.8571428571428571</v>
      </c>
      <c r="J1038">
        <f t="shared" si="50"/>
        <v>1028.1428571428571</v>
      </c>
      <c r="O1038">
        <v>3327</v>
      </c>
      <c r="P1038">
        <v>24</v>
      </c>
    </row>
    <row r="1039" spans="1:16" ht="26.1" customHeight="1" x14ac:dyDescent="0.2">
      <c r="A1039" s="4">
        <v>3044</v>
      </c>
      <c r="B1039" s="2" t="s">
        <v>106</v>
      </c>
      <c r="C1039" s="2" t="s">
        <v>107</v>
      </c>
      <c r="D1039" s="2" t="s">
        <v>108</v>
      </c>
      <c r="E1039" s="2">
        <v>12345</v>
      </c>
      <c r="F1039" s="3">
        <v>43816</v>
      </c>
      <c r="G1039" s="4">
        <v>1925007000</v>
      </c>
      <c r="H1039">
        <f t="shared" si="48"/>
        <v>3600</v>
      </c>
      <c r="I1039">
        <f t="shared" si="49"/>
        <v>1</v>
      </c>
      <c r="J1039">
        <f t="shared" si="50"/>
        <v>3600</v>
      </c>
      <c r="O1039">
        <v>3329</v>
      </c>
      <c r="P1039">
        <v>24</v>
      </c>
    </row>
    <row r="1040" spans="1:16" ht="26.1" customHeight="1" x14ac:dyDescent="0.2">
      <c r="A1040" s="4">
        <v>3045</v>
      </c>
      <c r="B1040" s="2" t="s">
        <v>13</v>
      </c>
      <c r="C1040" s="2" t="s">
        <v>226</v>
      </c>
      <c r="D1040" s="2" t="s">
        <v>282</v>
      </c>
      <c r="E1040" s="2" t="s">
        <v>283</v>
      </c>
      <c r="F1040" s="3">
        <v>43831</v>
      </c>
      <c r="G1040" s="4">
        <v>3134001000</v>
      </c>
      <c r="H1040">
        <f t="shared" si="48"/>
        <v>1000</v>
      </c>
      <c r="I1040">
        <f t="shared" si="49"/>
        <v>0.66666666666666663</v>
      </c>
      <c r="J1040">
        <f t="shared" si="50"/>
        <v>666.66666666666663</v>
      </c>
      <c r="O1040">
        <v>3330</v>
      </c>
      <c r="P1040">
        <v>8000</v>
      </c>
    </row>
    <row r="1041" spans="1:16" ht="26.1" customHeight="1" x14ac:dyDescent="0.2">
      <c r="A1041" s="4">
        <v>3046</v>
      </c>
      <c r="B1041" s="2" t="s">
        <v>13</v>
      </c>
      <c r="C1041" s="2" t="s">
        <v>226</v>
      </c>
      <c r="D1041" s="2" t="s">
        <v>282</v>
      </c>
      <c r="E1041" s="2" t="s">
        <v>284</v>
      </c>
      <c r="F1041" s="3">
        <v>43831</v>
      </c>
      <c r="G1041" s="4">
        <v>2147001000</v>
      </c>
      <c r="H1041">
        <f t="shared" si="48"/>
        <v>1000</v>
      </c>
      <c r="I1041">
        <f t="shared" si="49"/>
        <v>0.5</v>
      </c>
      <c r="J1041">
        <f t="shared" si="50"/>
        <v>500</v>
      </c>
      <c r="O1041">
        <v>3343</v>
      </c>
      <c r="P1041">
        <v>1200</v>
      </c>
    </row>
    <row r="1042" spans="1:16" ht="26.1" customHeight="1" x14ac:dyDescent="0.2">
      <c r="A1042" s="4">
        <v>3047</v>
      </c>
      <c r="B1042" s="2" t="s">
        <v>13</v>
      </c>
      <c r="C1042" s="2" t="s">
        <v>226</v>
      </c>
      <c r="D1042" s="2" t="s">
        <v>282</v>
      </c>
      <c r="E1042" s="2" t="s">
        <v>285</v>
      </c>
      <c r="F1042" s="3">
        <v>43831</v>
      </c>
      <c r="G1042" s="4">
        <v>3134001000</v>
      </c>
      <c r="H1042">
        <f t="shared" si="48"/>
        <v>1000</v>
      </c>
      <c r="I1042">
        <f t="shared" si="49"/>
        <v>0.66666666666666663</v>
      </c>
      <c r="J1042">
        <f t="shared" si="50"/>
        <v>666.66666666666663</v>
      </c>
      <c r="O1042">
        <v>3344</v>
      </c>
      <c r="P1042">
        <v>1500</v>
      </c>
    </row>
    <row r="1043" spans="1:16" ht="26.1" customHeight="1" x14ac:dyDescent="0.2">
      <c r="A1043" s="4">
        <v>3048</v>
      </c>
      <c r="B1043" s="2" t="s">
        <v>146</v>
      </c>
      <c r="C1043" s="2" t="s">
        <v>226</v>
      </c>
      <c r="D1043" s="2" t="s">
        <v>261</v>
      </c>
      <c r="E1043" s="2" t="s">
        <v>286</v>
      </c>
      <c r="F1043" s="3">
        <v>43840</v>
      </c>
      <c r="G1043" s="4">
        <v>3135005000</v>
      </c>
      <c r="H1043">
        <f t="shared" si="48"/>
        <v>1000</v>
      </c>
      <c r="I1043">
        <f t="shared" si="49"/>
        <v>0.66666666666666663</v>
      </c>
      <c r="J1043">
        <f t="shared" si="50"/>
        <v>666.66666666666663</v>
      </c>
      <c r="O1043">
        <v>3345</v>
      </c>
      <c r="P1043">
        <v>24</v>
      </c>
    </row>
    <row r="1044" spans="1:16" ht="26.1" customHeight="1" x14ac:dyDescent="0.2">
      <c r="A1044" s="4">
        <v>3050</v>
      </c>
      <c r="B1044" s="2" t="s">
        <v>287</v>
      </c>
      <c r="C1044" s="2" t="s">
        <v>288</v>
      </c>
      <c r="D1044" s="2" t="s">
        <v>289</v>
      </c>
      <c r="E1044" s="2" t="s">
        <v>290</v>
      </c>
      <c r="F1044" s="3">
        <v>43840</v>
      </c>
      <c r="G1044" s="4">
        <v>1176003000</v>
      </c>
      <c r="H1044">
        <f t="shared" si="48"/>
        <v>1000</v>
      </c>
      <c r="I1044">
        <f t="shared" si="49"/>
        <v>0.66666666666666663</v>
      </c>
      <c r="J1044">
        <f t="shared" si="50"/>
        <v>666.66666666666663</v>
      </c>
      <c r="O1044">
        <v>3350</v>
      </c>
      <c r="P1044">
        <v>996.5</v>
      </c>
    </row>
    <row r="1045" spans="1:16" ht="26.1" customHeight="1" x14ac:dyDescent="0.2">
      <c r="A1045" s="4">
        <v>3051</v>
      </c>
      <c r="B1045" s="2" t="s">
        <v>82</v>
      </c>
      <c r="C1045" s="2" t="s">
        <v>80</v>
      </c>
      <c r="D1045" s="2" t="s">
        <v>83</v>
      </c>
      <c r="E1045" s="2">
        <v>123445</v>
      </c>
      <c r="F1045" s="3">
        <v>43846</v>
      </c>
      <c r="G1045" s="4">
        <v>2958001000</v>
      </c>
      <c r="H1045">
        <f t="shared" si="48"/>
        <v>1000</v>
      </c>
      <c r="I1045">
        <f t="shared" si="49"/>
        <v>0.66666666666666663</v>
      </c>
      <c r="J1045">
        <f t="shared" si="50"/>
        <v>666.66666666666663</v>
      </c>
      <c r="O1045">
        <v>3352</v>
      </c>
      <c r="P1045">
        <v>24</v>
      </c>
    </row>
    <row r="1046" spans="1:16" ht="26.1" customHeight="1" x14ac:dyDescent="0.2">
      <c r="A1046" s="4">
        <v>3052</v>
      </c>
      <c r="B1046" s="2" t="s">
        <v>123</v>
      </c>
      <c r="C1046" s="2" t="s">
        <v>80</v>
      </c>
      <c r="D1046" s="2" t="s">
        <v>271</v>
      </c>
      <c r="E1046" s="2">
        <v>6543211</v>
      </c>
      <c r="F1046" s="3">
        <v>43846</v>
      </c>
      <c r="G1046" s="4">
        <v>1925007000</v>
      </c>
      <c r="H1046">
        <f t="shared" si="48"/>
        <v>1700</v>
      </c>
      <c r="I1046">
        <f t="shared" si="49"/>
        <v>0.2857142857142857</v>
      </c>
      <c r="J1046">
        <f t="shared" si="50"/>
        <v>485.71428571428567</v>
      </c>
      <c r="O1046">
        <v>3354</v>
      </c>
      <c r="P1046">
        <v>1200</v>
      </c>
    </row>
    <row r="1047" spans="1:16" ht="26.1" customHeight="1" x14ac:dyDescent="0.2">
      <c r="A1047" s="4">
        <v>3053</v>
      </c>
      <c r="B1047" s="2" t="s">
        <v>146</v>
      </c>
      <c r="C1047" s="2" t="s">
        <v>72</v>
      </c>
      <c r="D1047" s="2" t="s">
        <v>291</v>
      </c>
      <c r="E1047" s="2">
        <v>4000129717</v>
      </c>
      <c r="F1047" s="3">
        <v>43854</v>
      </c>
      <c r="G1047" s="4">
        <v>66011000</v>
      </c>
      <c r="H1047">
        <f t="shared" si="48"/>
        <v>1700</v>
      </c>
      <c r="I1047">
        <f t="shared" si="49"/>
        <v>0.2857142857142857</v>
      </c>
      <c r="J1047">
        <f t="shared" si="50"/>
        <v>485.71428571428567</v>
      </c>
      <c r="O1047">
        <v>3355</v>
      </c>
      <c r="P1047">
        <v>3950.5</v>
      </c>
    </row>
    <row r="1048" spans="1:16" ht="39.200000000000003" customHeight="1" x14ac:dyDescent="0.2">
      <c r="A1048" s="4">
        <v>3054</v>
      </c>
      <c r="B1048" s="2" t="s">
        <v>146</v>
      </c>
      <c r="C1048" s="2" t="s">
        <v>72</v>
      </c>
      <c r="D1048" s="2" t="s">
        <v>292</v>
      </c>
      <c r="E1048" s="2">
        <v>3510181401693</v>
      </c>
      <c r="F1048" s="3">
        <v>43854</v>
      </c>
      <c r="G1048" s="4">
        <v>153002000</v>
      </c>
      <c r="H1048">
        <f t="shared" si="48"/>
        <v>1700</v>
      </c>
      <c r="I1048">
        <f t="shared" si="49"/>
        <v>0.2857142857142857</v>
      </c>
      <c r="J1048">
        <f t="shared" si="50"/>
        <v>485.71428571428567</v>
      </c>
      <c r="O1048">
        <v>3357</v>
      </c>
      <c r="P1048">
        <v>24</v>
      </c>
    </row>
    <row r="1049" spans="1:16" ht="26.1" customHeight="1" x14ac:dyDescent="0.2">
      <c r="A1049" s="4">
        <v>3055</v>
      </c>
      <c r="B1049" s="2" t="s">
        <v>266</v>
      </c>
      <c r="C1049" s="2" t="s">
        <v>226</v>
      </c>
      <c r="D1049" s="2" t="s">
        <v>267</v>
      </c>
      <c r="E1049" s="2" t="s">
        <v>293</v>
      </c>
      <c r="F1049" s="3">
        <v>43854</v>
      </c>
      <c r="G1049" s="4">
        <v>3135001000</v>
      </c>
      <c r="H1049">
        <f t="shared" si="48"/>
        <v>1700</v>
      </c>
      <c r="I1049">
        <f t="shared" si="49"/>
        <v>0.2857142857142857</v>
      </c>
      <c r="J1049">
        <f t="shared" si="50"/>
        <v>485.71428571428567</v>
      </c>
      <c r="O1049">
        <v>3359</v>
      </c>
      <c r="P1049">
        <v>24</v>
      </c>
    </row>
    <row r="1050" spans="1:16" ht="26.1" customHeight="1" x14ac:dyDescent="0.2">
      <c r="A1050" s="4">
        <v>3057</v>
      </c>
      <c r="B1050" s="2" t="s">
        <v>13</v>
      </c>
      <c r="C1050" s="2" t="s">
        <v>226</v>
      </c>
      <c r="D1050" s="2" t="s">
        <v>294</v>
      </c>
      <c r="E1050" s="2" t="s">
        <v>295</v>
      </c>
      <c r="F1050" s="3">
        <v>43854</v>
      </c>
      <c r="G1050" s="4">
        <v>1014001</v>
      </c>
      <c r="H1050">
        <f t="shared" si="48"/>
        <v>1000</v>
      </c>
      <c r="I1050">
        <f t="shared" si="49"/>
        <v>6</v>
      </c>
      <c r="J1050">
        <f t="shared" si="50"/>
        <v>6000</v>
      </c>
      <c r="O1050">
        <v>3362</v>
      </c>
      <c r="P1050">
        <v>24</v>
      </c>
    </row>
    <row r="1051" spans="1:16" ht="26.1" customHeight="1" x14ac:dyDescent="0.2">
      <c r="A1051" s="4">
        <v>3058</v>
      </c>
      <c r="B1051" s="2" t="s">
        <v>13</v>
      </c>
      <c r="C1051" s="2" t="s">
        <v>226</v>
      </c>
      <c r="D1051" s="2" t="s">
        <v>294</v>
      </c>
      <c r="E1051" s="2" t="s">
        <v>296</v>
      </c>
      <c r="F1051" s="3">
        <v>43854</v>
      </c>
      <c r="G1051" s="4">
        <v>3135002000</v>
      </c>
      <c r="H1051">
        <f t="shared" si="48"/>
        <v>1000</v>
      </c>
      <c r="I1051">
        <f t="shared" si="49"/>
        <v>2</v>
      </c>
      <c r="J1051">
        <f t="shared" si="50"/>
        <v>2000</v>
      </c>
      <c r="O1051">
        <v>3364</v>
      </c>
      <c r="P1051">
        <v>1000</v>
      </c>
    </row>
    <row r="1052" spans="1:16" ht="26.1" customHeight="1" x14ac:dyDescent="0.2">
      <c r="A1052" s="4">
        <v>3059</v>
      </c>
      <c r="B1052" s="2" t="s">
        <v>106</v>
      </c>
      <c r="C1052" s="2" t="s">
        <v>107</v>
      </c>
      <c r="D1052" s="2" t="s">
        <v>108</v>
      </c>
      <c r="E1052" s="2">
        <v>1234567</v>
      </c>
      <c r="F1052" s="3">
        <v>43854</v>
      </c>
      <c r="G1052" s="4">
        <v>1014001</v>
      </c>
      <c r="H1052">
        <f t="shared" si="48"/>
        <v>3600</v>
      </c>
      <c r="I1052">
        <f t="shared" si="49"/>
        <v>2</v>
      </c>
      <c r="J1052">
        <f t="shared" si="50"/>
        <v>7200</v>
      </c>
      <c r="O1052">
        <v>3365</v>
      </c>
      <c r="P1052">
        <v>1198.5</v>
      </c>
    </row>
    <row r="1053" spans="1:16" ht="26.1" customHeight="1" x14ac:dyDescent="0.2">
      <c r="A1053" s="4">
        <v>3060</v>
      </c>
      <c r="B1053" s="2" t="s">
        <v>158</v>
      </c>
      <c r="C1053" s="2" t="s">
        <v>297</v>
      </c>
      <c r="D1053" s="2" t="s">
        <v>298</v>
      </c>
      <c r="E1053" s="2">
        <v>1052862</v>
      </c>
      <c r="F1053" s="3">
        <v>43857</v>
      </c>
      <c r="G1053" s="4">
        <v>165001000</v>
      </c>
      <c r="H1053">
        <f t="shared" si="48"/>
        <v>3600</v>
      </c>
      <c r="I1053">
        <f t="shared" si="49"/>
        <v>2</v>
      </c>
      <c r="J1053">
        <f t="shared" si="50"/>
        <v>7200</v>
      </c>
      <c r="O1053">
        <v>3368</v>
      </c>
      <c r="P1053">
        <v>24</v>
      </c>
    </row>
    <row r="1054" spans="1:16" ht="15" customHeight="1" x14ac:dyDescent="0.2">
      <c r="A1054" s="4">
        <v>3061</v>
      </c>
      <c r="B1054" s="2" t="s">
        <v>13</v>
      </c>
      <c r="C1054" s="2" t="s">
        <v>169</v>
      </c>
      <c r="D1054" s="2" t="s">
        <v>170</v>
      </c>
      <c r="E1054" s="2">
        <v>10051</v>
      </c>
      <c r="F1054" s="3">
        <v>43857</v>
      </c>
      <c r="G1054" s="4">
        <v>2053001000</v>
      </c>
      <c r="H1054">
        <f t="shared" si="48"/>
        <v>1000</v>
      </c>
      <c r="I1054">
        <f t="shared" si="49"/>
        <v>0.10714285714285714</v>
      </c>
      <c r="J1054">
        <f t="shared" si="50"/>
        <v>107.14285714285714</v>
      </c>
      <c r="O1054">
        <v>3369</v>
      </c>
      <c r="P1054">
        <v>1300</v>
      </c>
    </row>
    <row r="1055" spans="1:16" ht="15" customHeight="1" x14ac:dyDescent="0.2">
      <c r="A1055" s="4">
        <v>3062</v>
      </c>
      <c r="B1055" s="2" t="s">
        <v>13</v>
      </c>
      <c r="C1055" s="2" t="s">
        <v>169</v>
      </c>
      <c r="D1055" s="2" t="s">
        <v>170</v>
      </c>
      <c r="E1055" s="2">
        <v>10052</v>
      </c>
      <c r="F1055" s="3">
        <v>43857</v>
      </c>
      <c r="G1055" s="4">
        <v>3135005000</v>
      </c>
      <c r="H1055">
        <f t="shared" si="48"/>
        <v>1000</v>
      </c>
      <c r="I1055">
        <f t="shared" si="49"/>
        <v>0.42857142857142855</v>
      </c>
      <c r="J1055">
        <f t="shared" si="50"/>
        <v>428.57142857142856</v>
      </c>
      <c r="O1055">
        <v>3370</v>
      </c>
      <c r="P1055">
        <v>24</v>
      </c>
    </row>
    <row r="1056" spans="1:16" ht="15" customHeight="1" x14ac:dyDescent="0.2">
      <c r="A1056" s="4">
        <v>3063</v>
      </c>
      <c r="B1056" s="2" t="s">
        <v>13</v>
      </c>
      <c r="C1056" s="2" t="s">
        <v>169</v>
      </c>
      <c r="D1056" s="2" t="s">
        <v>156</v>
      </c>
      <c r="E1056" s="2">
        <v>10076</v>
      </c>
      <c r="F1056" s="3">
        <v>43858</v>
      </c>
      <c r="G1056" s="4">
        <v>3135001000</v>
      </c>
      <c r="H1056">
        <f t="shared" si="48"/>
        <v>1000</v>
      </c>
      <c r="I1056">
        <f t="shared" si="49"/>
        <v>2</v>
      </c>
      <c r="J1056">
        <f t="shared" si="50"/>
        <v>2000</v>
      </c>
      <c r="O1056">
        <v>3378</v>
      </c>
      <c r="P1056">
        <v>24</v>
      </c>
    </row>
    <row r="1057" spans="1:16" ht="15" customHeight="1" x14ac:dyDescent="0.2">
      <c r="A1057" s="4">
        <v>3064</v>
      </c>
      <c r="B1057" s="2" t="s">
        <v>13</v>
      </c>
      <c r="C1057" s="2" t="s">
        <v>169</v>
      </c>
      <c r="D1057" s="2" t="s">
        <v>156</v>
      </c>
      <c r="E1057" s="2">
        <v>10080</v>
      </c>
      <c r="F1057" s="3">
        <v>43858</v>
      </c>
      <c r="G1057" s="4">
        <v>3135003000</v>
      </c>
      <c r="H1057">
        <f t="shared" si="48"/>
        <v>1000</v>
      </c>
      <c r="I1057">
        <f t="shared" si="49"/>
        <v>0.14285714285714285</v>
      </c>
      <c r="J1057">
        <f t="shared" si="50"/>
        <v>142.85714285714286</v>
      </c>
      <c r="O1057">
        <v>3382</v>
      </c>
      <c r="P1057">
        <v>24</v>
      </c>
    </row>
    <row r="1058" spans="1:16" ht="15" customHeight="1" x14ac:dyDescent="0.2">
      <c r="A1058" s="4">
        <v>3065</v>
      </c>
      <c r="B1058" s="2" t="s">
        <v>79</v>
      </c>
      <c r="C1058" s="2" t="s">
        <v>80</v>
      </c>
      <c r="D1058" s="2" t="s">
        <v>197</v>
      </c>
      <c r="F1058" s="3">
        <v>43860</v>
      </c>
      <c r="G1058" s="4">
        <v>1000002</v>
      </c>
      <c r="H1058">
        <f t="shared" si="48"/>
        <v>1000</v>
      </c>
      <c r="I1058">
        <f t="shared" si="49"/>
        <v>0.14285714285714285</v>
      </c>
      <c r="J1058">
        <f t="shared" si="50"/>
        <v>142.85714285714286</v>
      </c>
      <c r="O1058">
        <v>3383</v>
      </c>
      <c r="P1058">
        <v>1000</v>
      </c>
    </row>
    <row r="1059" spans="1:16" ht="15" customHeight="1" x14ac:dyDescent="0.2">
      <c r="A1059" s="4">
        <v>3066</v>
      </c>
      <c r="B1059" s="2" t="s">
        <v>222</v>
      </c>
      <c r="C1059" s="2" t="s">
        <v>80</v>
      </c>
      <c r="F1059" s="3">
        <v>43871</v>
      </c>
      <c r="G1059" s="4">
        <v>3134001000</v>
      </c>
      <c r="H1059">
        <f t="shared" si="48"/>
        <v>3600</v>
      </c>
      <c r="I1059">
        <f t="shared" si="49"/>
        <v>3.3333333333333333E-2</v>
      </c>
      <c r="J1059">
        <f t="shared" si="50"/>
        <v>120</v>
      </c>
      <c r="O1059">
        <v>3384</v>
      </c>
      <c r="P1059">
        <v>1000</v>
      </c>
    </row>
    <row r="1060" spans="1:16" ht="15" customHeight="1" x14ac:dyDescent="0.2">
      <c r="A1060" s="4">
        <v>3067</v>
      </c>
      <c r="B1060" s="2" t="s">
        <v>79</v>
      </c>
      <c r="C1060" s="2" t="s">
        <v>80</v>
      </c>
      <c r="D1060" s="2" t="s">
        <v>197</v>
      </c>
      <c r="E1060" s="2">
        <v>5820</v>
      </c>
      <c r="F1060" s="3">
        <v>43881</v>
      </c>
      <c r="G1060" s="4">
        <v>2514001000</v>
      </c>
      <c r="H1060">
        <f t="shared" si="48"/>
        <v>3600</v>
      </c>
      <c r="I1060">
        <f t="shared" si="49"/>
        <v>3.3333333333333333E-2</v>
      </c>
      <c r="J1060">
        <f t="shared" si="50"/>
        <v>120</v>
      </c>
      <c r="O1060">
        <v>3385</v>
      </c>
      <c r="P1060">
        <v>1000</v>
      </c>
    </row>
    <row r="1061" spans="1:16" ht="26.1" customHeight="1" x14ac:dyDescent="0.2">
      <c r="A1061" s="4">
        <v>3068</v>
      </c>
      <c r="B1061" s="2" t="s">
        <v>146</v>
      </c>
      <c r="C1061" s="2" t="s">
        <v>226</v>
      </c>
      <c r="D1061" s="2" t="s">
        <v>261</v>
      </c>
      <c r="E1061" s="2" t="s">
        <v>299</v>
      </c>
      <c r="F1061" s="3">
        <v>43888</v>
      </c>
      <c r="G1061" s="4">
        <v>1014001</v>
      </c>
      <c r="H1061">
        <f t="shared" si="48"/>
        <v>3600</v>
      </c>
      <c r="I1061">
        <f t="shared" si="49"/>
        <v>3.3333333333333333E-2</v>
      </c>
      <c r="J1061">
        <f t="shared" si="50"/>
        <v>120</v>
      </c>
      <c r="O1061">
        <v>3386</v>
      </c>
      <c r="P1061">
        <v>1000</v>
      </c>
    </row>
    <row r="1062" spans="1:16" ht="26.1" customHeight="1" x14ac:dyDescent="0.2">
      <c r="A1062" s="4">
        <v>3069</v>
      </c>
      <c r="B1062" s="2" t="s">
        <v>100</v>
      </c>
      <c r="C1062" s="2" t="s">
        <v>226</v>
      </c>
      <c r="E1062" s="2">
        <v>12345678</v>
      </c>
      <c r="F1062" s="3">
        <v>43888</v>
      </c>
      <c r="G1062" s="4">
        <v>1014001</v>
      </c>
      <c r="H1062">
        <f t="shared" si="48"/>
        <v>24</v>
      </c>
      <c r="I1062">
        <f t="shared" si="49"/>
        <v>3.3333333333333333E-2</v>
      </c>
      <c r="J1062">
        <f t="shared" si="50"/>
        <v>0.8</v>
      </c>
      <c r="O1062">
        <v>3388</v>
      </c>
      <c r="P1062">
        <v>24</v>
      </c>
    </row>
    <row r="1063" spans="1:16" ht="26.1" customHeight="1" x14ac:dyDescent="0.2">
      <c r="A1063" s="4">
        <v>3071</v>
      </c>
      <c r="B1063" s="2" t="s">
        <v>100</v>
      </c>
      <c r="C1063" s="2" t="s">
        <v>226</v>
      </c>
      <c r="D1063" s="2" t="s">
        <v>10</v>
      </c>
      <c r="E1063" s="2">
        <v>123456789</v>
      </c>
      <c r="F1063" s="3">
        <v>43888</v>
      </c>
      <c r="G1063" s="4">
        <v>1014001</v>
      </c>
      <c r="H1063">
        <f t="shared" si="48"/>
        <v>24</v>
      </c>
      <c r="I1063">
        <f t="shared" si="49"/>
        <v>3.3333333333333333E-2</v>
      </c>
      <c r="J1063">
        <f t="shared" si="50"/>
        <v>0.8</v>
      </c>
      <c r="O1063">
        <v>3390</v>
      </c>
      <c r="P1063">
        <v>24</v>
      </c>
    </row>
    <row r="1064" spans="1:16" ht="26.1" customHeight="1" x14ac:dyDescent="0.2">
      <c r="A1064" s="4">
        <v>3072</v>
      </c>
      <c r="B1064" s="2" t="s">
        <v>266</v>
      </c>
      <c r="C1064" s="2" t="s">
        <v>226</v>
      </c>
      <c r="D1064" s="2" t="s">
        <v>267</v>
      </c>
      <c r="E1064" s="2" t="s">
        <v>300</v>
      </c>
      <c r="F1064" s="3">
        <v>43888</v>
      </c>
      <c r="G1064" s="4">
        <v>3135011000</v>
      </c>
      <c r="H1064">
        <f t="shared" si="48"/>
        <v>24</v>
      </c>
      <c r="I1064">
        <f t="shared" si="49"/>
        <v>3.3333333333333333E-2</v>
      </c>
      <c r="J1064">
        <f t="shared" si="50"/>
        <v>0.8</v>
      </c>
      <c r="O1064">
        <v>3394</v>
      </c>
      <c r="P1064">
        <v>883.5</v>
      </c>
    </row>
    <row r="1065" spans="1:16" ht="26.1" customHeight="1" x14ac:dyDescent="0.2">
      <c r="A1065" s="4">
        <v>3073</v>
      </c>
      <c r="B1065" s="2" t="s">
        <v>266</v>
      </c>
      <c r="C1065" s="2" t="s">
        <v>226</v>
      </c>
      <c r="D1065" s="2" t="s">
        <v>267</v>
      </c>
      <c r="E1065" s="2" t="s">
        <v>301</v>
      </c>
      <c r="F1065" s="3">
        <v>43896</v>
      </c>
      <c r="G1065" s="4">
        <v>1014001</v>
      </c>
      <c r="H1065">
        <f t="shared" si="48"/>
        <v>24</v>
      </c>
      <c r="I1065">
        <f t="shared" si="49"/>
        <v>3.3333333333333333E-2</v>
      </c>
      <c r="J1065">
        <f t="shared" si="50"/>
        <v>0.8</v>
      </c>
      <c r="O1065">
        <v>3396</v>
      </c>
      <c r="P1065">
        <v>1000</v>
      </c>
    </row>
    <row r="1066" spans="1:16" ht="15" customHeight="1" x14ac:dyDescent="0.2">
      <c r="A1066" s="4">
        <v>3074</v>
      </c>
      <c r="B1066" s="2" t="s">
        <v>212</v>
      </c>
      <c r="C1066" s="2" t="s">
        <v>159</v>
      </c>
      <c r="D1066" s="2">
        <v>90</v>
      </c>
      <c r="E1066" s="2">
        <v>241</v>
      </c>
      <c r="F1066" s="3">
        <v>43902</v>
      </c>
      <c r="G1066" s="4">
        <v>165001000</v>
      </c>
      <c r="H1066">
        <f t="shared" si="48"/>
        <v>24</v>
      </c>
      <c r="I1066">
        <f t="shared" si="49"/>
        <v>3.3333333333333333E-2</v>
      </c>
      <c r="J1066">
        <f t="shared" si="50"/>
        <v>0.8</v>
      </c>
      <c r="O1066">
        <v>3398</v>
      </c>
      <c r="P1066">
        <v>0</v>
      </c>
    </row>
    <row r="1067" spans="1:16" ht="15" customHeight="1" x14ac:dyDescent="0.2">
      <c r="A1067" s="4">
        <v>3076</v>
      </c>
      <c r="B1067" s="2" t="s">
        <v>13</v>
      </c>
      <c r="C1067" s="2" t="s">
        <v>226</v>
      </c>
      <c r="D1067" s="2" t="s">
        <v>302</v>
      </c>
      <c r="E1067" s="2" t="s">
        <v>303</v>
      </c>
      <c r="F1067" s="3">
        <v>43903</v>
      </c>
      <c r="G1067" s="4">
        <v>18001000</v>
      </c>
      <c r="H1067">
        <f t="shared" si="48"/>
        <v>2000</v>
      </c>
      <c r="I1067">
        <f t="shared" si="49"/>
        <v>0.66666666666666663</v>
      </c>
      <c r="J1067">
        <f t="shared" si="50"/>
        <v>1333.3333333333333</v>
      </c>
      <c r="O1067">
        <v>3401</v>
      </c>
      <c r="P1067">
        <v>24</v>
      </c>
    </row>
    <row r="1068" spans="1:16" ht="26.1" customHeight="1" x14ac:dyDescent="0.2">
      <c r="A1068" s="4">
        <v>3077</v>
      </c>
      <c r="B1068" s="2" t="s">
        <v>13</v>
      </c>
      <c r="C1068" s="2" t="s">
        <v>226</v>
      </c>
      <c r="D1068" s="2" t="s">
        <v>282</v>
      </c>
      <c r="E1068" s="2">
        <v>14160</v>
      </c>
      <c r="F1068" s="3">
        <v>43922</v>
      </c>
      <c r="G1068" s="4">
        <v>1925010000</v>
      </c>
      <c r="H1068">
        <f t="shared" si="48"/>
        <v>2000</v>
      </c>
      <c r="I1068">
        <f t="shared" si="49"/>
        <v>0.66666666666666663</v>
      </c>
      <c r="J1068">
        <f t="shared" si="50"/>
        <v>1333.3333333333333</v>
      </c>
      <c r="O1068">
        <v>3402</v>
      </c>
      <c r="P1068">
        <v>309.5</v>
      </c>
    </row>
    <row r="1069" spans="1:16" ht="26.1" customHeight="1" x14ac:dyDescent="0.2">
      <c r="A1069" s="4">
        <v>3080</v>
      </c>
      <c r="B1069" s="2" t="s">
        <v>146</v>
      </c>
      <c r="C1069" s="2" t="s">
        <v>226</v>
      </c>
      <c r="D1069" s="2" t="s">
        <v>261</v>
      </c>
      <c r="E1069" s="2" t="s">
        <v>304</v>
      </c>
      <c r="F1069" s="3">
        <v>43922</v>
      </c>
      <c r="G1069" s="4">
        <v>3319002000</v>
      </c>
      <c r="H1069">
        <f t="shared" si="48"/>
        <v>2000</v>
      </c>
      <c r="I1069">
        <f t="shared" si="49"/>
        <v>0.66666666666666663</v>
      </c>
      <c r="J1069">
        <f t="shared" si="50"/>
        <v>1333.3333333333333</v>
      </c>
      <c r="O1069">
        <v>3405</v>
      </c>
      <c r="P1069">
        <v>309.5</v>
      </c>
    </row>
    <row r="1070" spans="1:16" ht="26.1" customHeight="1" x14ac:dyDescent="0.2">
      <c r="A1070" s="4">
        <v>3081</v>
      </c>
      <c r="B1070" s="2" t="s">
        <v>146</v>
      </c>
      <c r="C1070" s="2" t="s">
        <v>226</v>
      </c>
      <c r="D1070" s="2" t="s">
        <v>261</v>
      </c>
      <c r="E1070" s="2" t="s">
        <v>305</v>
      </c>
      <c r="F1070" s="3">
        <v>43928</v>
      </c>
      <c r="G1070" s="4">
        <v>1014001</v>
      </c>
      <c r="H1070">
        <f t="shared" si="48"/>
        <v>2000</v>
      </c>
      <c r="I1070">
        <f t="shared" si="49"/>
        <v>0.66666666666666663</v>
      </c>
      <c r="J1070">
        <f t="shared" si="50"/>
        <v>1333.3333333333333</v>
      </c>
      <c r="O1070">
        <v>3406</v>
      </c>
      <c r="P1070">
        <v>1125</v>
      </c>
    </row>
    <row r="1071" spans="1:16" ht="26.1" customHeight="1" x14ac:dyDescent="0.2">
      <c r="A1071" s="4">
        <v>3083</v>
      </c>
      <c r="B1071" s="2" t="s">
        <v>100</v>
      </c>
      <c r="C1071" s="2" t="s">
        <v>279</v>
      </c>
      <c r="D1071" s="2" t="s">
        <v>10</v>
      </c>
      <c r="E1071" s="2" t="s">
        <v>306</v>
      </c>
      <c r="F1071" s="3">
        <v>43949</v>
      </c>
      <c r="G1071" s="4">
        <v>1014001</v>
      </c>
      <c r="H1071">
        <f t="shared" si="48"/>
        <v>24</v>
      </c>
      <c r="I1071">
        <f t="shared" si="49"/>
        <v>0.66666666666666663</v>
      </c>
      <c r="J1071">
        <f t="shared" si="50"/>
        <v>16</v>
      </c>
      <c r="O1071">
        <v>3409</v>
      </c>
      <c r="P1071">
        <v>24</v>
      </c>
    </row>
    <row r="1072" spans="1:16" ht="26.1" customHeight="1" x14ac:dyDescent="0.2">
      <c r="A1072" s="4">
        <v>3084</v>
      </c>
      <c r="B1072" s="2" t="s">
        <v>100</v>
      </c>
      <c r="C1072" s="2" t="s">
        <v>279</v>
      </c>
      <c r="D1072" s="2" t="s">
        <v>10</v>
      </c>
      <c r="E1072" s="2" t="s">
        <v>307</v>
      </c>
      <c r="F1072" s="3">
        <v>43949</v>
      </c>
      <c r="G1072" s="4">
        <v>3265004000</v>
      </c>
      <c r="H1072">
        <f t="shared" si="48"/>
        <v>24</v>
      </c>
      <c r="I1072">
        <f t="shared" si="49"/>
        <v>0.66666666666666663</v>
      </c>
      <c r="J1072">
        <f t="shared" si="50"/>
        <v>16</v>
      </c>
      <c r="O1072">
        <v>3410</v>
      </c>
      <c r="P1072">
        <v>24</v>
      </c>
    </row>
    <row r="1073" spans="1:16" ht="26.1" customHeight="1" x14ac:dyDescent="0.2">
      <c r="A1073" s="4">
        <v>3085</v>
      </c>
      <c r="B1073" s="2" t="s">
        <v>100</v>
      </c>
      <c r="C1073" s="2" t="s">
        <v>279</v>
      </c>
      <c r="D1073" s="2" t="s">
        <v>10</v>
      </c>
      <c r="E1073" s="2" t="s">
        <v>308</v>
      </c>
      <c r="F1073" s="3">
        <v>43949</v>
      </c>
      <c r="G1073" s="4">
        <v>1014001</v>
      </c>
      <c r="H1073">
        <f t="shared" si="48"/>
        <v>24</v>
      </c>
      <c r="I1073">
        <f t="shared" si="49"/>
        <v>0.66666666666666663</v>
      </c>
      <c r="J1073">
        <f t="shared" si="50"/>
        <v>16</v>
      </c>
      <c r="O1073">
        <v>3412</v>
      </c>
      <c r="P1073">
        <v>24</v>
      </c>
    </row>
    <row r="1074" spans="1:16" ht="26.1" customHeight="1" x14ac:dyDescent="0.2">
      <c r="A1074" s="4">
        <v>3093</v>
      </c>
      <c r="B1074" s="2" t="s">
        <v>146</v>
      </c>
      <c r="C1074" s="2" t="s">
        <v>226</v>
      </c>
      <c r="D1074" s="2" t="s">
        <v>261</v>
      </c>
      <c r="E1074" s="2" t="s">
        <v>309</v>
      </c>
      <c r="F1074" s="3">
        <v>43966</v>
      </c>
      <c r="G1074" s="4">
        <v>3042058001</v>
      </c>
      <c r="H1074">
        <f t="shared" si="48"/>
        <v>24</v>
      </c>
      <c r="I1074">
        <f t="shared" si="49"/>
        <v>0.66666666666666663</v>
      </c>
      <c r="J1074">
        <f t="shared" si="50"/>
        <v>16</v>
      </c>
      <c r="O1074">
        <v>3413</v>
      </c>
      <c r="P1074">
        <v>24</v>
      </c>
    </row>
    <row r="1075" spans="1:16" ht="15" customHeight="1" x14ac:dyDescent="0.2">
      <c r="A1075" s="4">
        <v>3096</v>
      </c>
      <c r="B1075" s="2" t="s">
        <v>310</v>
      </c>
      <c r="C1075" s="2" t="s">
        <v>311</v>
      </c>
      <c r="D1075" s="2" t="s">
        <v>10</v>
      </c>
      <c r="E1075" s="2">
        <v>12349</v>
      </c>
      <c r="F1075" s="3">
        <v>44354</v>
      </c>
      <c r="G1075" s="4">
        <v>66011000</v>
      </c>
      <c r="H1075">
        <f t="shared" si="48"/>
        <v>0</v>
      </c>
      <c r="I1075">
        <f t="shared" si="49"/>
        <v>0.66666666666666663</v>
      </c>
      <c r="J1075">
        <f t="shared" si="50"/>
        <v>0</v>
      </c>
      <c r="O1075">
        <v>3416</v>
      </c>
      <c r="P1075">
        <v>745.7</v>
      </c>
    </row>
    <row r="1076" spans="1:16" ht="26.1" customHeight="1" x14ac:dyDescent="0.2">
      <c r="A1076" s="4">
        <v>3097</v>
      </c>
      <c r="B1076" s="2" t="s">
        <v>93</v>
      </c>
      <c r="C1076" s="2" t="s">
        <v>69</v>
      </c>
      <c r="D1076" s="2" t="s">
        <v>10</v>
      </c>
      <c r="E1076" s="2" t="s">
        <v>312</v>
      </c>
      <c r="F1076" s="3">
        <v>43987</v>
      </c>
      <c r="G1076" s="4">
        <v>953015000</v>
      </c>
      <c r="H1076">
        <f t="shared" si="48"/>
        <v>0</v>
      </c>
      <c r="I1076">
        <f t="shared" si="49"/>
        <v>0.66666666666666663</v>
      </c>
      <c r="J1076">
        <f t="shared" si="50"/>
        <v>0</v>
      </c>
      <c r="O1076">
        <v>3418</v>
      </c>
      <c r="P1076">
        <v>0</v>
      </c>
    </row>
    <row r="1077" spans="1:16" ht="26.1" customHeight="1" x14ac:dyDescent="0.2">
      <c r="A1077" s="4">
        <v>3098</v>
      </c>
      <c r="B1077" s="2" t="s">
        <v>266</v>
      </c>
      <c r="C1077" s="2" t="s">
        <v>226</v>
      </c>
      <c r="D1077" s="2" t="s">
        <v>267</v>
      </c>
      <c r="E1077" s="2" t="s">
        <v>313</v>
      </c>
      <c r="F1077" s="3">
        <v>43998</v>
      </c>
      <c r="G1077" s="4">
        <v>3152001000</v>
      </c>
      <c r="H1077">
        <f t="shared" si="48"/>
        <v>0</v>
      </c>
      <c r="I1077">
        <f t="shared" si="49"/>
        <v>0.66666666666666663</v>
      </c>
      <c r="J1077">
        <f t="shared" si="50"/>
        <v>0</v>
      </c>
      <c r="O1077">
        <v>3421</v>
      </c>
      <c r="P1077">
        <v>24</v>
      </c>
    </row>
    <row r="1078" spans="1:16" ht="26.1" customHeight="1" x14ac:dyDescent="0.2">
      <c r="A1078" s="4">
        <v>3100</v>
      </c>
      <c r="B1078" s="2" t="s">
        <v>227</v>
      </c>
      <c r="C1078" s="2" t="s">
        <v>69</v>
      </c>
      <c r="D1078" s="2" t="s">
        <v>10</v>
      </c>
      <c r="E1078" s="2">
        <v>23243425</v>
      </c>
      <c r="F1078" s="3">
        <v>43991</v>
      </c>
      <c r="G1078" s="4">
        <v>43001000</v>
      </c>
      <c r="H1078">
        <f t="shared" si="48"/>
        <v>0</v>
      </c>
      <c r="I1078">
        <f t="shared" si="49"/>
        <v>0.66666666666666663</v>
      </c>
      <c r="J1078">
        <f t="shared" si="50"/>
        <v>0</v>
      </c>
      <c r="O1078">
        <v>3422</v>
      </c>
      <c r="P1078">
        <v>24</v>
      </c>
    </row>
    <row r="1079" spans="1:16" ht="15" customHeight="1" x14ac:dyDescent="0.2">
      <c r="A1079" s="4">
        <v>3101</v>
      </c>
      <c r="B1079" s="2" t="s">
        <v>227</v>
      </c>
      <c r="C1079" s="2" t="s">
        <v>69</v>
      </c>
      <c r="D1079" s="2" t="s">
        <v>10</v>
      </c>
      <c r="F1079" s="3">
        <v>43991</v>
      </c>
      <c r="G1079" s="4">
        <v>43006000</v>
      </c>
      <c r="H1079">
        <f t="shared" si="48"/>
        <v>0</v>
      </c>
      <c r="I1079">
        <f t="shared" si="49"/>
        <v>0.66666666666666663</v>
      </c>
      <c r="J1079">
        <f t="shared" si="50"/>
        <v>0</v>
      </c>
      <c r="O1079">
        <v>3423</v>
      </c>
      <c r="P1079">
        <v>24</v>
      </c>
    </row>
    <row r="1080" spans="1:16" ht="15" customHeight="1" x14ac:dyDescent="0.2">
      <c r="A1080" s="4">
        <v>3102</v>
      </c>
      <c r="B1080" s="2" t="s">
        <v>314</v>
      </c>
      <c r="C1080" s="2" t="s">
        <v>315</v>
      </c>
      <c r="D1080" s="2" t="s">
        <v>316</v>
      </c>
      <c r="E1080" s="2">
        <v>12345</v>
      </c>
      <c r="F1080" s="3">
        <v>44006</v>
      </c>
      <c r="G1080" s="4">
        <v>66011000</v>
      </c>
      <c r="H1080">
        <f t="shared" si="48"/>
        <v>0</v>
      </c>
      <c r="I1080">
        <f t="shared" si="49"/>
        <v>0.66666666666666663</v>
      </c>
      <c r="J1080">
        <f t="shared" si="50"/>
        <v>0</v>
      </c>
      <c r="O1080">
        <v>3424</v>
      </c>
      <c r="P1080">
        <v>1000</v>
      </c>
    </row>
    <row r="1081" spans="1:16" ht="26.1" customHeight="1" x14ac:dyDescent="0.2">
      <c r="A1081" s="4">
        <v>3104</v>
      </c>
      <c r="B1081" s="2" t="s">
        <v>100</v>
      </c>
      <c r="C1081" s="2" t="s">
        <v>317</v>
      </c>
      <c r="D1081" s="2" t="s">
        <v>318</v>
      </c>
      <c r="E1081" s="2">
        <v>123456789</v>
      </c>
      <c r="F1081" s="3">
        <v>44013</v>
      </c>
      <c r="G1081" s="4">
        <v>165001000</v>
      </c>
      <c r="H1081">
        <f t="shared" si="48"/>
        <v>24</v>
      </c>
      <c r="I1081">
        <f t="shared" si="49"/>
        <v>0.66666666666666663</v>
      </c>
      <c r="J1081">
        <f t="shared" si="50"/>
        <v>16</v>
      </c>
      <c r="O1081">
        <v>3425</v>
      </c>
      <c r="P1081">
        <v>3600</v>
      </c>
    </row>
    <row r="1082" spans="1:16" ht="26.1" customHeight="1" x14ac:dyDescent="0.2">
      <c r="A1082" s="4">
        <v>3105</v>
      </c>
      <c r="B1082" s="2" t="s">
        <v>146</v>
      </c>
      <c r="C1082" s="2" t="s">
        <v>226</v>
      </c>
      <c r="D1082" s="2" t="s">
        <v>261</v>
      </c>
      <c r="E1082" s="2" t="s">
        <v>319</v>
      </c>
      <c r="F1082" s="3">
        <v>44014</v>
      </c>
      <c r="G1082" s="4">
        <v>3042058001</v>
      </c>
      <c r="H1082">
        <f t="shared" si="48"/>
        <v>24</v>
      </c>
      <c r="I1082">
        <f t="shared" si="49"/>
        <v>0.66666666666666663</v>
      </c>
      <c r="J1082">
        <f t="shared" si="50"/>
        <v>16</v>
      </c>
      <c r="O1082">
        <v>3430</v>
      </c>
      <c r="P1082">
        <v>24</v>
      </c>
    </row>
    <row r="1083" spans="1:16" ht="26.1" customHeight="1" x14ac:dyDescent="0.2">
      <c r="A1083" s="4">
        <v>3107</v>
      </c>
      <c r="B1083" s="2" t="s">
        <v>123</v>
      </c>
      <c r="C1083" s="2" t="s">
        <v>107</v>
      </c>
      <c r="D1083" s="2" t="s">
        <v>281</v>
      </c>
      <c r="E1083" s="2">
        <v>12345456</v>
      </c>
      <c r="F1083" s="3">
        <v>44102</v>
      </c>
      <c r="G1083" s="4">
        <v>3260001000</v>
      </c>
      <c r="H1083">
        <f t="shared" si="48"/>
        <v>1199.5</v>
      </c>
      <c r="I1083">
        <f t="shared" si="49"/>
        <v>0.26666666666666666</v>
      </c>
      <c r="J1083">
        <f t="shared" si="50"/>
        <v>319.86666666666667</v>
      </c>
      <c r="O1083">
        <v>3438</v>
      </c>
      <c r="P1083">
        <v>3400</v>
      </c>
    </row>
    <row r="1084" spans="1:16" ht="26.1" customHeight="1" x14ac:dyDescent="0.2">
      <c r="A1084" s="4">
        <v>3108</v>
      </c>
      <c r="B1084" s="2" t="s">
        <v>100</v>
      </c>
      <c r="C1084" s="2" t="s">
        <v>279</v>
      </c>
      <c r="D1084" s="2" t="s">
        <v>225</v>
      </c>
      <c r="E1084" s="2" t="s">
        <v>320</v>
      </c>
      <c r="F1084" s="3">
        <v>44106</v>
      </c>
      <c r="G1084" s="4">
        <v>1406001000</v>
      </c>
      <c r="H1084">
        <f t="shared" si="48"/>
        <v>24</v>
      </c>
      <c r="I1084">
        <f t="shared" si="49"/>
        <v>0.26666666666666666</v>
      </c>
      <c r="J1084">
        <f t="shared" si="50"/>
        <v>6.4</v>
      </c>
      <c r="O1084">
        <v>3441</v>
      </c>
      <c r="P1084">
        <v>24</v>
      </c>
    </row>
    <row r="1085" spans="1:16" ht="26.1" customHeight="1" x14ac:dyDescent="0.2">
      <c r="A1085" s="4">
        <v>3109</v>
      </c>
      <c r="B1085" s="2" t="s">
        <v>100</v>
      </c>
      <c r="C1085" s="2" t="s">
        <v>279</v>
      </c>
      <c r="D1085" s="2" t="s">
        <v>225</v>
      </c>
      <c r="E1085" s="2" t="s">
        <v>321</v>
      </c>
      <c r="F1085" s="3">
        <v>44106</v>
      </c>
      <c r="G1085" s="4">
        <v>1014001</v>
      </c>
      <c r="H1085">
        <f t="shared" si="48"/>
        <v>24</v>
      </c>
      <c r="I1085">
        <f t="shared" si="49"/>
        <v>0.26666666666666666</v>
      </c>
      <c r="J1085">
        <f t="shared" si="50"/>
        <v>6.4</v>
      </c>
      <c r="O1085">
        <v>3449</v>
      </c>
      <c r="P1085">
        <v>24</v>
      </c>
    </row>
    <row r="1086" spans="1:16" ht="26.1" customHeight="1" x14ac:dyDescent="0.2">
      <c r="A1086" s="4">
        <v>3110</v>
      </c>
      <c r="B1086" s="2" t="s">
        <v>100</v>
      </c>
      <c r="C1086" s="2" t="s">
        <v>279</v>
      </c>
      <c r="D1086" s="2" t="s">
        <v>225</v>
      </c>
      <c r="E1086" s="2" t="s">
        <v>322</v>
      </c>
      <c r="F1086" s="3">
        <v>44106</v>
      </c>
      <c r="G1086" s="4">
        <v>1014001</v>
      </c>
      <c r="H1086">
        <f t="shared" si="48"/>
        <v>24</v>
      </c>
      <c r="I1086">
        <f t="shared" si="49"/>
        <v>0.26666666666666666</v>
      </c>
      <c r="J1086">
        <f t="shared" si="50"/>
        <v>6.4</v>
      </c>
      <c r="O1086">
        <v>3450</v>
      </c>
      <c r="P1086">
        <v>24</v>
      </c>
    </row>
    <row r="1087" spans="1:16" ht="15" customHeight="1" x14ac:dyDescent="0.2">
      <c r="A1087" s="4">
        <v>3112</v>
      </c>
      <c r="B1087" s="2" t="s">
        <v>310</v>
      </c>
      <c r="C1087" s="2" t="s">
        <v>315</v>
      </c>
      <c r="D1087" s="2" t="s">
        <v>10</v>
      </c>
      <c r="E1087" s="2">
        <v>12002</v>
      </c>
      <c r="F1087" s="3">
        <v>44140</v>
      </c>
      <c r="G1087" s="4">
        <v>3135001000</v>
      </c>
      <c r="H1087">
        <f t="shared" si="48"/>
        <v>0</v>
      </c>
      <c r="I1087">
        <f t="shared" si="49"/>
        <v>0.26666666666666666</v>
      </c>
      <c r="J1087">
        <f t="shared" si="50"/>
        <v>0</v>
      </c>
      <c r="O1087">
        <v>3451</v>
      </c>
      <c r="P1087">
        <v>24</v>
      </c>
    </row>
    <row r="1088" spans="1:16" ht="26.1" customHeight="1" x14ac:dyDescent="0.2">
      <c r="A1088" s="4">
        <v>3116</v>
      </c>
      <c r="B1088" s="2" t="s">
        <v>146</v>
      </c>
      <c r="C1088" s="2" t="s">
        <v>226</v>
      </c>
      <c r="D1088" s="2" t="s">
        <v>261</v>
      </c>
      <c r="E1088" s="2" t="s">
        <v>323</v>
      </c>
      <c r="F1088" s="3">
        <v>44153</v>
      </c>
      <c r="G1088" s="4">
        <v>1014001</v>
      </c>
      <c r="H1088">
        <f t="shared" si="48"/>
        <v>0</v>
      </c>
      <c r="I1088">
        <f t="shared" si="49"/>
        <v>0.26666666666666666</v>
      </c>
      <c r="J1088">
        <f t="shared" si="50"/>
        <v>0</v>
      </c>
      <c r="O1088">
        <v>3452</v>
      </c>
      <c r="P1088">
        <v>24</v>
      </c>
    </row>
    <row r="1089" spans="1:16" ht="26.1" customHeight="1" x14ac:dyDescent="0.2">
      <c r="A1089" s="4">
        <v>3117</v>
      </c>
      <c r="B1089" s="2" t="s">
        <v>82</v>
      </c>
      <c r="C1089" s="2" t="s">
        <v>80</v>
      </c>
      <c r="D1089" s="2" t="s">
        <v>83</v>
      </c>
      <c r="E1089" s="2">
        <v>369539112</v>
      </c>
      <c r="F1089" s="3">
        <v>44154</v>
      </c>
      <c r="G1089" s="4">
        <v>3042135001</v>
      </c>
      <c r="H1089">
        <f t="shared" si="48"/>
        <v>0</v>
      </c>
      <c r="I1089">
        <f t="shared" si="49"/>
        <v>0.26666666666666666</v>
      </c>
      <c r="J1089">
        <f t="shared" si="50"/>
        <v>0</v>
      </c>
      <c r="O1089">
        <v>3455</v>
      </c>
      <c r="P1089">
        <v>24</v>
      </c>
    </row>
    <row r="1090" spans="1:16" ht="26.1" customHeight="1" x14ac:dyDescent="0.2">
      <c r="A1090" s="4">
        <v>3123</v>
      </c>
      <c r="B1090" s="2" t="s">
        <v>100</v>
      </c>
      <c r="C1090" s="2" t="s">
        <v>226</v>
      </c>
      <c r="D1090" s="2" t="s">
        <v>261</v>
      </c>
      <c r="E1090" s="2">
        <v>2449627</v>
      </c>
      <c r="F1090" s="3">
        <v>43860</v>
      </c>
      <c r="G1090" s="4">
        <v>1978003000</v>
      </c>
      <c r="H1090">
        <f t="shared" ref="H1090:H1153" si="51">VLOOKUP(A1090,O:P,2)</f>
        <v>24</v>
      </c>
      <c r="I1090">
        <f t="shared" ref="I1090:I1153" si="52">VLOOKUP(A1090,R:S,2)</f>
        <v>0.26666666666666666</v>
      </c>
      <c r="J1090">
        <f t="shared" ref="J1090:J1153" si="53">H1090*I1090</f>
        <v>6.4</v>
      </c>
      <c r="O1090">
        <v>3457</v>
      </c>
      <c r="P1090">
        <v>24</v>
      </c>
    </row>
    <row r="1091" spans="1:16" ht="26.1" customHeight="1" x14ac:dyDescent="0.2">
      <c r="A1091" s="4">
        <v>3124</v>
      </c>
      <c r="B1091" s="2" t="s">
        <v>100</v>
      </c>
      <c r="C1091" s="2" t="s">
        <v>226</v>
      </c>
      <c r="D1091" s="2" t="s">
        <v>261</v>
      </c>
      <c r="E1091" s="2">
        <v>2449632</v>
      </c>
      <c r="F1091" s="3">
        <v>44165</v>
      </c>
      <c r="G1091" s="4">
        <v>3042058001</v>
      </c>
      <c r="H1091">
        <f t="shared" si="51"/>
        <v>24</v>
      </c>
      <c r="I1091">
        <f t="shared" si="52"/>
        <v>0.26666666666666666</v>
      </c>
      <c r="J1091">
        <f t="shared" si="53"/>
        <v>6.4</v>
      </c>
      <c r="O1091">
        <v>3459</v>
      </c>
      <c r="P1091">
        <v>24</v>
      </c>
    </row>
    <row r="1092" spans="1:16" ht="26.1" customHeight="1" x14ac:dyDescent="0.2">
      <c r="A1092" s="4">
        <v>3125</v>
      </c>
      <c r="B1092" s="2" t="s">
        <v>100</v>
      </c>
      <c r="C1092" s="2" t="s">
        <v>226</v>
      </c>
      <c r="D1092" s="2" t="s">
        <v>261</v>
      </c>
      <c r="E1092" s="2">
        <v>2559644</v>
      </c>
      <c r="F1092" s="3">
        <v>44165</v>
      </c>
      <c r="G1092" s="4">
        <v>3042058001</v>
      </c>
      <c r="H1092">
        <f t="shared" si="51"/>
        <v>24</v>
      </c>
      <c r="I1092">
        <f t="shared" si="52"/>
        <v>0.26666666666666666</v>
      </c>
      <c r="J1092">
        <f t="shared" si="53"/>
        <v>6.4</v>
      </c>
      <c r="O1092">
        <v>3461</v>
      </c>
      <c r="P1092">
        <v>24</v>
      </c>
    </row>
    <row r="1093" spans="1:16" ht="26.1" customHeight="1" x14ac:dyDescent="0.2">
      <c r="A1093" s="4">
        <v>3126</v>
      </c>
      <c r="B1093" s="2" t="s">
        <v>163</v>
      </c>
      <c r="C1093" s="2" t="s">
        <v>80</v>
      </c>
      <c r="D1093" s="2" t="s">
        <v>324</v>
      </c>
      <c r="E1093" s="2">
        <v>996112613</v>
      </c>
      <c r="F1093" s="3">
        <v>44182</v>
      </c>
      <c r="G1093" s="4">
        <v>3042058001</v>
      </c>
      <c r="H1093">
        <f t="shared" si="51"/>
        <v>24</v>
      </c>
      <c r="I1093">
        <f t="shared" si="52"/>
        <v>0.26666666666666666</v>
      </c>
      <c r="J1093">
        <f t="shared" si="53"/>
        <v>6.4</v>
      </c>
      <c r="O1093">
        <v>3467</v>
      </c>
      <c r="P1093">
        <v>24</v>
      </c>
    </row>
    <row r="1094" spans="1:16" ht="26.1" customHeight="1" x14ac:dyDescent="0.2">
      <c r="A1094" s="4">
        <v>3127</v>
      </c>
      <c r="B1094" s="2" t="s">
        <v>123</v>
      </c>
      <c r="C1094" s="2" t="s">
        <v>107</v>
      </c>
      <c r="D1094" s="2" t="s">
        <v>10</v>
      </c>
      <c r="E1094" s="2">
        <v>654321</v>
      </c>
      <c r="F1094" s="3">
        <v>44187</v>
      </c>
      <c r="G1094" s="4">
        <v>1014001</v>
      </c>
      <c r="H1094">
        <f t="shared" si="51"/>
        <v>1199.5</v>
      </c>
      <c r="I1094">
        <f t="shared" si="52"/>
        <v>1.1666666666666667</v>
      </c>
      <c r="J1094">
        <f t="shared" si="53"/>
        <v>1399.4166666666667</v>
      </c>
      <c r="O1094">
        <v>3469</v>
      </c>
      <c r="P1094">
        <v>24</v>
      </c>
    </row>
    <row r="1095" spans="1:16" ht="15" customHeight="1" x14ac:dyDescent="0.2">
      <c r="A1095" s="4">
        <v>3129</v>
      </c>
      <c r="B1095" s="2" t="s">
        <v>325</v>
      </c>
      <c r="C1095" s="2" t="s">
        <v>69</v>
      </c>
      <c r="D1095" s="2" t="s">
        <v>10</v>
      </c>
      <c r="E1095" s="2">
        <v>1111</v>
      </c>
      <c r="F1095" s="3">
        <v>45148</v>
      </c>
      <c r="G1095" s="4">
        <v>1925011000</v>
      </c>
      <c r="H1095">
        <f t="shared" si="51"/>
        <v>1199.5</v>
      </c>
      <c r="I1095">
        <f t="shared" si="52"/>
        <v>1.1666666666666667</v>
      </c>
      <c r="J1095">
        <f t="shared" si="53"/>
        <v>1399.4166666666667</v>
      </c>
      <c r="O1095">
        <v>3476</v>
      </c>
      <c r="P1095">
        <v>24</v>
      </c>
    </row>
    <row r="1096" spans="1:16" ht="15" customHeight="1" x14ac:dyDescent="0.2">
      <c r="A1096" s="4">
        <v>3131</v>
      </c>
      <c r="B1096" s="2" t="s">
        <v>326</v>
      </c>
      <c r="C1096" s="2" t="s">
        <v>69</v>
      </c>
      <c r="D1096" s="2" t="s">
        <v>10</v>
      </c>
      <c r="E1096" s="2">
        <v>222</v>
      </c>
      <c r="F1096" s="3">
        <v>37703</v>
      </c>
      <c r="G1096" s="4">
        <v>1925011000</v>
      </c>
      <c r="H1096">
        <f t="shared" si="51"/>
        <v>0</v>
      </c>
      <c r="I1096">
        <f t="shared" si="52"/>
        <v>1.1666666666666667</v>
      </c>
      <c r="J1096">
        <f t="shared" si="53"/>
        <v>0</v>
      </c>
      <c r="O1096">
        <v>3477</v>
      </c>
      <c r="P1096">
        <v>20</v>
      </c>
    </row>
    <row r="1097" spans="1:16" ht="26.1" customHeight="1" x14ac:dyDescent="0.2">
      <c r="A1097" s="4">
        <v>3133</v>
      </c>
      <c r="B1097" s="2" t="s">
        <v>266</v>
      </c>
      <c r="C1097" s="2" t="s">
        <v>226</v>
      </c>
      <c r="D1097" s="2" t="s">
        <v>267</v>
      </c>
      <c r="E1097" s="2" t="s">
        <v>327</v>
      </c>
      <c r="F1097" s="3">
        <v>44202</v>
      </c>
      <c r="G1097" s="4">
        <v>66011000</v>
      </c>
      <c r="H1097">
        <f t="shared" si="51"/>
        <v>0</v>
      </c>
      <c r="I1097">
        <f t="shared" si="52"/>
        <v>1.1666666666666667</v>
      </c>
      <c r="J1097">
        <f t="shared" si="53"/>
        <v>0</v>
      </c>
      <c r="O1097">
        <v>3478</v>
      </c>
      <c r="P1097">
        <v>20</v>
      </c>
    </row>
    <row r="1098" spans="1:16" ht="15" customHeight="1" x14ac:dyDescent="0.2">
      <c r="A1098" s="4">
        <v>3134</v>
      </c>
      <c r="B1098" s="2" t="s">
        <v>100</v>
      </c>
      <c r="C1098" s="2" t="s">
        <v>226</v>
      </c>
      <c r="D1098" s="2" t="s">
        <v>261</v>
      </c>
      <c r="E1098" s="2">
        <v>12342</v>
      </c>
      <c r="F1098" s="3">
        <v>44208</v>
      </c>
      <c r="G1098" s="4">
        <v>1406001000</v>
      </c>
      <c r="H1098">
        <f t="shared" si="51"/>
        <v>24</v>
      </c>
      <c r="I1098">
        <f t="shared" si="52"/>
        <v>1.1666666666666667</v>
      </c>
      <c r="J1098">
        <f t="shared" si="53"/>
        <v>28</v>
      </c>
      <c r="O1098">
        <v>3479</v>
      </c>
      <c r="P1098">
        <v>3600</v>
      </c>
    </row>
    <row r="1099" spans="1:16" ht="26.1" customHeight="1" x14ac:dyDescent="0.2">
      <c r="A1099" s="4">
        <v>3135</v>
      </c>
      <c r="B1099" s="2" t="s">
        <v>146</v>
      </c>
      <c r="C1099" s="2" t="s">
        <v>226</v>
      </c>
      <c r="D1099" s="2" t="s">
        <v>328</v>
      </c>
      <c r="E1099" s="2" t="s">
        <v>329</v>
      </c>
      <c r="F1099" s="3">
        <v>44208</v>
      </c>
      <c r="G1099" s="4">
        <v>1406001000</v>
      </c>
      <c r="H1099">
        <f t="shared" si="51"/>
        <v>24</v>
      </c>
      <c r="I1099">
        <f t="shared" si="52"/>
        <v>1.1666666666666667</v>
      </c>
      <c r="J1099">
        <f t="shared" si="53"/>
        <v>28</v>
      </c>
      <c r="O1099">
        <v>3495</v>
      </c>
      <c r="P1099">
        <v>24</v>
      </c>
    </row>
    <row r="1100" spans="1:16" ht="26.1" customHeight="1" x14ac:dyDescent="0.2">
      <c r="A1100" s="4">
        <v>3136</v>
      </c>
      <c r="B1100" s="2" t="s">
        <v>146</v>
      </c>
      <c r="C1100" s="2" t="s">
        <v>226</v>
      </c>
      <c r="D1100" s="2" t="s">
        <v>328</v>
      </c>
      <c r="E1100" s="2" t="s">
        <v>330</v>
      </c>
      <c r="F1100" s="3">
        <v>44208</v>
      </c>
      <c r="G1100" s="4">
        <v>3042060001</v>
      </c>
      <c r="H1100">
        <f t="shared" si="51"/>
        <v>24</v>
      </c>
      <c r="I1100">
        <f t="shared" si="52"/>
        <v>1.1666666666666667</v>
      </c>
      <c r="J1100">
        <f t="shared" si="53"/>
        <v>28</v>
      </c>
      <c r="O1100">
        <v>3500</v>
      </c>
      <c r="P1100">
        <v>0</v>
      </c>
    </row>
    <row r="1101" spans="1:16" ht="26.1" customHeight="1" x14ac:dyDescent="0.2">
      <c r="A1101" s="4">
        <v>3138</v>
      </c>
      <c r="B1101" s="2" t="s">
        <v>55</v>
      </c>
      <c r="C1101" s="2" t="s">
        <v>331</v>
      </c>
      <c r="D1101" s="2" t="s">
        <v>115</v>
      </c>
      <c r="F1101" s="3">
        <v>44211</v>
      </c>
      <c r="G1101" s="4">
        <v>3022001000</v>
      </c>
      <c r="H1101">
        <f t="shared" si="51"/>
        <v>24</v>
      </c>
      <c r="I1101">
        <f t="shared" si="52"/>
        <v>1.1666666666666667</v>
      </c>
      <c r="J1101">
        <f t="shared" si="53"/>
        <v>28</v>
      </c>
      <c r="O1101">
        <v>3501</v>
      </c>
      <c r="P1101">
        <v>0</v>
      </c>
    </row>
    <row r="1102" spans="1:16" ht="26.1" customHeight="1" x14ac:dyDescent="0.2">
      <c r="A1102" s="4">
        <v>3139</v>
      </c>
      <c r="B1102" s="2" t="s">
        <v>266</v>
      </c>
      <c r="C1102" s="2" t="s">
        <v>226</v>
      </c>
      <c r="D1102" s="2" t="s">
        <v>267</v>
      </c>
      <c r="E1102" s="2" t="s">
        <v>332</v>
      </c>
      <c r="F1102" s="3">
        <v>44217</v>
      </c>
      <c r="G1102" s="4">
        <v>3033001000</v>
      </c>
      <c r="H1102">
        <f t="shared" si="51"/>
        <v>24</v>
      </c>
      <c r="I1102">
        <f t="shared" si="52"/>
        <v>1.1666666666666667</v>
      </c>
      <c r="J1102">
        <f t="shared" si="53"/>
        <v>28</v>
      </c>
      <c r="O1102">
        <v>3504</v>
      </c>
      <c r="P1102">
        <v>48</v>
      </c>
    </row>
    <row r="1103" spans="1:16" ht="15" customHeight="1" x14ac:dyDescent="0.2">
      <c r="A1103" s="4">
        <v>3140</v>
      </c>
      <c r="B1103" s="2" t="s">
        <v>100</v>
      </c>
      <c r="C1103" s="2" t="s">
        <v>232</v>
      </c>
      <c r="D1103" s="2" t="s">
        <v>333</v>
      </c>
      <c r="F1103" s="3">
        <v>44222</v>
      </c>
      <c r="G1103" s="4">
        <v>1014001</v>
      </c>
      <c r="H1103">
        <f t="shared" si="51"/>
        <v>24</v>
      </c>
      <c r="I1103">
        <f t="shared" si="52"/>
        <v>1.1666666666666667</v>
      </c>
      <c r="J1103">
        <f t="shared" si="53"/>
        <v>28</v>
      </c>
      <c r="O1103">
        <v>3505</v>
      </c>
      <c r="P1103">
        <v>2200</v>
      </c>
    </row>
    <row r="1104" spans="1:16" ht="26.1" customHeight="1" x14ac:dyDescent="0.2">
      <c r="A1104" s="4">
        <v>3142</v>
      </c>
      <c r="B1104" s="2" t="s">
        <v>82</v>
      </c>
      <c r="C1104" s="2" t="s">
        <v>80</v>
      </c>
      <c r="D1104" s="2" t="s">
        <v>83</v>
      </c>
      <c r="E1104" s="2">
        <v>111111111111</v>
      </c>
      <c r="F1104" s="3">
        <v>44237</v>
      </c>
      <c r="G1104" s="4">
        <v>1176003000</v>
      </c>
      <c r="H1104">
        <f t="shared" si="51"/>
        <v>24</v>
      </c>
      <c r="I1104">
        <f t="shared" si="52"/>
        <v>1.1666666666666667</v>
      </c>
      <c r="J1104">
        <f t="shared" si="53"/>
        <v>28</v>
      </c>
      <c r="O1104">
        <v>3506</v>
      </c>
      <c r="P1104">
        <v>2200</v>
      </c>
    </row>
    <row r="1105" spans="1:16" ht="26.1" customHeight="1" x14ac:dyDescent="0.2">
      <c r="A1105" s="4">
        <v>3144</v>
      </c>
      <c r="B1105" s="2" t="s">
        <v>266</v>
      </c>
      <c r="C1105" s="2" t="s">
        <v>226</v>
      </c>
      <c r="D1105" s="2" t="s">
        <v>267</v>
      </c>
      <c r="E1105" s="2" t="s">
        <v>334</v>
      </c>
      <c r="F1105" s="3">
        <v>44260</v>
      </c>
      <c r="G1105" s="4">
        <v>1014001</v>
      </c>
      <c r="H1105">
        <f t="shared" si="51"/>
        <v>24</v>
      </c>
      <c r="I1105">
        <f t="shared" si="52"/>
        <v>1.1666666666666667</v>
      </c>
      <c r="J1105">
        <f t="shared" si="53"/>
        <v>28</v>
      </c>
      <c r="O1105">
        <v>3507</v>
      </c>
      <c r="P1105">
        <v>24</v>
      </c>
    </row>
    <row r="1106" spans="1:16" ht="26.1" customHeight="1" x14ac:dyDescent="0.2">
      <c r="A1106" s="4">
        <v>3145</v>
      </c>
      <c r="B1106" s="2" t="s">
        <v>82</v>
      </c>
      <c r="C1106" s="2" t="s">
        <v>80</v>
      </c>
      <c r="D1106" s="2" t="s">
        <v>83</v>
      </c>
      <c r="E1106" s="2">
        <v>68903107</v>
      </c>
      <c r="F1106" s="3">
        <v>44265</v>
      </c>
      <c r="G1106" s="4">
        <v>1925001000</v>
      </c>
      <c r="H1106">
        <f t="shared" si="51"/>
        <v>24</v>
      </c>
      <c r="I1106">
        <f t="shared" si="52"/>
        <v>1.1666666666666667</v>
      </c>
      <c r="J1106">
        <f t="shared" si="53"/>
        <v>28</v>
      </c>
      <c r="O1106">
        <v>3509</v>
      </c>
      <c r="P1106">
        <v>24</v>
      </c>
    </row>
    <row r="1107" spans="1:16" ht="26.1" customHeight="1" x14ac:dyDescent="0.2">
      <c r="A1107" s="4">
        <v>3146</v>
      </c>
      <c r="B1107" s="2" t="s">
        <v>82</v>
      </c>
      <c r="C1107" s="2" t="s">
        <v>80</v>
      </c>
      <c r="D1107" s="2" t="s">
        <v>83</v>
      </c>
      <c r="E1107" s="2">
        <v>68902922</v>
      </c>
      <c r="F1107" s="3">
        <v>44265</v>
      </c>
      <c r="G1107" s="4">
        <v>1925001000</v>
      </c>
      <c r="H1107">
        <f t="shared" si="51"/>
        <v>24</v>
      </c>
      <c r="I1107">
        <f t="shared" si="52"/>
        <v>1.1666666666666667</v>
      </c>
      <c r="J1107">
        <f t="shared" si="53"/>
        <v>28</v>
      </c>
      <c r="O1107">
        <v>3515</v>
      </c>
      <c r="P1107">
        <v>0</v>
      </c>
    </row>
    <row r="1108" spans="1:16" ht="26.1" customHeight="1" x14ac:dyDescent="0.2">
      <c r="A1108" s="4">
        <v>3147</v>
      </c>
      <c r="B1108" s="2" t="s">
        <v>82</v>
      </c>
      <c r="C1108" s="2" t="s">
        <v>80</v>
      </c>
      <c r="D1108" s="2" t="s">
        <v>83</v>
      </c>
      <c r="E1108" s="2">
        <v>68903103</v>
      </c>
      <c r="F1108" s="3">
        <v>44265</v>
      </c>
      <c r="G1108" s="4">
        <v>3365001000</v>
      </c>
      <c r="H1108">
        <f t="shared" si="51"/>
        <v>24</v>
      </c>
      <c r="I1108">
        <f t="shared" si="52"/>
        <v>1.1666666666666667</v>
      </c>
      <c r="J1108">
        <f t="shared" si="53"/>
        <v>28</v>
      </c>
      <c r="O1108">
        <v>3516</v>
      </c>
      <c r="P1108">
        <v>1000</v>
      </c>
    </row>
    <row r="1109" spans="1:16" ht="26.1" customHeight="1" x14ac:dyDescent="0.2">
      <c r="A1109" s="4">
        <v>3148</v>
      </c>
      <c r="B1109" s="2" t="s">
        <v>100</v>
      </c>
      <c r="C1109" s="2" t="s">
        <v>279</v>
      </c>
      <c r="D1109" s="2" t="s">
        <v>10</v>
      </c>
      <c r="E1109" s="2" t="s">
        <v>335</v>
      </c>
      <c r="F1109" s="3">
        <v>44274</v>
      </c>
      <c r="G1109" s="4">
        <v>3042060001</v>
      </c>
      <c r="H1109">
        <f t="shared" si="51"/>
        <v>24</v>
      </c>
      <c r="I1109">
        <f t="shared" si="52"/>
        <v>1.1666666666666667</v>
      </c>
      <c r="J1109">
        <f t="shared" si="53"/>
        <v>28</v>
      </c>
      <c r="O1109">
        <v>3517</v>
      </c>
      <c r="P1109">
        <v>1000</v>
      </c>
    </row>
    <row r="1110" spans="1:16" ht="26.1" customHeight="1" x14ac:dyDescent="0.2">
      <c r="A1110" s="4">
        <v>3149</v>
      </c>
      <c r="B1110" s="2" t="s">
        <v>82</v>
      </c>
      <c r="C1110" s="2" t="s">
        <v>80</v>
      </c>
      <c r="D1110" s="2" t="s">
        <v>83</v>
      </c>
      <c r="F1110" s="3">
        <v>44315</v>
      </c>
      <c r="G1110" s="4">
        <v>1925011000</v>
      </c>
      <c r="H1110">
        <f t="shared" si="51"/>
        <v>24</v>
      </c>
      <c r="I1110">
        <f t="shared" si="52"/>
        <v>1.1666666666666667</v>
      </c>
      <c r="J1110">
        <f t="shared" si="53"/>
        <v>28</v>
      </c>
      <c r="O1110">
        <v>3519</v>
      </c>
      <c r="P1110">
        <v>24</v>
      </c>
    </row>
    <row r="1111" spans="1:16" ht="26.1" customHeight="1" x14ac:dyDescent="0.2">
      <c r="A1111" s="4">
        <v>3150</v>
      </c>
      <c r="B1111" s="2" t="s">
        <v>79</v>
      </c>
      <c r="C1111" s="2" t="s">
        <v>80</v>
      </c>
      <c r="D1111" s="2" t="s">
        <v>197</v>
      </c>
      <c r="E1111" s="2">
        <v>369648751</v>
      </c>
      <c r="F1111" s="3">
        <v>44333</v>
      </c>
      <c r="G1111" s="4">
        <v>1014001</v>
      </c>
      <c r="H1111">
        <f t="shared" si="51"/>
        <v>24</v>
      </c>
      <c r="I1111">
        <f t="shared" si="52"/>
        <v>1.1666666666666667</v>
      </c>
      <c r="J1111">
        <f t="shared" si="53"/>
        <v>28</v>
      </c>
      <c r="O1111">
        <v>3522</v>
      </c>
      <c r="P1111">
        <v>24</v>
      </c>
    </row>
    <row r="1112" spans="1:16" ht="26.1" customHeight="1" x14ac:dyDescent="0.2">
      <c r="A1112" s="4">
        <v>3151</v>
      </c>
      <c r="B1112" s="2" t="s">
        <v>82</v>
      </c>
      <c r="C1112" s="2" t="s">
        <v>80</v>
      </c>
      <c r="D1112" s="2" t="s">
        <v>83</v>
      </c>
      <c r="E1112" s="2">
        <v>370230281</v>
      </c>
      <c r="F1112" s="3">
        <v>44333</v>
      </c>
      <c r="G1112" s="4">
        <v>3119003000</v>
      </c>
      <c r="H1112">
        <f t="shared" si="51"/>
        <v>24</v>
      </c>
      <c r="I1112">
        <f t="shared" si="52"/>
        <v>1.1666666666666667</v>
      </c>
      <c r="J1112">
        <f t="shared" si="53"/>
        <v>28</v>
      </c>
      <c r="O1112">
        <v>3523</v>
      </c>
      <c r="P1112">
        <v>2200</v>
      </c>
    </row>
    <row r="1113" spans="1:16" ht="15" customHeight="1" x14ac:dyDescent="0.2">
      <c r="A1113" s="4">
        <v>3152</v>
      </c>
      <c r="B1113" s="2" t="s">
        <v>336</v>
      </c>
      <c r="C1113" s="2" t="s">
        <v>337</v>
      </c>
      <c r="D1113" s="2" t="s">
        <v>338</v>
      </c>
      <c r="E1113" s="2">
        <v>202021</v>
      </c>
      <c r="F1113" s="3">
        <v>44344</v>
      </c>
      <c r="G1113" s="4">
        <v>1014002</v>
      </c>
      <c r="H1113">
        <f t="shared" si="51"/>
        <v>20</v>
      </c>
      <c r="I1113">
        <f t="shared" si="52"/>
        <v>9.5238095238095233E-2</v>
      </c>
      <c r="J1113">
        <f t="shared" si="53"/>
        <v>1.9047619047619047</v>
      </c>
      <c r="O1113">
        <v>3529</v>
      </c>
    </row>
    <row r="1114" spans="1:16" ht="39.200000000000003" customHeight="1" x14ac:dyDescent="0.2">
      <c r="A1114" s="4">
        <v>3153</v>
      </c>
      <c r="B1114" s="2" t="s">
        <v>55</v>
      </c>
      <c r="C1114" s="2" t="s">
        <v>339</v>
      </c>
      <c r="D1114" s="2" t="s">
        <v>340</v>
      </c>
      <c r="E1114" s="2">
        <v>1606225809746</v>
      </c>
      <c r="F1114" s="3">
        <v>44344</v>
      </c>
      <c r="G1114" s="4">
        <v>1176003000</v>
      </c>
      <c r="H1114">
        <f t="shared" si="51"/>
        <v>20</v>
      </c>
      <c r="I1114">
        <f t="shared" si="52"/>
        <v>9.5238095238095233E-2</v>
      </c>
      <c r="J1114">
        <f t="shared" si="53"/>
        <v>1.9047619047619047</v>
      </c>
      <c r="O1114">
        <v>10000</v>
      </c>
      <c r="P1114">
        <v>0</v>
      </c>
    </row>
    <row r="1115" spans="1:16" ht="26.1" customHeight="1" x14ac:dyDescent="0.2">
      <c r="A1115" s="4">
        <v>3155</v>
      </c>
      <c r="B1115" s="2" t="s">
        <v>146</v>
      </c>
      <c r="C1115" s="2" t="s">
        <v>226</v>
      </c>
      <c r="D1115" s="2" t="s">
        <v>328</v>
      </c>
      <c r="E1115" s="2" t="s">
        <v>341</v>
      </c>
      <c r="F1115" s="3">
        <v>44356</v>
      </c>
      <c r="G1115" s="4">
        <v>1014002</v>
      </c>
      <c r="H1115">
        <f t="shared" si="51"/>
        <v>20</v>
      </c>
      <c r="I1115">
        <f t="shared" si="52"/>
        <v>9.5238095238095233E-2</v>
      </c>
      <c r="J1115">
        <f t="shared" si="53"/>
        <v>1.9047619047619047</v>
      </c>
      <c r="O1115">
        <v>20001</v>
      </c>
    </row>
    <row r="1116" spans="1:16" ht="26.1" customHeight="1" x14ac:dyDescent="0.2">
      <c r="A1116" s="4">
        <v>3156</v>
      </c>
      <c r="B1116" s="2" t="s">
        <v>100</v>
      </c>
      <c r="C1116" s="2" t="s">
        <v>69</v>
      </c>
      <c r="D1116" s="2" t="s">
        <v>10</v>
      </c>
      <c r="E1116" s="2">
        <v>2449630</v>
      </c>
      <c r="F1116" s="3">
        <v>44357</v>
      </c>
      <c r="G1116" s="4">
        <v>3042126001</v>
      </c>
      <c r="H1116">
        <f t="shared" si="51"/>
        <v>24</v>
      </c>
      <c r="I1116">
        <f t="shared" si="52"/>
        <v>9.5238095238095233E-2</v>
      </c>
      <c r="J1116">
        <f t="shared" si="53"/>
        <v>2.2857142857142856</v>
      </c>
      <c r="O1116">
        <v>20002</v>
      </c>
      <c r="P1116">
        <v>20</v>
      </c>
    </row>
    <row r="1117" spans="1:16" ht="26.1" customHeight="1" x14ac:dyDescent="0.2">
      <c r="A1117" s="4">
        <v>3158</v>
      </c>
      <c r="B1117" s="2" t="s">
        <v>100</v>
      </c>
      <c r="C1117" s="2" t="s">
        <v>232</v>
      </c>
      <c r="E1117" s="2" t="s">
        <v>342</v>
      </c>
      <c r="F1117" s="3">
        <v>44384</v>
      </c>
      <c r="G1117" s="4">
        <v>2548013000</v>
      </c>
      <c r="H1117">
        <f t="shared" si="51"/>
        <v>24</v>
      </c>
      <c r="I1117">
        <f t="shared" si="52"/>
        <v>4</v>
      </c>
      <c r="J1117">
        <f t="shared" si="53"/>
        <v>96</v>
      </c>
      <c r="O1117">
        <v>20004</v>
      </c>
    </row>
    <row r="1118" spans="1:16" ht="26.1" customHeight="1" x14ac:dyDescent="0.2">
      <c r="A1118" s="4">
        <v>3159</v>
      </c>
      <c r="B1118" s="2" t="s">
        <v>13</v>
      </c>
      <c r="C1118" s="2" t="s">
        <v>297</v>
      </c>
      <c r="D1118" s="2" t="s">
        <v>343</v>
      </c>
      <c r="E1118" s="2" t="s">
        <v>344</v>
      </c>
      <c r="F1118" s="3">
        <v>44391</v>
      </c>
      <c r="G1118" s="4">
        <v>1023000</v>
      </c>
      <c r="H1118">
        <f t="shared" si="51"/>
        <v>1200</v>
      </c>
      <c r="I1118">
        <f t="shared" si="52"/>
        <v>7.1428571428571425E-2</v>
      </c>
      <c r="J1118">
        <f t="shared" si="53"/>
        <v>85.714285714285708</v>
      </c>
      <c r="O1118">
        <v>20005</v>
      </c>
      <c r="P1118">
        <v>20</v>
      </c>
    </row>
    <row r="1119" spans="1:16" ht="26.1" customHeight="1" x14ac:dyDescent="0.2">
      <c r="A1119" s="4">
        <v>3160</v>
      </c>
      <c r="B1119" s="2" t="s">
        <v>13</v>
      </c>
      <c r="C1119" s="2" t="s">
        <v>297</v>
      </c>
      <c r="D1119" s="2" t="s">
        <v>343</v>
      </c>
      <c r="E1119" s="2" t="s">
        <v>345</v>
      </c>
      <c r="F1119" s="3">
        <v>44391</v>
      </c>
      <c r="G1119" s="4">
        <v>1023000</v>
      </c>
      <c r="H1119">
        <f t="shared" si="51"/>
        <v>1200</v>
      </c>
      <c r="I1119">
        <f t="shared" si="52"/>
        <v>0.21428571428571427</v>
      </c>
      <c r="J1119">
        <f t="shared" si="53"/>
        <v>257.14285714285711</v>
      </c>
      <c r="O1119">
        <v>20007</v>
      </c>
    </row>
    <row r="1120" spans="1:16" ht="26.1" customHeight="1" x14ac:dyDescent="0.2">
      <c r="A1120" s="4">
        <v>3161</v>
      </c>
      <c r="B1120" s="2" t="s">
        <v>13</v>
      </c>
      <c r="C1120" s="2" t="s">
        <v>297</v>
      </c>
      <c r="D1120" s="2" t="s">
        <v>343</v>
      </c>
      <c r="E1120" s="2" t="s">
        <v>346</v>
      </c>
      <c r="F1120" s="3">
        <v>44391</v>
      </c>
      <c r="G1120" s="4">
        <v>1023000</v>
      </c>
      <c r="H1120">
        <f t="shared" si="51"/>
        <v>1200</v>
      </c>
      <c r="I1120">
        <f t="shared" si="52"/>
        <v>0.21428571428571427</v>
      </c>
      <c r="J1120">
        <f t="shared" si="53"/>
        <v>257.14285714285711</v>
      </c>
      <c r="O1120">
        <v>20008</v>
      </c>
      <c r="P1120">
        <v>20</v>
      </c>
    </row>
    <row r="1121" spans="1:16" ht="26.1" customHeight="1" x14ac:dyDescent="0.2">
      <c r="A1121" s="4">
        <v>3163</v>
      </c>
      <c r="B1121" s="2" t="s">
        <v>100</v>
      </c>
      <c r="C1121" s="2" t="s">
        <v>226</v>
      </c>
      <c r="D1121" s="2" t="s">
        <v>10</v>
      </c>
      <c r="E1121" s="2" t="s">
        <v>347</v>
      </c>
      <c r="F1121" s="3">
        <v>44405</v>
      </c>
      <c r="G1121" s="4">
        <v>3042058001</v>
      </c>
      <c r="H1121">
        <f t="shared" si="51"/>
        <v>24</v>
      </c>
      <c r="I1121">
        <f t="shared" si="52"/>
        <v>0.21428571428571427</v>
      </c>
      <c r="J1121">
        <f t="shared" si="53"/>
        <v>5.1428571428571423</v>
      </c>
      <c r="O1121">
        <v>20010</v>
      </c>
    </row>
    <row r="1122" spans="1:16" ht="39.200000000000003" customHeight="1" x14ac:dyDescent="0.2">
      <c r="A1122" s="4">
        <v>3164</v>
      </c>
      <c r="B1122" s="2" t="s">
        <v>348</v>
      </c>
      <c r="C1122" s="2" t="s">
        <v>80</v>
      </c>
      <c r="D1122" s="2" t="s">
        <v>349</v>
      </c>
      <c r="E1122" s="2" t="s">
        <v>350</v>
      </c>
      <c r="F1122" s="3">
        <v>44420</v>
      </c>
      <c r="G1122" s="4">
        <v>1014001</v>
      </c>
      <c r="H1122">
        <f t="shared" si="51"/>
        <v>600</v>
      </c>
      <c r="I1122">
        <f t="shared" si="52"/>
        <v>6.6666666666666666E-2</v>
      </c>
      <c r="J1122">
        <f t="shared" si="53"/>
        <v>40</v>
      </c>
      <c r="O1122">
        <v>20011</v>
      </c>
      <c r="P1122">
        <v>20</v>
      </c>
    </row>
    <row r="1123" spans="1:16" ht="26.1" customHeight="1" x14ac:dyDescent="0.2">
      <c r="A1123" s="4">
        <v>3166</v>
      </c>
      <c r="B1123" s="2" t="s">
        <v>351</v>
      </c>
      <c r="C1123" s="2" t="s">
        <v>72</v>
      </c>
      <c r="D1123" s="2" t="s">
        <v>352</v>
      </c>
      <c r="E1123" s="2">
        <v>4000257525</v>
      </c>
      <c r="F1123" s="3">
        <v>44432</v>
      </c>
      <c r="G1123" s="4">
        <v>3135003000</v>
      </c>
      <c r="H1123">
        <f t="shared" si="51"/>
        <v>600</v>
      </c>
      <c r="I1123">
        <f t="shared" si="52"/>
        <v>6.6666666666666666E-2</v>
      </c>
      <c r="J1123">
        <f t="shared" si="53"/>
        <v>40</v>
      </c>
      <c r="O1123">
        <v>20013</v>
      </c>
    </row>
    <row r="1124" spans="1:16" ht="39.200000000000003" customHeight="1" x14ac:dyDescent="0.2">
      <c r="A1124" s="4">
        <v>3167</v>
      </c>
      <c r="B1124" s="2" t="s">
        <v>287</v>
      </c>
      <c r="C1124" s="2" t="s">
        <v>353</v>
      </c>
      <c r="D1124" s="2" t="s">
        <v>354</v>
      </c>
      <c r="E1124" s="2" t="s">
        <v>355</v>
      </c>
      <c r="F1124" s="3">
        <v>44435</v>
      </c>
      <c r="G1124" s="4">
        <v>1014001</v>
      </c>
      <c r="H1124">
        <f t="shared" si="51"/>
        <v>600</v>
      </c>
      <c r="I1124">
        <f t="shared" si="52"/>
        <v>6.6666666666666666E-2</v>
      </c>
      <c r="J1124">
        <f t="shared" si="53"/>
        <v>40</v>
      </c>
      <c r="O1124">
        <v>20014</v>
      </c>
      <c r="P1124">
        <v>43</v>
      </c>
    </row>
    <row r="1125" spans="1:16" ht="15" customHeight="1" x14ac:dyDescent="0.2">
      <c r="A1125" s="4">
        <v>3168</v>
      </c>
      <c r="B1125" s="2" t="s">
        <v>100</v>
      </c>
      <c r="C1125" s="2" t="s">
        <v>232</v>
      </c>
      <c r="D1125" s="2" t="s">
        <v>356</v>
      </c>
      <c r="E1125" s="2" t="s">
        <v>357</v>
      </c>
      <c r="F1125" s="3">
        <v>44438</v>
      </c>
      <c r="G1125" s="4">
        <v>1014001</v>
      </c>
      <c r="H1125">
        <f t="shared" si="51"/>
        <v>600</v>
      </c>
      <c r="I1125">
        <f t="shared" si="52"/>
        <v>6.6666666666666666E-2</v>
      </c>
      <c r="J1125">
        <f t="shared" si="53"/>
        <v>40</v>
      </c>
      <c r="O1125">
        <v>20016</v>
      </c>
    </row>
    <row r="1126" spans="1:16" ht="15" customHeight="1" x14ac:dyDescent="0.2">
      <c r="A1126" s="4">
        <v>3170</v>
      </c>
      <c r="B1126" s="2" t="s">
        <v>100</v>
      </c>
      <c r="C1126" s="2" t="s">
        <v>232</v>
      </c>
      <c r="F1126" s="3">
        <v>44441</v>
      </c>
      <c r="G1126" s="4">
        <v>1014001</v>
      </c>
      <c r="H1126">
        <f t="shared" si="51"/>
        <v>24</v>
      </c>
      <c r="I1126">
        <f t="shared" si="52"/>
        <v>6.6666666666666666E-2</v>
      </c>
      <c r="J1126">
        <f t="shared" si="53"/>
        <v>1.6</v>
      </c>
      <c r="O1126">
        <v>20017</v>
      </c>
      <c r="P1126">
        <v>43</v>
      </c>
    </row>
    <row r="1127" spans="1:16" ht="26.1" customHeight="1" x14ac:dyDescent="0.2">
      <c r="A1127" s="4">
        <v>3171</v>
      </c>
      <c r="B1127" s="2" t="s">
        <v>123</v>
      </c>
      <c r="C1127" s="2" t="s">
        <v>187</v>
      </c>
      <c r="D1127" s="2" t="s">
        <v>122</v>
      </c>
      <c r="E1127" s="2">
        <v>13458</v>
      </c>
      <c r="F1127" s="3">
        <v>44441</v>
      </c>
      <c r="G1127" s="4">
        <v>1023000</v>
      </c>
      <c r="H1127">
        <f t="shared" si="51"/>
        <v>2200</v>
      </c>
      <c r="I1127">
        <f t="shared" si="52"/>
        <v>2.2333333333333334E-2</v>
      </c>
      <c r="J1127">
        <f t="shared" si="53"/>
        <v>49.133333333333333</v>
      </c>
      <c r="O1127">
        <v>20019</v>
      </c>
    </row>
    <row r="1128" spans="1:16" ht="26.1" customHeight="1" x14ac:dyDescent="0.2">
      <c r="A1128" s="4">
        <v>3174</v>
      </c>
      <c r="B1128" s="2" t="s">
        <v>13</v>
      </c>
      <c r="C1128" s="2" t="s">
        <v>226</v>
      </c>
      <c r="D1128" s="2" t="s">
        <v>358</v>
      </c>
      <c r="E1128" s="2" t="s">
        <v>359</v>
      </c>
      <c r="F1128" s="3">
        <v>44470</v>
      </c>
      <c r="G1128" s="4">
        <v>3034001000</v>
      </c>
      <c r="H1128">
        <f t="shared" si="51"/>
        <v>2000</v>
      </c>
      <c r="I1128">
        <f t="shared" si="52"/>
        <v>0.5714285714285714</v>
      </c>
      <c r="J1128">
        <f t="shared" si="53"/>
        <v>1142.8571428571429</v>
      </c>
      <c r="O1128">
        <v>20020</v>
      </c>
      <c r="P1128">
        <v>43</v>
      </c>
    </row>
    <row r="1129" spans="1:16" ht="26.1" customHeight="1" x14ac:dyDescent="0.2">
      <c r="A1129" s="4">
        <v>3175</v>
      </c>
      <c r="B1129" s="2" t="s">
        <v>348</v>
      </c>
      <c r="C1129" s="2" t="s">
        <v>80</v>
      </c>
      <c r="D1129" s="2" t="s">
        <v>349</v>
      </c>
      <c r="E1129" s="2">
        <v>438971855</v>
      </c>
      <c r="F1129" s="3">
        <v>44491</v>
      </c>
      <c r="G1129" s="4">
        <v>2126013000</v>
      </c>
      <c r="H1129">
        <f t="shared" si="51"/>
        <v>600</v>
      </c>
      <c r="I1129">
        <f t="shared" si="52"/>
        <v>0.66666666666666663</v>
      </c>
      <c r="J1129">
        <f t="shared" si="53"/>
        <v>400</v>
      </c>
      <c r="O1129">
        <v>3244001000</v>
      </c>
      <c r="P1129">
        <v>1212</v>
      </c>
    </row>
    <row r="1130" spans="1:16" ht="26.1" customHeight="1" x14ac:dyDescent="0.2">
      <c r="A1130" s="4">
        <v>3176</v>
      </c>
      <c r="B1130" s="2" t="s">
        <v>82</v>
      </c>
      <c r="C1130" s="2" t="s">
        <v>80</v>
      </c>
      <c r="D1130" s="2" t="s">
        <v>83</v>
      </c>
      <c r="E1130" s="2">
        <v>370023094</v>
      </c>
      <c r="F1130" s="3">
        <v>44491</v>
      </c>
      <c r="G1130" s="4">
        <v>3042135001</v>
      </c>
      <c r="H1130">
        <f t="shared" si="51"/>
        <v>600</v>
      </c>
      <c r="I1130">
        <f t="shared" si="52"/>
        <v>0.66666666666666663</v>
      </c>
      <c r="J1130">
        <f t="shared" si="53"/>
        <v>400</v>
      </c>
    </row>
    <row r="1131" spans="1:16" ht="39.200000000000003" customHeight="1" x14ac:dyDescent="0.2">
      <c r="A1131" s="4">
        <v>3177</v>
      </c>
      <c r="B1131" s="2" t="s">
        <v>123</v>
      </c>
      <c r="C1131" s="2" t="s">
        <v>187</v>
      </c>
      <c r="D1131" s="2" t="s">
        <v>360</v>
      </c>
      <c r="E1131" s="2">
        <v>19940550004583</v>
      </c>
      <c r="F1131" s="3">
        <v>44494</v>
      </c>
      <c r="G1131" s="4">
        <v>2126001000</v>
      </c>
      <c r="H1131">
        <f t="shared" si="51"/>
        <v>3600</v>
      </c>
      <c r="I1131">
        <f t="shared" si="52"/>
        <v>0.66666666666666663</v>
      </c>
      <c r="J1131">
        <f t="shared" si="53"/>
        <v>2400</v>
      </c>
    </row>
    <row r="1132" spans="1:16" ht="39.200000000000003" customHeight="1" x14ac:dyDescent="0.2">
      <c r="A1132" s="4">
        <v>3178</v>
      </c>
      <c r="B1132" s="2" t="s">
        <v>123</v>
      </c>
      <c r="C1132" s="2" t="s">
        <v>187</v>
      </c>
      <c r="D1132" s="2" t="s">
        <v>360</v>
      </c>
      <c r="E1132" s="2">
        <v>19943080006726</v>
      </c>
      <c r="F1132" s="3">
        <v>44494</v>
      </c>
      <c r="G1132" s="4">
        <v>2126001000</v>
      </c>
      <c r="H1132">
        <f t="shared" si="51"/>
        <v>3600</v>
      </c>
      <c r="I1132">
        <f t="shared" si="52"/>
        <v>0.66666666666666663</v>
      </c>
      <c r="J1132">
        <f t="shared" si="53"/>
        <v>2400</v>
      </c>
    </row>
    <row r="1133" spans="1:16" ht="39.200000000000003" customHeight="1" x14ac:dyDescent="0.2">
      <c r="A1133" s="4">
        <v>3179</v>
      </c>
      <c r="B1133" s="2" t="s">
        <v>123</v>
      </c>
      <c r="C1133" s="2" t="s">
        <v>187</v>
      </c>
      <c r="D1133" s="2" t="s">
        <v>360</v>
      </c>
      <c r="E1133" s="2">
        <v>19940550004582</v>
      </c>
      <c r="F1133" s="3">
        <v>44493</v>
      </c>
      <c r="G1133" s="4">
        <v>2126001000</v>
      </c>
      <c r="H1133">
        <f t="shared" si="51"/>
        <v>3600</v>
      </c>
      <c r="I1133">
        <f t="shared" si="52"/>
        <v>0.66666666666666663</v>
      </c>
      <c r="J1133">
        <f t="shared" si="53"/>
        <v>2400</v>
      </c>
    </row>
    <row r="1134" spans="1:16" ht="26.1" customHeight="1" x14ac:dyDescent="0.2">
      <c r="A1134" s="4">
        <v>3180</v>
      </c>
      <c r="B1134" s="2" t="s">
        <v>82</v>
      </c>
      <c r="C1134" s="2" t="s">
        <v>80</v>
      </c>
      <c r="D1134" s="2" t="s">
        <v>83</v>
      </c>
      <c r="E1134" s="2">
        <v>370660510</v>
      </c>
      <c r="F1134" s="3">
        <v>44504</v>
      </c>
      <c r="G1134" s="4">
        <v>1176003000</v>
      </c>
      <c r="H1134">
        <f t="shared" si="51"/>
        <v>3600</v>
      </c>
      <c r="I1134">
        <f t="shared" si="52"/>
        <v>0.66666666666666663</v>
      </c>
      <c r="J1134">
        <f t="shared" si="53"/>
        <v>2400</v>
      </c>
    </row>
    <row r="1135" spans="1:16" ht="26.1" customHeight="1" x14ac:dyDescent="0.2">
      <c r="A1135" s="4">
        <v>3181</v>
      </c>
      <c r="B1135" s="2" t="s">
        <v>82</v>
      </c>
      <c r="C1135" s="2" t="s">
        <v>80</v>
      </c>
      <c r="D1135" s="2" t="s">
        <v>83</v>
      </c>
      <c r="E1135" s="2">
        <v>370660502</v>
      </c>
      <c r="F1135" s="3">
        <v>44504</v>
      </c>
      <c r="G1135" s="4">
        <v>3207019000</v>
      </c>
      <c r="H1135">
        <f t="shared" si="51"/>
        <v>3600</v>
      </c>
      <c r="I1135">
        <f t="shared" si="52"/>
        <v>0.66666666666666663</v>
      </c>
      <c r="J1135">
        <f t="shared" si="53"/>
        <v>2400</v>
      </c>
    </row>
    <row r="1136" spans="1:16" ht="39.200000000000003" customHeight="1" x14ac:dyDescent="0.2">
      <c r="A1136" s="4">
        <v>3182</v>
      </c>
      <c r="B1136" s="2" t="s">
        <v>163</v>
      </c>
      <c r="C1136" s="2" t="s">
        <v>187</v>
      </c>
      <c r="E1136" s="2">
        <v>11870020010347</v>
      </c>
      <c r="F1136" s="3">
        <v>44504</v>
      </c>
      <c r="G1136" s="4">
        <v>3207017000</v>
      </c>
      <c r="H1136">
        <f t="shared" si="51"/>
        <v>3600</v>
      </c>
      <c r="I1136">
        <f t="shared" si="52"/>
        <v>0.66666666666666663</v>
      </c>
      <c r="J1136">
        <f t="shared" si="53"/>
        <v>2400</v>
      </c>
    </row>
    <row r="1137" spans="1:10" ht="26.1" customHeight="1" x14ac:dyDescent="0.2">
      <c r="A1137" s="4">
        <v>3183</v>
      </c>
      <c r="B1137" s="2" t="s">
        <v>361</v>
      </c>
      <c r="C1137" s="2" t="s">
        <v>279</v>
      </c>
      <c r="D1137" s="2" t="s">
        <v>115</v>
      </c>
      <c r="E1137" s="2" t="s">
        <v>362</v>
      </c>
      <c r="F1137" s="3">
        <v>44519</v>
      </c>
      <c r="G1137" s="4">
        <v>1550001000</v>
      </c>
      <c r="H1137">
        <f t="shared" si="51"/>
        <v>24</v>
      </c>
      <c r="I1137">
        <f t="shared" si="52"/>
        <v>0.66666666666666663</v>
      </c>
      <c r="J1137">
        <f t="shared" si="53"/>
        <v>16</v>
      </c>
    </row>
    <row r="1138" spans="1:10" ht="26.1" customHeight="1" x14ac:dyDescent="0.2">
      <c r="A1138" s="4">
        <v>3184</v>
      </c>
      <c r="B1138" s="2" t="s">
        <v>361</v>
      </c>
      <c r="C1138" s="2" t="s">
        <v>279</v>
      </c>
      <c r="D1138" s="2" t="s">
        <v>115</v>
      </c>
      <c r="E1138" s="2" t="s">
        <v>362</v>
      </c>
      <c r="F1138" s="3">
        <v>44519</v>
      </c>
      <c r="G1138" s="4">
        <v>1014001</v>
      </c>
      <c r="H1138">
        <f t="shared" si="51"/>
        <v>24</v>
      </c>
      <c r="I1138">
        <f t="shared" si="52"/>
        <v>0.66666666666666663</v>
      </c>
      <c r="J1138">
        <f t="shared" si="53"/>
        <v>16</v>
      </c>
    </row>
    <row r="1139" spans="1:10" ht="26.1" customHeight="1" x14ac:dyDescent="0.2">
      <c r="A1139" s="4">
        <v>3185</v>
      </c>
      <c r="B1139" s="2" t="s">
        <v>361</v>
      </c>
      <c r="C1139" s="2" t="s">
        <v>279</v>
      </c>
      <c r="D1139" s="2" t="s">
        <v>115</v>
      </c>
      <c r="E1139" s="2" t="s">
        <v>362</v>
      </c>
      <c r="F1139" s="3">
        <v>44519</v>
      </c>
      <c r="G1139" s="4">
        <v>1014001</v>
      </c>
      <c r="H1139">
        <f t="shared" si="51"/>
        <v>24</v>
      </c>
      <c r="I1139">
        <f t="shared" si="52"/>
        <v>0.66666666666666663</v>
      </c>
      <c r="J1139">
        <f t="shared" si="53"/>
        <v>16</v>
      </c>
    </row>
    <row r="1140" spans="1:10" ht="15" customHeight="1" x14ac:dyDescent="0.2">
      <c r="A1140" s="4">
        <v>3186</v>
      </c>
      <c r="B1140" s="2" t="s">
        <v>260</v>
      </c>
      <c r="C1140" s="2" t="s">
        <v>80</v>
      </c>
      <c r="D1140" s="2" t="s">
        <v>363</v>
      </c>
      <c r="E1140" s="2">
        <v>123456</v>
      </c>
      <c r="F1140" s="3">
        <v>44414</v>
      </c>
      <c r="G1140" s="4">
        <v>2126010000</v>
      </c>
      <c r="H1140">
        <f t="shared" si="51"/>
        <v>24</v>
      </c>
      <c r="I1140">
        <f t="shared" si="52"/>
        <v>0.66666666666666663</v>
      </c>
      <c r="J1140">
        <f t="shared" si="53"/>
        <v>16</v>
      </c>
    </row>
    <row r="1141" spans="1:10" ht="26.1" customHeight="1" x14ac:dyDescent="0.2">
      <c r="A1141" s="4">
        <v>3189</v>
      </c>
      <c r="B1141" s="2" t="s">
        <v>82</v>
      </c>
      <c r="C1141" s="2" t="s">
        <v>80</v>
      </c>
      <c r="D1141" s="2" t="s">
        <v>83</v>
      </c>
      <c r="E1141" s="2">
        <v>12345</v>
      </c>
      <c r="F1141" s="3">
        <v>44417</v>
      </c>
      <c r="G1141" s="4">
        <v>2126010000</v>
      </c>
      <c r="H1141">
        <f t="shared" si="51"/>
        <v>24</v>
      </c>
      <c r="I1141">
        <f t="shared" si="52"/>
        <v>0.66666666666666663</v>
      </c>
      <c r="J1141">
        <f t="shared" si="53"/>
        <v>16</v>
      </c>
    </row>
    <row r="1142" spans="1:10" ht="26.1" customHeight="1" x14ac:dyDescent="0.2">
      <c r="A1142" s="4">
        <v>3194</v>
      </c>
      <c r="B1142" s="2" t="s">
        <v>146</v>
      </c>
      <c r="C1142" s="2" t="s">
        <v>226</v>
      </c>
      <c r="D1142" s="2" t="s">
        <v>364</v>
      </c>
      <c r="E1142" s="2" t="s">
        <v>365</v>
      </c>
      <c r="F1142" s="3">
        <v>44547</v>
      </c>
      <c r="G1142" s="4">
        <v>1165000000</v>
      </c>
      <c r="H1142">
        <f t="shared" si="51"/>
        <v>24</v>
      </c>
      <c r="I1142">
        <f t="shared" si="52"/>
        <v>0.66666666666666663</v>
      </c>
      <c r="J1142">
        <f t="shared" si="53"/>
        <v>16</v>
      </c>
    </row>
    <row r="1143" spans="1:10" ht="26.1" customHeight="1" x14ac:dyDescent="0.2">
      <c r="A1143" s="4">
        <v>3195</v>
      </c>
      <c r="B1143" s="2" t="s">
        <v>123</v>
      </c>
      <c r="C1143" s="2" t="s">
        <v>187</v>
      </c>
      <c r="D1143" s="2" t="s">
        <v>122</v>
      </c>
      <c r="E1143" s="2">
        <v>13559</v>
      </c>
      <c r="F1143" s="3">
        <v>44552</v>
      </c>
      <c r="G1143" s="4">
        <v>165001000</v>
      </c>
      <c r="H1143">
        <f t="shared" si="51"/>
        <v>2200</v>
      </c>
      <c r="I1143">
        <f t="shared" si="52"/>
        <v>2.8571428571428572</v>
      </c>
      <c r="J1143">
        <f t="shared" si="53"/>
        <v>6285.7142857142862</v>
      </c>
    </row>
    <row r="1144" spans="1:10" ht="26.1" customHeight="1" x14ac:dyDescent="0.2">
      <c r="A1144" s="4">
        <v>3200</v>
      </c>
      <c r="B1144" s="2" t="s">
        <v>351</v>
      </c>
      <c r="C1144" s="2" t="s">
        <v>226</v>
      </c>
      <c r="D1144" s="2" t="s">
        <v>328</v>
      </c>
      <c r="E1144" s="2" t="s">
        <v>366</v>
      </c>
      <c r="F1144" s="3">
        <v>44606</v>
      </c>
      <c r="G1144" s="4">
        <v>3042058001</v>
      </c>
      <c r="H1144">
        <f t="shared" si="51"/>
        <v>2200</v>
      </c>
      <c r="I1144">
        <f t="shared" si="52"/>
        <v>2.8571428571428572</v>
      </c>
      <c r="J1144">
        <f t="shared" si="53"/>
        <v>6285.7142857142862</v>
      </c>
    </row>
    <row r="1145" spans="1:10" ht="39.200000000000003" customHeight="1" x14ac:dyDescent="0.2">
      <c r="A1145" s="4">
        <v>3201</v>
      </c>
      <c r="B1145" s="2" t="s">
        <v>100</v>
      </c>
      <c r="C1145" s="2" t="s">
        <v>226</v>
      </c>
      <c r="D1145" s="2" t="s">
        <v>328</v>
      </c>
      <c r="E1145" s="2">
        <v>12002021040041</v>
      </c>
      <c r="F1145" s="3">
        <v>44606</v>
      </c>
      <c r="G1145" s="4">
        <v>3135004000</v>
      </c>
      <c r="H1145">
        <f t="shared" si="51"/>
        <v>24</v>
      </c>
      <c r="I1145">
        <f t="shared" si="52"/>
        <v>2.8571428571428572</v>
      </c>
      <c r="J1145">
        <f t="shared" si="53"/>
        <v>68.571428571428569</v>
      </c>
    </row>
    <row r="1146" spans="1:10" ht="26.1" customHeight="1" x14ac:dyDescent="0.2">
      <c r="A1146" s="4">
        <v>3202</v>
      </c>
      <c r="B1146" s="2" t="s">
        <v>146</v>
      </c>
      <c r="C1146" s="2" t="s">
        <v>226</v>
      </c>
      <c r="D1146" s="2" t="s">
        <v>328</v>
      </c>
      <c r="E1146" s="2" t="s">
        <v>367</v>
      </c>
      <c r="F1146" s="3">
        <v>44606</v>
      </c>
      <c r="G1146" s="4">
        <v>3034001000</v>
      </c>
      <c r="H1146">
        <f t="shared" si="51"/>
        <v>24</v>
      </c>
      <c r="I1146">
        <f t="shared" si="52"/>
        <v>2.8571428571428572</v>
      </c>
      <c r="J1146">
        <f t="shared" si="53"/>
        <v>68.571428571428569</v>
      </c>
    </row>
    <row r="1147" spans="1:10" ht="26.1" customHeight="1" x14ac:dyDescent="0.2">
      <c r="A1147" s="4">
        <v>3204</v>
      </c>
      <c r="B1147" s="2" t="s">
        <v>351</v>
      </c>
      <c r="C1147" s="2" t="s">
        <v>226</v>
      </c>
      <c r="D1147" s="2" t="s">
        <v>328</v>
      </c>
      <c r="E1147" s="2" t="s">
        <v>368</v>
      </c>
      <c r="F1147" s="3">
        <v>44606</v>
      </c>
      <c r="G1147" s="4">
        <v>3135004000</v>
      </c>
      <c r="H1147">
        <f t="shared" si="51"/>
        <v>24</v>
      </c>
      <c r="I1147">
        <f t="shared" si="52"/>
        <v>2.8571428571428572</v>
      </c>
      <c r="J1147">
        <f t="shared" si="53"/>
        <v>68.571428571428569</v>
      </c>
    </row>
    <row r="1148" spans="1:10" ht="26.1" customHeight="1" x14ac:dyDescent="0.2">
      <c r="A1148" s="4">
        <v>3206</v>
      </c>
      <c r="B1148" s="2" t="s">
        <v>351</v>
      </c>
      <c r="C1148" s="2" t="s">
        <v>226</v>
      </c>
      <c r="D1148" s="2" t="s">
        <v>328</v>
      </c>
      <c r="E1148" s="2" t="s">
        <v>369</v>
      </c>
      <c r="F1148" s="3">
        <v>44606</v>
      </c>
      <c r="G1148" s="4">
        <v>3042058002</v>
      </c>
      <c r="H1148">
        <f t="shared" si="51"/>
        <v>24</v>
      </c>
      <c r="I1148">
        <f t="shared" si="52"/>
        <v>2.8571428571428572</v>
      </c>
      <c r="J1148">
        <f t="shared" si="53"/>
        <v>68.571428571428569</v>
      </c>
    </row>
    <row r="1149" spans="1:10" ht="39.200000000000003" customHeight="1" x14ac:dyDescent="0.2">
      <c r="A1149" s="4">
        <v>3207</v>
      </c>
      <c r="B1149" s="2" t="s">
        <v>100</v>
      </c>
      <c r="C1149" s="2" t="s">
        <v>226</v>
      </c>
      <c r="D1149" s="2" t="s">
        <v>328</v>
      </c>
      <c r="E1149" s="2">
        <v>12002021040039</v>
      </c>
      <c r="F1149" s="3">
        <v>44606</v>
      </c>
      <c r="G1149" s="4">
        <v>3042058002</v>
      </c>
      <c r="H1149">
        <f t="shared" si="51"/>
        <v>24</v>
      </c>
      <c r="I1149">
        <f t="shared" si="52"/>
        <v>4</v>
      </c>
      <c r="J1149">
        <f t="shared" si="53"/>
        <v>96</v>
      </c>
    </row>
    <row r="1150" spans="1:10" ht="26.1" customHeight="1" x14ac:dyDescent="0.2">
      <c r="A1150" s="4">
        <v>3208</v>
      </c>
      <c r="B1150" s="2" t="s">
        <v>266</v>
      </c>
      <c r="C1150" s="2" t="s">
        <v>226</v>
      </c>
      <c r="D1150" s="2" t="s">
        <v>267</v>
      </c>
      <c r="E1150" s="2" t="s">
        <v>370</v>
      </c>
      <c r="F1150" s="3">
        <v>44606</v>
      </c>
      <c r="G1150" s="4">
        <v>3042058002</v>
      </c>
      <c r="H1150">
        <f t="shared" si="51"/>
        <v>24</v>
      </c>
      <c r="I1150">
        <f t="shared" si="52"/>
        <v>4</v>
      </c>
      <c r="J1150">
        <f t="shared" si="53"/>
        <v>96</v>
      </c>
    </row>
    <row r="1151" spans="1:10" ht="26.1" customHeight="1" x14ac:dyDescent="0.2">
      <c r="A1151" s="4">
        <v>3209</v>
      </c>
      <c r="B1151" s="2" t="s">
        <v>266</v>
      </c>
      <c r="C1151" s="2" t="s">
        <v>226</v>
      </c>
      <c r="D1151" s="2" t="s">
        <v>267</v>
      </c>
      <c r="E1151" s="2" t="s">
        <v>371</v>
      </c>
      <c r="F1151" s="3">
        <v>44606</v>
      </c>
      <c r="G1151" s="4">
        <v>3182005000</v>
      </c>
      <c r="H1151">
        <f t="shared" si="51"/>
        <v>24</v>
      </c>
      <c r="I1151">
        <f t="shared" si="52"/>
        <v>4</v>
      </c>
      <c r="J1151">
        <f t="shared" si="53"/>
        <v>96</v>
      </c>
    </row>
    <row r="1152" spans="1:10" ht="26.1" customHeight="1" x14ac:dyDescent="0.2">
      <c r="A1152" s="4">
        <v>3210</v>
      </c>
      <c r="B1152" s="2" t="s">
        <v>266</v>
      </c>
      <c r="C1152" s="2" t="s">
        <v>226</v>
      </c>
      <c r="D1152" s="2" t="s">
        <v>267</v>
      </c>
      <c r="E1152" s="2" t="s">
        <v>372</v>
      </c>
      <c r="F1152" s="3">
        <v>44606</v>
      </c>
      <c r="G1152" s="4">
        <v>3042058002</v>
      </c>
      <c r="H1152">
        <f t="shared" si="51"/>
        <v>24</v>
      </c>
      <c r="I1152">
        <f t="shared" si="52"/>
        <v>4</v>
      </c>
      <c r="J1152">
        <f t="shared" si="53"/>
        <v>96</v>
      </c>
    </row>
    <row r="1153" spans="1:10" ht="39.200000000000003" customHeight="1" x14ac:dyDescent="0.2">
      <c r="A1153" s="4">
        <v>3211</v>
      </c>
      <c r="B1153" s="2" t="s">
        <v>123</v>
      </c>
      <c r="C1153" s="2" t="s">
        <v>187</v>
      </c>
      <c r="D1153" s="2" t="s">
        <v>243</v>
      </c>
      <c r="E1153" s="2">
        <v>93982120005100</v>
      </c>
      <c r="F1153" s="3">
        <v>44616</v>
      </c>
      <c r="G1153" s="4">
        <v>2126001000</v>
      </c>
      <c r="H1153">
        <f t="shared" si="51"/>
        <v>2200</v>
      </c>
      <c r="I1153">
        <f t="shared" si="52"/>
        <v>0.8571428571428571</v>
      </c>
      <c r="J1153">
        <f t="shared" si="53"/>
        <v>1885.7142857142856</v>
      </c>
    </row>
    <row r="1154" spans="1:10" ht="26.1" customHeight="1" x14ac:dyDescent="0.2">
      <c r="A1154" s="4">
        <v>3212</v>
      </c>
      <c r="B1154" s="2" t="s">
        <v>82</v>
      </c>
      <c r="C1154" s="2" t="s">
        <v>80</v>
      </c>
      <c r="D1154" s="2" t="s">
        <v>83</v>
      </c>
      <c r="E1154" s="2">
        <v>371102684</v>
      </c>
      <c r="F1154" s="3">
        <v>44616</v>
      </c>
      <c r="G1154" s="4">
        <v>153002000</v>
      </c>
      <c r="H1154">
        <f t="shared" ref="H1154:H1217" si="54">VLOOKUP(A1154,O:P,2)</f>
        <v>2200</v>
      </c>
      <c r="I1154">
        <f t="shared" ref="I1154:I1217" si="55">VLOOKUP(A1154,R:S,2)</f>
        <v>0.8571428571428571</v>
      </c>
      <c r="J1154">
        <f t="shared" ref="J1154:J1217" si="56">H1154*I1154</f>
        <v>1885.7142857142856</v>
      </c>
    </row>
    <row r="1155" spans="1:10" ht="26.1" customHeight="1" x14ac:dyDescent="0.2">
      <c r="A1155" s="4">
        <v>3213</v>
      </c>
      <c r="B1155" s="2" t="s">
        <v>123</v>
      </c>
      <c r="C1155" s="2" t="s">
        <v>187</v>
      </c>
      <c r="D1155" s="2" t="s">
        <v>243</v>
      </c>
      <c r="F1155" s="3">
        <v>44616</v>
      </c>
      <c r="G1155" s="4">
        <v>2126001000</v>
      </c>
      <c r="H1155">
        <f t="shared" si="54"/>
        <v>2200</v>
      </c>
      <c r="I1155">
        <f t="shared" si="55"/>
        <v>0.8571428571428571</v>
      </c>
      <c r="J1155">
        <f t="shared" si="56"/>
        <v>1885.7142857142856</v>
      </c>
    </row>
    <row r="1156" spans="1:10" ht="39.200000000000003" customHeight="1" x14ac:dyDescent="0.2">
      <c r="A1156" s="4">
        <v>3214</v>
      </c>
      <c r="B1156" s="2" t="s">
        <v>65</v>
      </c>
      <c r="C1156" s="2" t="s">
        <v>373</v>
      </c>
      <c r="D1156" s="2" t="s">
        <v>374</v>
      </c>
      <c r="E1156" s="2" t="s">
        <v>375</v>
      </c>
      <c r="F1156" s="3">
        <v>44460</v>
      </c>
      <c r="G1156" s="4">
        <v>3042135001</v>
      </c>
      <c r="H1156">
        <f t="shared" si="54"/>
        <v>2200</v>
      </c>
      <c r="I1156">
        <f t="shared" si="55"/>
        <v>0.8571428571428571</v>
      </c>
      <c r="J1156">
        <f t="shared" si="56"/>
        <v>1885.7142857142856</v>
      </c>
    </row>
    <row r="1157" spans="1:10" ht="26.1" customHeight="1" x14ac:dyDescent="0.2">
      <c r="A1157" s="4">
        <v>3217</v>
      </c>
      <c r="B1157" s="2" t="s">
        <v>376</v>
      </c>
      <c r="C1157" s="2" t="s">
        <v>69</v>
      </c>
      <c r="D1157" s="2" t="s">
        <v>10</v>
      </c>
      <c r="E1157" s="2">
        <v>552000729</v>
      </c>
      <c r="F1157" s="3">
        <v>44655</v>
      </c>
      <c r="G1157" s="4">
        <v>1014001</v>
      </c>
      <c r="H1157">
        <f t="shared" si="54"/>
        <v>0</v>
      </c>
      <c r="I1157">
        <f t="shared" si="55"/>
        <v>0.8571428571428571</v>
      </c>
      <c r="J1157">
        <f t="shared" si="56"/>
        <v>0</v>
      </c>
    </row>
    <row r="1158" spans="1:10" ht="26.1" customHeight="1" x14ac:dyDescent="0.2">
      <c r="A1158" s="4">
        <v>3218</v>
      </c>
      <c r="B1158" s="2" t="s">
        <v>123</v>
      </c>
      <c r="C1158" s="2" t="s">
        <v>187</v>
      </c>
      <c r="D1158" s="2" t="s">
        <v>10</v>
      </c>
      <c r="E1158" s="2">
        <v>1235</v>
      </c>
      <c r="F1158" s="3">
        <v>44656</v>
      </c>
      <c r="G1158" s="4">
        <v>2126013000</v>
      </c>
      <c r="H1158">
        <f t="shared" si="54"/>
        <v>591.5</v>
      </c>
      <c r="I1158">
        <f t="shared" si="55"/>
        <v>0.5</v>
      </c>
      <c r="J1158">
        <f t="shared" si="56"/>
        <v>295.75</v>
      </c>
    </row>
    <row r="1159" spans="1:10" ht="26.1" customHeight="1" x14ac:dyDescent="0.2">
      <c r="A1159" s="4">
        <v>3223</v>
      </c>
      <c r="B1159" s="2" t="s">
        <v>100</v>
      </c>
      <c r="C1159" s="2" t="s">
        <v>317</v>
      </c>
      <c r="D1159" s="2" t="s">
        <v>318</v>
      </c>
      <c r="E1159" s="2" t="s">
        <v>377</v>
      </c>
      <c r="F1159" s="3">
        <v>44677</v>
      </c>
      <c r="G1159" s="4">
        <v>1014001</v>
      </c>
      <c r="H1159">
        <f t="shared" si="54"/>
        <v>24</v>
      </c>
      <c r="I1159">
        <f t="shared" si="55"/>
        <v>0.5</v>
      </c>
      <c r="J1159">
        <f t="shared" si="56"/>
        <v>12</v>
      </c>
    </row>
    <row r="1160" spans="1:10" ht="26.1" customHeight="1" x14ac:dyDescent="0.2">
      <c r="A1160" s="4">
        <v>3225</v>
      </c>
      <c r="B1160" s="2" t="s">
        <v>378</v>
      </c>
      <c r="C1160" s="2" t="s">
        <v>379</v>
      </c>
      <c r="D1160" s="2" t="s">
        <v>10</v>
      </c>
      <c r="E1160" s="2">
        <v>12345678</v>
      </c>
      <c r="F1160" s="3">
        <v>44673</v>
      </c>
      <c r="G1160" s="4">
        <v>1925010000</v>
      </c>
      <c r="H1160">
        <f t="shared" si="54"/>
        <v>24</v>
      </c>
      <c r="I1160">
        <f t="shared" si="55"/>
        <v>0.5</v>
      </c>
      <c r="J1160">
        <f t="shared" si="56"/>
        <v>12</v>
      </c>
    </row>
    <row r="1161" spans="1:10" ht="26.1" customHeight="1" x14ac:dyDescent="0.2">
      <c r="A1161" s="4">
        <v>3228</v>
      </c>
      <c r="B1161" s="2" t="s">
        <v>24</v>
      </c>
      <c r="C1161" s="2" t="s">
        <v>209</v>
      </c>
      <c r="D1161" s="2">
        <v>165</v>
      </c>
      <c r="E1161" s="2">
        <v>413</v>
      </c>
      <c r="F1161" s="3">
        <v>36526</v>
      </c>
      <c r="G1161" s="4">
        <v>1176003000</v>
      </c>
      <c r="H1161">
        <f t="shared" si="54"/>
        <v>1100</v>
      </c>
      <c r="I1161">
        <f t="shared" si="55"/>
        <v>0.14285714285714285</v>
      </c>
      <c r="J1161">
        <f t="shared" si="56"/>
        <v>157.14285714285714</v>
      </c>
    </row>
    <row r="1162" spans="1:10" ht="26.1" customHeight="1" x14ac:dyDescent="0.2">
      <c r="A1162" s="4">
        <v>3229</v>
      </c>
      <c r="B1162" s="2" t="s">
        <v>266</v>
      </c>
      <c r="C1162" s="2" t="s">
        <v>226</v>
      </c>
      <c r="D1162" s="2" t="s">
        <v>380</v>
      </c>
      <c r="E1162" s="2" t="s">
        <v>381</v>
      </c>
      <c r="F1162" s="3">
        <v>44707</v>
      </c>
      <c r="G1162" s="4">
        <v>165001000</v>
      </c>
      <c r="H1162">
        <f t="shared" si="54"/>
        <v>1100</v>
      </c>
      <c r="I1162">
        <f t="shared" si="55"/>
        <v>0.14285714285714285</v>
      </c>
      <c r="J1162">
        <f t="shared" si="56"/>
        <v>157.14285714285714</v>
      </c>
    </row>
    <row r="1163" spans="1:10" ht="26.1" customHeight="1" x14ac:dyDescent="0.2">
      <c r="A1163" s="4">
        <v>3230</v>
      </c>
      <c r="B1163" s="2" t="s">
        <v>99</v>
      </c>
      <c r="C1163" s="2" t="s">
        <v>382</v>
      </c>
      <c r="D1163" s="2" t="s">
        <v>383</v>
      </c>
      <c r="E1163" s="2">
        <v>2714405</v>
      </c>
      <c r="F1163" s="3">
        <v>44707</v>
      </c>
      <c r="G1163" s="4">
        <v>165001000</v>
      </c>
      <c r="H1163">
        <f t="shared" si="54"/>
        <v>24</v>
      </c>
      <c r="I1163">
        <f t="shared" si="55"/>
        <v>0.14285714285714285</v>
      </c>
      <c r="J1163">
        <f t="shared" si="56"/>
        <v>3.4285714285714284</v>
      </c>
    </row>
    <row r="1164" spans="1:10" ht="26.1" customHeight="1" x14ac:dyDescent="0.2">
      <c r="A1164" s="4">
        <v>3231</v>
      </c>
      <c r="B1164" s="2" t="s">
        <v>266</v>
      </c>
      <c r="C1164" s="2" t="s">
        <v>226</v>
      </c>
      <c r="D1164" s="2" t="s">
        <v>380</v>
      </c>
      <c r="E1164" s="2" t="s">
        <v>384</v>
      </c>
      <c r="F1164" s="3">
        <v>44707</v>
      </c>
      <c r="G1164" s="4">
        <v>165001000</v>
      </c>
      <c r="H1164">
        <f t="shared" si="54"/>
        <v>24</v>
      </c>
      <c r="I1164">
        <f t="shared" si="55"/>
        <v>0.14285714285714285</v>
      </c>
      <c r="J1164">
        <f t="shared" si="56"/>
        <v>3.4285714285714284</v>
      </c>
    </row>
    <row r="1165" spans="1:10" ht="26.1" customHeight="1" x14ac:dyDescent="0.2">
      <c r="A1165" s="4">
        <v>3232</v>
      </c>
      <c r="B1165" s="2" t="s">
        <v>99</v>
      </c>
      <c r="C1165" s="2" t="s">
        <v>382</v>
      </c>
      <c r="D1165" s="2" t="s">
        <v>383</v>
      </c>
      <c r="E1165" s="2">
        <v>2714404</v>
      </c>
      <c r="F1165" s="3">
        <v>44707</v>
      </c>
      <c r="G1165" s="4">
        <v>165001000</v>
      </c>
      <c r="H1165">
        <f t="shared" si="54"/>
        <v>24</v>
      </c>
      <c r="I1165">
        <f t="shared" si="55"/>
        <v>0.14285714285714285</v>
      </c>
      <c r="J1165">
        <f t="shared" si="56"/>
        <v>3.4285714285714284</v>
      </c>
    </row>
    <row r="1166" spans="1:10" ht="15" customHeight="1" x14ac:dyDescent="0.2">
      <c r="A1166" s="4">
        <v>3234</v>
      </c>
      <c r="B1166" s="2" t="s">
        <v>13</v>
      </c>
      <c r="C1166" s="2" t="s">
        <v>169</v>
      </c>
      <c r="D1166" s="2" t="s">
        <v>10</v>
      </c>
      <c r="E1166" s="2">
        <v>109401</v>
      </c>
      <c r="F1166" s="3">
        <v>44711</v>
      </c>
      <c r="G1166" s="4">
        <v>3219003000</v>
      </c>
      <c r="H1166">
        <f t="shared" si="54"/>
        <v>1000</v>
      </c>
      <c r="I1166">
        <f t="shared" si="55"/>
        <v>0.5</v>
      </c>
      <c r="J1166">
        <f t="shared" si="56"/>
        <v>500</v>
      </c>
    </row>
    <row r="1167" spans="1:10" ht="15" customHeight="1" x14ac:dyDescent="0.2">
      <c r="A1167" s="4">
        <v>3236</v>
      </c>
      <c r="B1167" s="2" t="s">
        <v>146</v>
      </c>
      <c r="C1167" s="2" t="s">
        <v>132</v>
      </c>
      <c r="D1167" s="2" t="s">
        <v>147</v>
      </c>
      <c r="F1167" s="3">
        <v>43998</v>
      </c>
      <c r="G1167" s="4">
        <v>1014001</v>
      </c>
      <c r="H1167">
        <f t="shared" si="54"/>
        <v>1000</v>
      </c>
      <c r="I1167">
        <f t="shared" si="55"/>
        <v>0.5</v>
      </c>
      <c r="J1167">
        <f t="shared" si="56"/>
        <v>500</v>
      </c>
    </row>
    <row r="1168" spans="1:10" ht="26.1" customHeight="1" x14ac:dyDescent="0.2">
      <c r="A1168" s="4">
        <v>3237</v>
      </c>
      <c r="B1168" s="2" t="s">
        <v>351</v>
      </c>
      <c r="C1168" s="2" t="s">
        <v>226</v>
      </c>
      <c r="D1168" s="2" t="s">
        <v>328</v>
      </c>
      <c r="E1168" s="2" t="s">
        <v>385</v>
      </c>
      <c r="F1168" s="3">
        <v>44712</v>
      </c>
      <c r="G1168" s="4">
        <v>3042058001</v>
      </c>
      <c r="H1168">
        <f t="shared" si="54"/>
        <v>1000</v>
      </c>
      <c r="I1168">
        <f t="shared" si="55"/>
        <v>0.5</v>
      </c>
      <c r="J1168">
        <f t="shared" si="56"/>
        <v>500</v>
      </c>
    </row>
    <row r="1169" spans="1:10" ht="15" customHeight="1" x14ac:dyDescent="0.2">
      <c r="A1169" s="4">
        <v>3238</v>
      </c>
      <c r="B1169" s="2" t="s">
        <v>100</v>
      </c>
      <c r="C1169" s="2" t="s">
        <v>386</v>
      </c>
      <c r="D1169" s="2" t="s">
        <v>318</v>
      </c>
      <c r="E1169" s="2">
        <v>0</v>
      </c>
      <c r="F1169" s="3">
        <v>44712</v>
      </c>
      <c r="G1169" s="4">
        <v>1014001</v>
      </c>
      <c r="H1169">
        <f t="shared" si="54"/>
        <v>24</v>
      </c>
      <c r="I1169">
        <f t="shared" si="55"/>
        <v>0.5</v>
      </c>
      <c r="J1169">
        <f t="shared" si="56"/>
        <v>12</v>
      </c>
    </row>
    <row r="1170" spans="1:10" ht="26.1" customHeight="1" x14ac:dyDescent="0.2">
      <c r="A1170" s="4">
        <v>3239</v>
      </c>
      <c r="B1170" s="2" t="s">
        <v>351</v>
      </c>
      <c r="C1170" s="2" t="s">
        <v>226</v>
      </c>
      <c r="D1170" s="2" t="s">
        <v>328</v>
      </c>
      <c r="E1170" s="2" t="s">
        <v>387</v>
      </c>
      <c r="F1170" s="3">
        <v>44712</v>
      </c>
      <c r="G1170" s="4">
        <v>2958001000</v>
      </c>
      <c r="H1170">
        <f t="shared" si="54"/>
        <v>24</v>
      </c>
      <c r="I1170">
        <f t="shared" si="55"/>
        <v>0.5</v>
      </c>
      <c r="J1170">
        <f t="shared" si="56"/>
        <v>12</v>
      </c>
    </row>
    <row r="1171" spans="1:10" ht="26.1" customHeight="1" x14ac:dyDescent="0.2">
      <c r="A1171" s="4">
        <v>3240</v>
      </c>
      <c r="B1171" s="2" t="s">
        <v>361</v>
      </c>
      <c r="C1171" s="2" t="s">
        <v>386</v>
      </c>
      <c r="D1171" s="2" t="s">
        <v>318</v>
      </c>
      <c r="E1171" s="2">
        <v>0</v>
      </c>
      <c r="F1171" s="3">
        <v>44712</v>
      </c>
      <c r="G1171" s="4">
        <v>2958001000</v>
      </c>
      <c r="H1171">
        <f t="shared" si="54"/>
        <v>24</v>
      </c>
      <c r="I1171">
        <f t="shared" si="55"/>
        <v>0.5</v>
      </c>
      <c r="J1171">
        <f t="shared" si="56"/>
        <v>12</v>
      </c>
    </row>
    <row r="1172" spans="1:10" ht="26.1" customHeight="1" x14ac:dyDescent="0.2">
      <c r="A1172" s="4">
        <v>3241</v>
      </c>
      <c r="B1172" s="2" t="s">
        <v>351</v>
      </c>
      <c r="C1172" s="2" t="s">
        <v>226</v>
      </c>
      <c r="D1172" s="2" t="s">
        <v>328</v>
      </c>
      <c r="E1172" s="2" t="s">
        <v>388</v>
      </c>
      <c r="F1172" s="3">
        <v>44714</v>
      </c>
      <c r="G1172" s="4">
        <v>1014001</v>
      </c>
      <c r="H1172">
        <f t="shared" si="54"/>
        <v>24</v>
      </c>
      <c r="I1172">
        <f t="shared" si="55"/>
        <v>0.5</v>
      </c>
      <c r="J1172">
        <f t="shared" si="56"/>
        <v>12</v>
      </c>
    </row>
    <row r="1173" spans="1:10" ht="26.1" customHeight="1" x14ac:dyDescent="0.2">
      <c r="A1173" s="4">
        <v>3243</v>
      </c>
      <c r="B1173" s="2" t="s">
        <v>351</v>
      </c>
      <c r="C1173" s="2" t="s">
        <v>226</v>
      </c>
      <c r="D1173" s="2" t="s">
        <v>328</v>
      </c>
      <c r="E1173" s="2" t="s">
        <v>389</v>
      </c>
      <c r="F1173" s="3">
        <v>44727</v>
      </c>
      <c r="G1173" s="4">
        <v>3042058002</v>
      </c>
      <c r="H1173">
        <f t="shared" si="54"/>
        <v>24</v>
      </c>
      <c r="I1173">
        <f t="shared" si="55"/>
        <v>0.5</v>
      </c>
      <c r="J1173">
        <f t="shared" si="56"/>
        <v>12</v>
      </c>
    </row>
    <row r="1174" spans="1:10" ht="26.1" customHeight="1" x14ac:dyDescent="0.2">
      <c r="A1174" s="4">
        <v>3244</v>
      </c>
      <c r="B1174" s="2" t="s">
        <v>351</v>
      </c>
      <c r="C1174" s="2" t="s">
        <v>226</v>
      </c>
      <c r="D1174" s="2" t="s">
        <v>328</v>
      </c>
      <c r="E1174" s="2" t="s">
        <v>390</v>
      </c>
      <c r="F1174" s="3">
        <v>44727</v>
      </c>
      <c r="G1174" s="4">
        <v>3042058002</v>
      </c>
      <c r="H1174">
        <f t="shared" si="54"/>
        <v>24</v>
      </c>
      <c r="I1174">
        <f t="shared" si="55"/>
        <v>0.5</v>
      </c>
      <c r="J1174">
        <f t="shared" si="56"/>
        <v>12</v>
      </c>
    </row>
    <row r="1175" spans="1:10" ht="26.1" customHeight="1" x14ac:dyDescent="0.2">
      <c r="A1175" s="4">
        <v>3245</v>
      </c>
      <c r="B1175" s="2" t="s">
        <v>100</v>
      </c>
      <c r="C1175" s="2" t="s">
        <v>386</v>
      </c>
      <c r="D1175" s="2" t="s">
        <v>225</v>
      </c>
      <c r="E1175" s="2" t="s">
        <v>377</v>
      </c>
      <c r="F1175" s="3">
        <v>44959</v>
      </c>
      <c r="G1175" s="4">
        <v>1014001</v>
      </c>
      <c r="H1175">
        <f t="shared" si="54"/>
        <v>24</v>
      </c>
      <c r="I1175">
        <f t="shared" si="55"/>
        <v>0.5</v>
      </c>
      <c r="J1175">
        <f t="shared" si="56"/>
        <v>12</v>
      </c>
    </row>
    <row r="1176" spans="1:10" ht="15" customHeight="1" x14ac:dyDescent="0.2">
      <c r="A1176" s="4">
        <v>3246</v>
      </c>
      <c r="B1176" s="2" t="s">
        <v>100</v>
      </c>
      <c r="C1176" s="2" t="s">
        <v>297</v>
      </c>
      <c r="D1176" s="2" t="s">
        <v>225</v>
      </c>
      <c r="E1176" s="2">
        <v>12345</v>
      </c>
      <c r="F1176" s="3">
        <v>44740</v>
      </c>
      <c r="G1176" s="4">
        <v>3135001000</v>
      </c>
      <c r="H1176">
        <f t="shared" si="54"/>
        <v>24</v>
      </c>
      <c r="I1176">
        <f t="shared" si="55"/>
        <v>0.5</v>
      </c>
      <c r="J1176">
        <f t="shared" si="56"/>
        <v>12</v>
      </c>
    </row>
    <row r="1177" spans="1:10" ht="15" customHeight="1" x14ac:dyDescent="0.2">
      <c r="A1177" s="4">
        <v>3247</v>
      </c>
      <c r="B1177" s="2" t="s">
        <v>146</v>
      </c>
      <c r="C1177" s="2" t="s">
        <v>132</v>
      </c>
      <c r="D1177" s="2" t="s">
        <v>147</v>
      </c>
      <c r="F1177" s="3">
        <v>42173</v>
      </c>
      <c r="G1177" s="4">
        <v>3076001000</v>
      </c>
      <c r="H1177">
        <f t="shared" si="54"/>
        <v>24</v>
      </c>
      <c r="I1177">
        <f t="shared" si="55"/>
        <v>0.5</v>
      </c>
      <c r="J1177">
        <f t="shared" si="56"/>
        <v>12</v>
      </c>
    </row>
    <row r="1178" spans="1:10" ht="26.1" customHeight="1" x14ac:dyDescent="0.2">
      <c r="A1178" s="4">
        <v>3248</v>
      </c>
      <c r="B1178" s="2" t="s">
        <v>391</v>
      </c>
      <c r="C1178" s="2" t="s">
        <v>392</v>
      </c>
      <c r="D1178" s="2" t="s">
        <v>393</v>
      </c>
      <c r="E1178" s="2" t="s">
        <v>394</v>
      </c>
      <c r="F1178" s="3">
        <v>44385</v>
      </c>
      <c r="G1178" s="4">
        <v>1925001000</v>
      </c>
      <c r="H1178">
        <f t="shared" si="54"/>
        <v>24</v>
      </c>
      <c r="I1178">
        <f t="shared" si="55"/>
        <v>0.5</v>
      </c>
      <c r="J1178">
        <f t="shared" si="56"/>
        <v>12</v>
      </c>
    </row>
    <row r="1179" spans="1:10" ht="26.1" customHeight="1" x14ac:dyDescent="0.2">
      <c r="A1179" s="4">
        <v>3250</v>
      </c>
      <c r="B1179" s="2" t="s">
        <v>150</v>
      </c>
      <c r="C1179" s="2" t="s">
        <v>80</v>
      </c>
      <c r="D1179" s="2" t="s">
        <v>270</v>
      </c>
      <c r="E1179" s="2" t="s">
        <v>395</v>
      </c>
      <c r="F1179" s="3">
        <v>44683</v>
      </c>
      <c r="G1179" s="4">
        <v>66011000</v>
      </c>
      <c r="H1179">
        <f t="shared" si="54"/>
        <v>24</v>
      </c>
      <c r="I1179">
        <f t="shared" si="55"/>
        <v>0.5</v>
      </c>
      <c r="J1179">
        <f t="shared" si="56"/>
        <v>12</v>
      </c>
    </row>
    <row r="1180" spans="1:10" ht="26.1" customHeight="1" x14ac:dyDescent="0.2">
      <c r="A1180" s="4">
        <v>3253</v>
      </c>
      <c r="B1180" s="2" t="s">
        <v>266</v>
      </c>
      <c r="C1180" s="2" t="s">
        <v>226</v>
      </c>
      <c r="D1180" s="2" t="s">
        <v>267</v>
      </c>
      <c r="E1180" s="2" t="s">
        <v>396</v>
      </c>
      <c r="F1180" s="3">
        <v>44769</v>
      </c>
      <c r="G1180" s="4">
        <v>3265001000</v>
      </c>
      <c r="H1180">
        <f t="shared" si="54"/>
        <v>24</v>
      </c>
      <c r="I1180">
        <f t="shared" si="55"/>
        <v>0.5</v>
      </c>
      <c r="J1180">
        <f t="shared" si="56"/>
        <v>12</v>
      </c>
    </row>
    <row r="1181" spans="1:10" ht="26.1" customHeight="1" x14ac:dyDescent="0.2">
      <c r="A1181" s="4">
        <v>3254</v>
      </c>
      <c r="B1181" s="2" t="s">
        <v>351</v>
      </c>
      <c r="C1181" s="2" t="s">
        <v>226</v>
      </c>
      <c r="D1181" s="2" t="s">
        <v>328</v>
      </c>
      <c r="E1181" s="2" t="s">
        <v>397</v>
      </c>
      <c r="F1181" s="3">
        <v>44769</v>
      </c>
      <c r="G1181" s="4">
        <v>3265001000</v>
      </c>
      <c r="H1181">
        <f t="shared" si="54"/>
        <v>24</v>
      </c>
      <c r="I1181">
        <f t="shared" si="55"/>
        <v>0.5</v>
      </c>
      <c r="J1181">
        <f t="shared" si="56"/>
        <v>12</v>
      </c>
    </row>
    <row r="1182" spans="1:10" ht="15" customHeight="1" x14ac:dyDescent="0.2">
      <c r="A1182" s="4">
        <v>3255</v>
      </c>
      <c r="B1182" s="2" t="s">
        <v>100</v>
      </c>
      <c r="C1182" s="2" t="s">
        <v>386</v>
      </c>
      <c r="D1182" s="2" t="s">
        <v>318</v>
      </c>
      <c r="F1182" s="3">
        <v>44769</v>
      </c>
      <c r="G1182" s="4">
        <v>3135005000</v>
      </c>
      <c r="H1182">
        <f t="shared" si="54"/>
        <v>24</v>
      </c>
      <c r="I1182">
        <f t="shared" si="55"/>
        <v>0.5</v>
      </c>
      <c r="J1182">
        <f t="shared" si="56"/>
        <v>12</v>
      </c>
    </row>
    <row r="1183" spans="1:10" ht="15" customHeight="1" x14ac:dyDescent="0.2">
      <c r="A1183" s="4">
        <v>3256</v>
      </c>
      <c r="B1183" s="2" t="s">
        <v>13</v>
      </c>
      <c r="C1183" s="2" t="s">
        <v>8</v>
      </c>
      <c r="D1183" s="2" t="s">
        <v>156</v>
      </c>
      <c r="E1183" s="2">
        <v>11092</v>
      </c>
      <c r="F1183" s="3">
        <v>44774</v>
      </c>
      <c r="G1183" s="4">
        <v>3178003000</v>
      </c>
      <c r="H1183">
        <f t="shared" si="54"/>
        <v>1000</v>
      </c>
      <c r="I1183">
        <f t="shared" si="55"/>
        <v>0.1</v>
      </c>
      <c r="J1183">
        <f t="shared" si="56"/>
        <v>100</v>
      </c>
    </row>
    <row r="1184" spans="1:10" ht="15" customHeight="1" x14ac:dyDescent="0.2">
      <c r="A1184" s="4">
        <v>3257</v>
      </c>
      <c r="B1184" s="2" t="s">
        <v>13</v>
      </c>
      <c r="C1184" s="2" t="s">
        <v>8</v>
      </c>
      <c r="D1184" s="2" t="s">
        <v>156</v>
      </c>
      <c r="E1184" s="2">
        <v>10976</v>
      </c>
      <c r="F1184" s="3">
        <v>44774</v>
      </c>
      <c r="G1184" s="4">
        <v>1614002000</v>
      </c>
      <c r="H1184">
        <f t="shared" si="54"/>
        <v>1000</v>
      </c>
      <c r="I1184">
        <f t="shared" si="55"/>
        <v>0.1</v>
      </c>
      <c r="J1184">
        <f t="shared" si="56"/>
        <v>100</v>
      </c>
    </row>
    <row r="1185" spans="1:10" ht="15" customHeight="1" x14ac:dyDescent="0.2">
      <c r="A1185" s="4">
        <v>3258</v>
      </c>
      <c r="B1185" s="2" t="s">
        <v>13</v>
      </c>
      <c r="C1185" s="2" t="s">
        <v>8</v>
      </c>
      <c r="D1185" s="2" t="s">
        <v>156</v>
      </c>
      <c r="E1185" s="2">
        <v>11091</v>
      </c>
      <c r="F1185" s="3">
        <v>44774</v>
      </c>
      <c r="G1185" s="4">
        <v>3265001000</v>
      </c>
      <c r="H1185">
        <f t="shared" si="54"/>
        <v>1000</v>
      </c>
      <c r="I1185">
        <f t="shared" si="55"/>
        <v>0.66666666666666663</v>
      </c>
      <c r="J1185">
        <f t="shared" si="56"/>
        <v>666.66666666666663</v>
      </c>
    </row>
    <row r="1186" spans="1:10" ht="15" customHeight="1" x14ac:dyDescent="0.2">
      <c r="A1186" s="4">
        <v>3259</v>
      </c>
      <c r="B1186" s="2" t="s">
        <v>13</v>
      </c>
      <c r="C1186" s="2" t="s">
        <v>8</v>
      </c>
      <c r="D1186" s="2" t="s">
        <v>156</v>
      </c>
      <c r="E1186" s="2">
        <v>11093</v>
      </c>
      <c r="F1186" s="3">
        <v>44774</v>
      </c>
      <c r="G1186" s="4">
        <v>3265001000</v>
      </c>
      <c r="H1186">
        <f t="shared" si="54"/>
        <v>1000</v>
      </c>
      <c r="I1186">
        <f t="shared" si="55"/>
        <v>0.5</v>
      </c>
      <c r="J1186">
        <f t="shared" si="56"/>
        <v>500</v>
      </c>
    </row>
    <row r="1187" spans="1:10" ht="26.1" customHeight="1" x14ac:dyDescent="0.2">
      <c r="A1187" s="4">
        <v>3260</v>
      </c>
      <c r="B1187" s="2" t="s">
        <v>266</v>
      </c>
      <c r="C1187" s="2" t="s">
        <v>226</v>
      </c>
      <c r="D1187" s="2" t="s">
        <v>267</v>
      </c>
      <c r="E1187" s="2" t="s">
        <v>398</v>
      </c>
      <c r="F1187" s="3">
        <v>44774</v>
      </c>
      <c r="G1187" s="4">
        <v>3265001000</v>
      </c>
      <c r="H1187">
        <f t="shared" si="54"/>
        <v>1000</v>
      </c>
      <c r="I1187">
        <f t="shared" si="55"/>
        <v>0.5</v>
      </c>
      <c r="J1187">
        <f t="shared" si="56"/>
        <v>500</v>
      </c>
    </row>
    <row r="1188" spans="1:10" ht="26.1" customHeight="1" x14ac:dyDescent="0.2">
      <c r="A1188" s="4">
        <v>3261</v>
      </c>
      <c r="B1188" s="2" t="s">
        <v>266</v>
      </c>
      <c r="C1188" s="2" t="s">
        <v>226</v>
      </c>
      <c r="D1188" s="2" t="s">
        <v>267</v>
      </c>
      <c r="E1188" s="2" t="s">
        <v>399</v>
      </c>
      <c r="F1188" s="3">
        <v>44774</v>
      </c>
      <c r="G1188" s="4">
        <v>3265001000</v>
      </c>
      <c r="H1188">
        <f t="shared" si="54"/>
        <v>1000</v>
      </c>
      <c r="I1188">
        <f t="shared" si="55"/>
        <v>0.5</v>
      </c>
      <c r="J1188">
        <f t="shared" si="56"/>
        <v>500</v>
      </c>
    </row>
    <row r="1189" spans="1:10" ht="26.1" customHeight="1" x14ac:dyDescent="0.2">
      <c r="A1189" s="4">
        <v>3262</v>
      </c>
      <c r="B1189" s="2" t="s">
        <v>24</v>
      </c>
      <c r="C1189" s="2" t="s">
        <v>226</v>
      </c>
      <c r="D1189" s="2" t="s">
        <v>10</v>
      </c>
      <c r="E1189" s="2" t="s">
        <v>400</v>
      </c>
      <c r="F1189" s="3">
        <v>44774</v>
      </c>
      <c r="G1189" s="4">
        <v>193012000</v>
      </c>
      <c r="H1189">
        <f t="shared" si="54"/>
        <v>3950.5</v>
      </c>
      <c r="I1189">
        <f t="shared" si="55"/>
        <v>3</v>
      </c>
      <c r="J1189">
        <f t="shared" si="56"/>
        <v>11851.5</v>
      </c>
    </row>
    <row r="1190" spans="1:10" ht="26.1" customHeight="1" x14ac:dyDescent="0.2">
      <c r="A1190" s="4">
        <v>3263</v>
      </c>
      <c r="B1190" s="2" t="s">
        <v>24</v>
      </c>
      <c r="C1190" s="2" t="s">
        <v>226</v>
      </c>
      <c r="E1190" s="2" t="s">
        <v>401</v>
      </c>
      <c r="F1190" s="3">
        <v>44774</v>
      </c>
      <c r="G1190" s="4">
        <v>3265001000</v>
      </c>
      <c r="H1190">
        <f t="shared" si="54"/>
        <v>3950.5</v>
      </c>
      <c r="I1190">
        <f t="shared" si="55"/>
        <v>2</v>
      </c>
      <c r="J1190">
        <f t="shared" si="56"/>
        <v>7901</v>
      </c>
    </row>
    <row r="1191" spans="1:10" ht="39.200000000000003" customHeight="1" x14ac:dyDescent="0.2">
      <c r="A1191" s="4">
        <v>3264</v>
      </c>
      <c r="B1191" s="2" t="s">
        <v>131</v>
      </c>
      <c r="C1191" s="2" t="s">
        <v>402</v>
      </c>
      <c r="D1191" s="2" t="s">
        <v>403</v>
      </c>
      <c r="E1191" s="2" t="s">
        <v>404</v>
      </c>
      <c r="F1191" s="3">
        <v>44774</v>
      </c>
      <c r="G1191" s="4">
        <v>3260001000</v>
      </c>
      <c r="H1191">
        <f t="shared" si="54"/>
        <v>0</v>
      </c>
      <c r="I1191">
        <f t="shared" si="55"/>
        <v>1.4285714285714286</v>
      </c>
      <c r="J1191">
        <f t="shared" si="56"/>
        <v>0</v>
      </c>
    </row>
    <row r="1192" spans="1:10" ht="26.1" customHeight="1" x14ac:dyDescent="0.2">
      <c r="A1192" s="4">
        <v>3265</v>
      </c>
      <c r="B1192" s="2" t="s">
        <v>361</v>
      </c>
      <c r="C1192" s="2" t="s">
        <v>252</v>
      </c>
      <c r="D1192" s="2" t="s">
        <v>225</v>
      </c>
      <c r="E1192" s="2" t="s">
        <v>405</v>
      </c>
      <c r="F1192" s="3">
        <v>44774</v>
      </c>
      <c r="G1192" s="4">
        <v>3260001000</v>
      </c>
      <c r="H1192">
        <f t="shared" si="54"/>
        <v>24</v>
      </c>
      <c r="I1192">
        <f t="shared" si="55"/>
        <v>1.4285714285714286</v>
      </c>
      <c r="J1192">
        <f t="shared" si="56"/>
        <v>34.285714285714285</v>
      </c>
    </row>
    <row r="1193" spans="1:10" ht="39.200000000000003" customHeight="1" x14ac:dyDescent="0.2">
      <c r="A1193" s="4">
        <v>3266</v>
      </c>
      <c r="B1193" s="2" t="s">
        <v>146</v>
      </c>
      <c r="C1193" s="2" t="s">
        <v>402</v>
      </c>
      <c r="D1193" s="2" t="s">
        <v>406</v>
      </c>
      <c r="E1193" s="2" t="s">
        <v>407</v>
      </c>
      <c r="F1193" s="3">
        <v>44774</v>
      </c>
      <c r="G1193" s="4">
        <v>3260001000</v>
      </c>
      <c r="H1193">
        <f t="shared" si="54"/>
        <v>24</v>
      </c>
      <c r="I1193">
        <f t="shared" si="55"/>
        <v>1.4285714285714286</v>
      </c>
      <c r="J1193">
        <f t="shared" si="56"/>
        <v>34.285714285714285</v>
      </c>
    </row>
    <row r="1194" spans="1:10" ht="26.1" customHeight="1" x14ac:dyDescent="0.2">
      <c r="A1194" s="4">
        <v>3267</v>
      </c>
      <c r="B1194" s="2" t="s">
        <v>100</v>
      </c>
      <c r="C1194" s="2" t="s">
        <v>252</v>
      </c>
      <c r="D1194" s="2" t="s">
        <v>225</v>
      </c>
      <c r="E1194" s="2" t="s">
        <v>408</v>
      </c>
      <c r="F1194" s="3">
        <v>44774</v>
      </c>
      <c r="G1194" s="4">
        <v>3260001000</v>
      </c>
      <c r="H1194">
        <f t="shared" si="54"/>
        <v>24</v>
      </c>
      <c r="I1194">
        <f t="shared" si="55"/>
        <v>1.4285714285714286</v>
      </c>
      <c r="J1194">
        <f t="shared" si="56"/>
        <v>34.285714285714285</v>
      </c>
    </row>
    <row r="1195" spans="1:10" ht="26.1" customHeight="1" x14ac:dyDescent="0.2">
      <c r="A1195" s="4">
        <v>3268</v>
      </c>
      <c r="B1195" s="2" t="s">
        <v>7</v>
      </c>
      <c r="C1195" s="2" t="s">
        <v>226</v>
      </c>
      <c r="D1195" s="2" t="s">
        <v>10</v>
      </c>
      <c r="E1195" s="2" t="s">
        <v>409</v>
      </c>
      <c r="F1195" s="3">
        <v>44774</v>
      </c>
      <c r="G1195" s="4">
        <v>3260001000</v>
      </c>
      <c r="H1195">
        <f t="shared" si="54"/>
        <v>1200</v>
      </c>
      <c r="I1195">
        <f t="shared" si="55"/>
        <v>2.8571428571428572</v>
      </c>
      <c r="J1195">
        <f t="shared" si="56"/>
        <v>3428.5714285714284</v>
      </c>
    </row>
    <row r="1196" spans="1:10" ht="26.1" customHeight="1" x14ac:dyDescent="0.2">
      <c r="A1196" s="4">
        <v>3269</v>
      </c>
      <c r="B1196" s="2" t="s">
        <v>7</v>
      </c>
      <c r="C1196" s="2" t="s">
        <v>226</v>
      </c>
      <c r="E1196" s="2" t="s">
        <v>410</v>
      </c>
      <c r="F1196" s="3">
        <v>44774</v>
      </c>
      <c r="G1196" s="4">
        <v>3260001000</v>
      </c>
      <c r="H1196">
        <f t="shared" si="54"/>
        <v>1200</v>
      </c>
      <c r="I1196">
        <f t="shared" si="55"/>
        <v>2.8571428571428572</v>
      </c>
      <c r="J1196">
        <f t="shared" si="56"/>
        <v>3428.5714285714284</v>
      </c>
    </row>
    <row r="1197" spans="1:10" ht="26.1" customHeight="1" x14ac:dyDescent="0.2">
      <c r="A1197" s="4">
        <v>3270</v>
      </c>
      <c r="B1197" s="2" t="s">
        <v>24</v>
      </c>
      <c r="C1197" s="2" t="s">
        <v>226</v>
      </c>
      <c r="E1197" s="2" t="s">
        <v>411</v>
      </c>
      <c r="F1197" s="3">
        <v>44774</v>
      </c>
      <c r="G1197" s="4">
        <v>3260001000</v>
      </c>
      <c r="H1197">
        <f t="shared" si="54"/>
        <v>3950.5</v>
      </c>
      <c r="I1197">
        <f t="shared" si="55"/>
        <v>1</v>
      </c>
      <c r="J1197">
        <f t="shared" si="56"/>
        <v>3950.5</v>
      </c>
    </row>
    <row r="1198" spans="1:10" ht="26.1" customHeight="1" x14ac:dyDescent="0.2">
      <c r="A1198" s="4">
        <v>3271</v>
      </c>
      <c r="B1198" s="2" t="s">
        <v>24</v>
      </c>
      <c r="C1198" s="2" t="s">
        <v>226</v>
      </c>
      <c r="E1198" s="2" t="s">
        <v>411</v>
      </c>
      <c r="F1198" s="3">
        <v>44774</v>
      </c>
      <c r="G1198" s="4">
        <v>3260001000</v>
      </c>
      <c r="H1198">
        <f t="shared" si="54"/>
        <v>3950.5</v>
      </c>
      <c r="I1198">
        <f t="shared" si="55"/>
        <v>1</v>
      </c>
      <c r="J1198">
        <f t="shared" si="56"/>
        <v>3950.5</v>
      </c>
    </row>
    <row r="1199" spans="1:10" ht="15" customHeight="1" x14ac:dyDescent="0.2">
      <c r="A1199" s="4">
        <v>3272</v>
      </c>
      <c r="B1199" s="2" t="s">
        <v>13</v>
      </c>
      <c r="C1199" s="2" t="s">
        <v>226</v>
      </c>
      <c r="D1199" s="2" t="s">
        <v>282</v>
      </c>
      <c r="F1199" s="3">
        <v>44774</v>
      </c>
      <c r="G1199" s="4">
        <v>1014001</v>
      </c>
      <c r="H1199">
        <f t="shared" si="54"/>
        <v>1000</v>
      </c>
      <c r="I1199">
        <f t="shared" si="55"/>
        <v>1</v>
      </c>
      <c r="J1199">
        <f t="shared" si="56"/>
        <v>1000</v>
      </c>
    </row>
    <row r="1200" spans="1:10" ht="15" customHeight="1" x14ac:dyDescent="0.2">
      <c r="A1200" s="4">
        <v>3273</v>
      </c>
      <c r="B1200" s="2" t="s">
        <v>13</v>
      </c>
      <c r="C1200" s="2" t="s">
        <v>226</v>
      </c>
      <c r="D1200" s="2" t="s">
        <v>282</v>
      </c>
      <c r="E1200" s="2" t="s">
        <v>412</v>
      </c>
      <c r="F1200" s="3">
        <v>44774</v>
      </c>
      <c r="G1200" s="4">
        <v>3260001000</v>
      </c>
      <c r="H1200">
        <f t="shared" si="54"/>
        <v>1000</v>
      </c>
      <c r="I1200">
        <f t="shared" si="55"/>
        <v>1</v>
      </c>
      <c r="J1200">
        <f t="shared" si="56"/>
        <v>1000</v>
      </c>
    </row>
    <row r="1201" spans="1:10" ht="15" customHeight="1" x14ac:dyDescent="0.2">
      <c r="A1201" s="4">
        <v>3274</v>
      </c>
      <c r="B1201" s="2" t="s">
        <v>13</v>
      </c>
      <c r="C1201" s="2" t="s">
        <v>226</v>
      </c>
      <c r="D1201" s="2" t="s">
        <v>282</v>
      </c>
      <c r="E1201" s="2" t="s">
        <v>413</v>
      </c>
      <c r="F1201" s="3">
        <v>44774</v>
      </c>
      <c r="G1201" s="4">
        <v>1014001</v>
      </c>
      <c r="H1201">
        <f t="shared" si="54"/>
        <v>1000</v>
      </c>
      <c r="I1201">
        <f t="shared" si="55"/>
        <v>1</v>
      </c>
      <c r="J1201">
        <f t="shared" si="56"/>
        <v>1000</v>
      </c>
    </row>
    <row r="1202" spans="1:10" ht="15" customHeight="1" x14ac:dyDescent="0.2">
      <c r="A1202" s="4">
        <v>3275</v>
      </c>
      <c r="B1202" s="2" t="s">
        <v>13</v>
      </c>
      <c r="C1202" s="2" t="s">
        <v>226</v>
      </c>
      <c r="D1202" s="2" t="s">
        <v>302</v>
      </c>
      <c r="F1202" s="3">
        <v>44774</v>
      </c>
      <c r="G1202" s="4">
        <v>3260001000</v>
      </c>
      <c r="H1202">
        <f t="shared" si="54"/>
        <v>2000</v>
      </c>
      <c r="I1202">
        <f t="shared" si="55"/>
        <v>1</v>
      </c>
      <c r="J1202">
        <f t="shared" si="56"/>
        <v>2000</v>
      </c>
    </row>
    <row r="1203" spans="1:10" ht="15" customHeight="1" x14ac:dyDescent="0.2">
      <c r="A1203" s="4">
        <v>3276</v>
      </c>
      <c r="B1203" s="2" t="s">
        <v>222</v>
      </c>
      <c r="C1203" s="2" t="s">
        <v>414</v>
      </c>
      <c r="D1203" s="2" t="s">
        <v>415</v>
      </c>
      <c r="E1203" s="2" t="s">
        <v>416</v>
      </c>
      <c r="F1203" s="3">
        <v>44774</v>
      </c>
      <c r="G1203" s="4">
        <v>3260001000</v>
      </c>
      <c r="H1203">
        <f t="shared" si="54"/>
        <v>3600</v>
      </c>
      <c r="I1203">
        <f t="shared" si="55"/>
        <v>2</v>
      </c>
      <c r="J1203">
        <f t="shared" si="56"/>
        <v>7200</v>
      </c>
    </row>
    <row r="1204" spans="1:10" ht="26.1" customHeight="1" x14ac:dyDescent="0.2">
      <c r="A1204" s="4">
        <v>3277</v>
      </c>
      <c r="B1204" s="2" t="s">
        <v>213</v>
      </c>
      <c r="C1204" s="2" t="s">
        <v>297</v>
      </c>
      <c r="D1204" s="2" t="s">
        <v>417</v>
      </c>
      <c r="E1204" s="2">
        <v>107146880</v>
      </c>
      <c r="F1204" s="3">
        <v>44777</v>
      </c>
      <c r="G1204" s="4">
        <v>3256001000</v>
      </c>
      <c r="H1204">
        <f t="shared" si="54"/>
        <v>3700</v>
      </c>
      <c r="I1204">
        <f t="shared" si="55"/>
        <v>2</v>
      </c>
      <c r="J1204">
        <f t="shared" si="56"/>
        <v>7400</v>
      </c>
    </row>
    <row r="1205" spans="1:10" ht="15" customHeight="1" x14ac:dyDescent="0.2">
      <c r="A1205" s="4">
        <v>3278</v>
      </c>
      <c r="B1205" s="2" t="s">
        <v>100</v>
      </c>
      <c r="C1205" s="2" t="s">
        <v>418</v>
      </c>
      <c r="D1205" s="2" t="s">
        <v>225</v>
      </c>
      <c r="F1205" s="3">
        <v>44783</v>
      </c>
      <c r="G1205" s="4">
        <v>1014001</v>
      </c>
      <c r="H1205">
        <f t="shared" si="54"/>
        <v>24</v>
      </c>
      <c r="I1205">
        <f t="shared" si="55"/>
        <v>4</v>
      </c>
      <c r="J1205">
        <f t="shared" si="56"/>
        <v>96</v>
      </c>
    </row>
    <row r="1206" spans="1:10" ht="15" customHeight="1" x14ac:dyDescent="0.2">
      <c r="A1206" s="4">
        <v>3279</v>
      </c>
      <c r="B1206" s="2" t="s">
        <v>13</v>
      </c>
      <c r="C1206" s="2" t="s">
        <v>8</v>
      </c>
      <c r="D1206" s="2" t="s">
        <v>156</v>
      </c>
      <c r="E1206" s="2">
        <v>11042</v>
      </c>
      <c r="F1206" s="3">
        <v>44804</v>
      </c>
      <c r="G1206" s="4">
        <v>3370003000</v>
      </c>
      <c r="H1206">
        <f t="shared" si="54"/>
        <v>1000</v>
      </c>
      <c r="I1206">
        <f t="shared" si="55"/>
        <v>0.66666666666666663</v>
      </c>
      <c r="J1206">
        <f t="shared" si="56"/>
        <v>666.66666666666663</v>
      </c>
    </row>
    <row r="1207" spans="1:10" ht="15" customHeight="1" x14ac:dyDescent="0.2">
      <c r="A1207" s="4">
        <v>3280</v>
      </c>
      <c r="B1207" s="2" t="s">
        <v>13</v>
      </c>
      <c r="C1207" s="2" t="s">
        <v>8</v>
      </c>
      <c r="D1207" s="2" t="s">
        <v>419</v>
      </c>
      <c r="E1207" s="2">
        <v>11056</v>
      </c>
      <c r="F1207" s="3">
        <v>44804</v>
      </c>
      <c r="G1207" s="4">
        <v>3279001000</v>
      </c>
      <c r="H1207">
        <f t="shared" si="54"/>
        <v>1000</v>
      </c>
      <c r="I1207">
        <f t="shared" si="55"/>
        <v>0.66666666666666663</v>
      </c>
      <c r="J1207">
        <f t="shared" si="56"/>
        <v>666.66666666666663</v>
      </c>
    </row>
    <row r="1208" spans="1:10" ht="26.1" customHeight="1" x14ac:dyDescent="0.2">
      <c r="A1208" s="4">
        <v>3282</v>
      </c>
      <c r="B1208" s="2" t="s">
        <v>266</v>
      </c>
      <c r="C1208" s="2" t="s">
        <v>226</v>
      </c>
      <c r="D1208" s="2" t="s">
        <v>267</v>
      </c>
      <c r="E1208" s="2" t="s">
        <v>420</v>
      </c>
      <c r="F1208" s="3">
        <v>44809</v>
      </c>
      <c r="G1208" s="4">
        <v>165001000</v>
      </c>
      <c r="H1208">
        <f t="shared" si="54"/>
        <v>1000</v>
      </c>
      <c r="I1208">
        <f t="shared" si="55"/>
        <v>0.66666666666666663</v>
      </c>
      <c r="J1208">
        <f t="shared" si="56"/>
        <v>666.66666666666663</v>
      </c>
    </row>
    <row r="1209" spans="1:10" ht="39.200000000000003" customHeight="1" x14ac:dyDescent="0.2">
      <c r="A1209" s="4">
        <v>3283</v>
      </c>
      <c r="B1209" s="2" t="s">
        <v>146</v>
      </c>
      <c r="C1209" s="2" t="s">
        <v>402</v>
      </c>
      <c r="D1209" s="2" t="s">
        <v>421</v>
      </c>
      <c r="E1209" s="2" t="s">
        <v>422</v>
      </c>
      <c r="F1209" s="3">
        <v>44834</v>
      </c>
      <c r="G1209" s="4">
        <v>1014001</v>
      </c>
      <c r="H1209">
        <f t="shared" si="54"/>
        <v>1000</v>
      </c>
      <c r="I1209">
        <f t="shared" si="55"/>
        <v>0.66666666666666663</v>
      </c>
      <c r="J1209">
        <f t="shared" si="56"/>
        <v>666.66666666666663</v>
      </c>
    </row>
    <row r="1210" spans="1:10" ht="26.1" customHeight="1" x14ac:dyDescent="0.2">
      <c r="A1210" s="4">
        <v>3284</v>
      </c>
      <c r="B1210" s="2" t="s">
        <v>216</v>
      </c>
      <c r="C1210" s="2" t="s">
        <v>402</v>
      </c>
      <c r="D1210" s="2" t="s">
        <v>423</v>
      </c>
      <c r="E1210" s="2" t="s">
        <v>424</v>
      </c>
      <c r="F1210" s="3">
        <v>44834</v>
      </c>
      <c r="G1210" s="4">
        <v>1014001</v>
      </c>
      <c r="H1210">
        <f t="shared" si="54"/>
        <v>1000</v>
      </c>
      <c r="I1210">
        <f t="shared" si="55"/>
        <v>0.66666666666666663</v>
      </c>
      <c r="J1210">
        <f t="shared" si="56"/>
        <v>666.66666666666663</v>
      </c>
    </row>
    <row r="1211" spans="1:10" ht="26.1" customHeight="1" x14ac:dyDescent="0.2">
      <c r="A1211" s="4">
        <v>3285</v>
      </c>
      <c r="B1211" s="2" t="s">
        <v>361</v>
      </c>
      <c r="C1211" s="2" t="s">
        <v>252</v>
      </c>
      <c r="E1211" s="2" t="s">
        <v>408</v>
      </c>
      <c r="F1211" s="3">
        <v>44834</v>
      </c>
      <c r="G1211" s="4">
        <v>1014001</v>
      </c>
      <c r="H1211">
        <f t="shared" si="54"/>
        <v>24</v>
      </c>
      <c r="I1211">
        <f t="shared" si="55"/>
        <v>2.8571428571428572</v>
      </c>
      <c r="J1211">
        <f t="shared" si="56"/>
        <v>68.571428571428569</v>
      </c>
    </row>
    <row r="1212" spans="1:10" ht="26.1" customHeight="1" x14ac:dyDescent="0.2">
      <c r="A1212" s="4">
        <v>3286</v>
      </c>
      <c r="B1212" s="2" t="s">
        <v>13</v>
      </c>
      <c r="C1212" s="2" t="s">
        <v>226</v>
      </c>
      <c r="D1212" s="2" t="s">
        <v>282</v>
      </c>
      <c r="E1212" s="2" t="s">
        <v>425</v>
      </c>
      <c r="F1212" s="3">
        <v>44834</v>
      </c>
      <c r="G1212" s="4">
        <v>3042088002</v>
      </c>
      <c r="H1212">
        <f t="shared" si="54"/>
        <v>1000</v>
      </c>
      <c r="I1212">
        <f t="shared" si="55"/>
        <v>0.5714285714285714</v>
      </c>
      <c r="J1212">
        <f t="shared" si="56"/>
        <v>571.42857142857144</v>
      </c>
    </row>
    <row r="1213" spans="1:10" ht="26.1" customHeight="1" x14ac:dyDescent="0.2">
      <c r="A1213" s="4">
        <v>3287</v>
      </c>
      <c r="B1213" s="2" t="s">
        <v>222</v>
      </c>
      <c r="C1213" s="2" t="s">
        <v>297</v>
      </c>
      <c r="E1213" s="2" t="s">
        <v>426</v>
      </c>
      <c r="F1213" s="3">
        <v>44834</v>
      </c>
      <c r="G1213" s="4">
        <v>3042088002</v>
      </c>
      <c r="H1213">
        <f t="shared" si="54"/>
        <v>3600</v>
      </c>
      <c r="I1213">
        <f t="shared" si="55"/>
        <v>0.2857142857142857</v>
      </c>
      <c r="J1213">
        <f t="shared" si="56"/>
        <v>1028.5714285714284</v>
      </c>
    </row>
    <row r="1214" spans="1:10" ht="26.1" customHeight="1" x14ac:dyDescent="0.2">
      <c r="A1214" s="4">
        <v>3288</v>
      </c>
      <c r="B1214" s="2" t="s">
        <v>13</v>
      </c>
      <c r="C1214" s="2" t="s">
        <v>427</v>
      </c>
      <c r="D1214" s="2" t="s">
        <v>10</v>
      </c>
      <c r="E1214" s="2">
        <v>-508019</v>
      </c>
      <c r="F1214" s="3">
        <v>44834</v>
      </c>
      <c r="G1214" s="4">
        <v>3042088002</v>
      </c>
      <c r="H1214">
        <f t="shared" si="54"/>
        <v>1013</v>
      </c>
      <c r="I1214">
        <f t="shared" si="55"/>
        <v>0.5714285714285714</v>
      </c>
      <c r="J1214">
        <f t="shared" si="56"/>
        <v>578.85714285714278</v>
      </c>
    </row>
    <row r="1215" spans="1:10" ht="15" customHeight="1" x14ac:dyDescent="0.2">
      <c r="A1215" s="4">
        <v>3289</v>
      </c>
      <c r="B1215" s="2" t="s">
        <v>7</v>
      </c>
      <c r="C1215" s="2" t="s">
        <v>226</v>
      </c>
      <c r="E1215" s="2" t="s">
        <v>428</v>
      </c>
      <c r="F1215" s="3">
        <v>44834</v>
      </c>
      <c r="G1215" s="4">
        <v>3042088002</v>
      </c>
      <c r="H1215">
        <f t="shared" si="54"/>
        <v>1200</v>
      </c>
      <c r="I1215">
        <f t="shared" si="55"/>
        <v>0.5714285714285714</v>
      </c>
      <c r="J1215">
        <f t="shared" si="56"/>
        <v>685.71428571428567</v>
      </c>
    </row>
    <row r="1216" spans="1:10" ht="15" customHeight="1" x14ac:dyDescent="0.2">
      <c r="A1216" s="4">
        <v>3290</v>
      </c>
      <c r="B1216" s="2" t="s">
        <v>7</v>
      </c>
      <c r="C1216" s="2" t="s">
        <v>226</v>
      </c>
      <c r="D1216" s="2" t="s">
        <v>10</v>
      </c>
      <c r="E1216" s="2" t="s">
        <v>429</v>
      </c>
      <c r="F1216" s="3">
        <v>44834</v>
      </c>
      <c r="G1216" s="4">
        <v>3042088002</v>
      </c>
      <c r="H1216">
        <f t="shared" si="54"/>
        <v>1200</v>
      </c>
      <c r="I1216">
        <f t="shared" si="55"/>
        <v>0.5714285714285714</v>
      </c>
      <c r="J1216">
        <f t="shared" si="56"/>
        <v>685.71428571428567</v>
      </c>
    </row>
    <row r="1217" spans="1:10" ht="15" customHeight="1" x14ac:dyDescent="0.2">
      <c r="A1217" s="4">
        <v>3291</v>
      </c>
      <c r="B1217" s="2" t="s">
        <v>79</v>
      </c>
      <c r="C1217" s="2" t="s">
        <v>80</v>
      </c>
      <c r="D1217" s="2" t="s">
        <v>324</v>
      </c>
      <c r="E1217" s="2" t="s">
        <v>430</v>
      </c>
      <c r="F1217" s="3">
        <v>44834</v>
      </c>
      <c r="G1217" s="4">
        <v>2548013000</v>
      </c>
      <c r="H1217">
        <f t="shared" si="54"/>
        <v>1200</v>
      </c>
      <c r="I1217">
        <f t="shared" si="55"/>
        <v>0.5714285714285714</v>
      </c>
      <c r="J1217">
        <f t="shared" si="56"/>
        <v>685.71428571428567</v>
      </c>
    </row>
    <row r="1218" spans="1:10" ht="26.1" customHeight="1" x14ac:dyDescent="0.2">
      <c r="A1218" s="4">
        <v>3292</v>
      </c>
      <c r="B1218" s="2" t="s">
        <v>361</v>
      </c>
      <c r="C1218" s="2" t="s">
        <v>382</v>
      </c>
      <c r="D1218" s="2" t="s">
        <v>431</v>
      </c>
      <c r="E1218" s="2">
        <v>2794814</v>
      </c>
      <c r="F1218" s="3">
        <v>44840</v>
      </c>
      <c r="G1218" s="4">
        <v>3400002000</v>
      </c>
      <c r="H1218">
        <f t="shared" ref="H1218:H1281" si="57">VLOOKUP(A1218,O:P,2)</f>
        <v>24</v>
      </c>
      <c r="I1218">
        <f t="shared" ref="I1218:I1281" si="58">VLOOKUP(A1218,R:S,2)</f>
        <v>0.5714285714285714</v>
      </c>
      <c r="J1218">
        <f t="shared" ref="J1218:J1281" si="59">H1218*I1218</f>
        <v>13.714285714285714</v>
      </c>
    </row>
    <row r="1219" spans="1:10" ht="26.1" customHeight="1" x14ac:dyDescent="0.2">
      <c r="A1219" s="4">
        <v>3293</v>
      </c>
      <c r="B1219" s="2" t="s">
        <v>361</v>
      </c>
      <c r="C1219" s="2" t="s">
        <v>382</v>
      </c>
      <c r="D1219" s="2" t="s">
        <v>431</v>
      </c>
      <c r="E1219" s="2">
        <v>2794715</v>
      </c>
      <c r="F1219" s="3">
        <v>44840</v>
      </c>
      <c r="G1219" s="4">
        <v>1014002</v>
      </c>
      <c r="H1219">
        <f t="shared" si="57"/>
        <v>24</v>
      </c>
      <c r="I1219">
        <f t="shared" si="58"/>
        <v>0.5714285714285714</v>
      </c>
      <c r="J1219">
        <f t="shared" si="59"/>
        <v>13.714285714285714</v>
      </c>
    </row>
    <row r="1220" spans="1:10" ht="26.1" customHeight="1" x14ac:dyDescent="0.2">
      <c r="A1220" s="4">
        <v>3295</v>
      </c>
      <c r="B1220" s="2" t="s">
        <v>361</v>
      </c>
      <c r="C1220" s="2" t="s">
        <v>382</v>
      </c>
      <c r="D1220" s="2" t="s">
        <v>431</v>
      </c>
      <c r="E1220" s="2">
        <v>2794816</v>
      </c>
      <c r="F1220" s="3">
        <v>44840</v>
      </c>
      <c r="G1220" s="4">
        <v>2514001000</v>
      </c>
      <c r="H1220">
        <f t="shared" si="57"/>
        <v>24</v>
      </c>
      <c r="I1220">
        <f t="shared" si="58"/>
        <v>0.5714285714285714</v>
      </c>
      <c r="J1220">
        <f t="shared" si="59"/>
        <v>13.714285714285714</v>
      </c>
    </row>
    <row r="1221" spans="1:10" ht="15" customHeight="1" x14ac:dyDescent="0.2">
      <c r="A1221" s="4">
        <v>3297</v>
      </c>
      <c r="B1221" s="2" t="s">
        <v>79</v>
      </c>
      <c r="C1221" s="2" t="s">
        <v>80</v>
      </c>
      <c r="D1221" s="2" t="s">
        <v>197</v>
      </c>
      <c r="F1221" s="3">
        <v>44852</v>
      </c>
      <c r="G1221" s="4">
        <v>2548013000</v>
      </c>
      <c r="H1221">
        <f t="shared" si="57"/>
        <v>24</v>
      </c>
      <c r="I1221">
        <f t="shared" si="58"/>
        <v>0.5714285714285714</v>
      </c>
      <c r="J1221">
        <f t="shared" si="59"/>
        <v>13.714285714285714</v>
      </c>
    </row>
    <row r="1222" spans="1:10" ht="15" customHeight="1" x14ac:dyDescent="0.2">
      <c r="A1222" s="4">
        <v>3299</v>
      </c>
      <c r="B1222" s="2" t="s">
        <v>13</v>
      </c>
      <c r="C1222" s="2" t="s">
        <v>226</v>
      </c>
      <c r="D1222" s="2" t="s">
        <v>282</v>
      </c>
      <c r="E1222" s="2" t="s">
        <v>432</v>
      </c>
      <c r="F1222" s="3">
        <v>44859</v>
      </c>
      <c r="G1222" s="4">
        <v>3042095001</v>
      </c>
      <c r="H1222">
        <f t="shared" si="57"/>
        <v>1000</v>
      </c>
      <c r="I1222">
        <f t="shared" si="58"/>
        <v>0.14285714285714285</v>
      </c>
      <c r="J1222">
        <f t="shared" si="59"/>
        <v>142.85714285714286</v>
      </c>
    </row>
    <row r="1223" spans="1:10" ht="15" customHeight="1" x14ac:dyDescent="0.2">
      <c r="A1223" s="4">
        <v>3300</v>
      </c>
      <c r="B1223" s="2" t="s">
        <v>13</v>
      </c>
      <c r="C1223" s="2" t="s">
        <v>226</v>
      </c>
      <c r="D1223" s="2" t="s">
        <v>282</v>
      </c>
      <c r="E1223" s="2" t="s">
        <v>433</v>
      </c>
      <c r="F1223" s="3">
        <v>44859</v>
      </c>
      <c r="G1223" s="4">
        <v>1165122000</v>
      </c>
      <c r="H1223">
        <f t="shared" si="57"/>
        <v>1000</v>
      </c>
      <c r="I1223">
        <f t="shared" si="58"/>
        <v>0.42857142857142855</v>
      </c>
      <c r="J1223">
        <f t="shared" si="59"/>
        <v>428.57142857142856</v>
      </c>
    </row>
    <row r="1224" spans="1:10" ht="15" customHeight="1" x14ac:dyDescent="0.2">
      <c r="A1224" s="4">
        <v>3302</v>
      </c>
      <c r="B1224" s="2" t="s">
        <v>13</v>
      </c>
      <c r="C1224" s="2" t="s">
        <v>226</v>
      </c>
      <c r="D1224" s="2" t="s">
        <v>282</v>
      </c>
      <c r="E1224" s="2" t="s">
        <v>434</v>
      </c>
      <c r="F1224" s="3">
        <v>44859</v>
      </c>
      <c r="G1224" s="4">
        <v>1014001</v>
      </c>
      <c r="H1224">
        <f t="shared" si="57"/>
        <v>1000</v>
      </c>
      <c r="I1224">
        <f t="shared" si="58"/>
        <v>6</v>
      </c>
      <c r="J1224">
        <f t="shared" si="59"/>
        <v>6000</v>
      </c>
    </row>
    <row r="1225" spans="1:10" ht="15" customHeight="1" x14ac:dyDescent="0.2">
      <c r="A1225" s="4">
        <v>3303</v>
      </c>
      <c r="B1225" s="2" t="s">
        <v>100</v>
      </c>
      <c r="C1225" s="2" t="s">
        <v>232</v>
      </c>
      <c r="D1225" s="2" t="s">
        <v>225</v>
      </c>
      <c r="F1225" s="3">
        <v>44859</v>
      </c>
      <c r="G1225" s="4">
        <v>1014001</v>
      </c>
      <c r="H1225">
        <f t="shared" si="57"/>
        <v>24</v>
      </c>
      <c r="I1225">
        <f t="shared" si="58"/>
        <v>6</v>
      </c>
      <c r="J1225">
        <f t="shared" si="59"/>
        <v>144</v>
      </c>
    </row>
    <row r="1226" spans="1:10" ht="26.1" customHeight="1" x14ac:dyDescent="0.2">
      <c r="A1226" s="4">
        <v>3304</v>
      </c>
      <c r="B1226" s="2" t="s">
        <v>13</v>
      </c>
      <c r="C1226" s="2" t="s">
        <v>427</v>
      </c>
      <c r="D1226" s="2" t="s">
        <v>435</v>
      </c>
      <c r="E1226" s="2">
        <v>-503271</v>
      </c>
      <c r="F1226" s="3">
        <v>44861</v>
      </c>
      <c r="G1226" s="4">
        <v>3288001000</v>
      </c>
      <c r="H1226">
        <f t="shared" si="57"/>
        <v>1200</v>
      </c>
      <c r="I1226">
        <f t="shared" si="58"/>
        <v>0.5</v>
      </c>
      <c r="J1226">
        <f t="shared" si="59"/>
        <v>600</v>
      </c>
    </row>
    <row r="1227" spans="1:10" ht="26.1" customHeight="1" x14ac:dyDescent="0.2">
      <c r="A1227" s="4">
        <v>3305</v>
      </c>
      <c r="B1227" s="2" t="s">
        <v>13</v>
      </c>
      <c r="C1227" s="2" t="s">
        <v>427</v>
      </c>
      <c r="D1227" s="2" t="s">
        <v>435</v>
      </c>
      <c r="E1227" s="2">
        <v>-508385</v>
      </c>
      <c r="F1227" s="3">
        <v>44861</v>
      </c>
      <c r="G1227" s="4">
        <v>3288001000</v>
      </c>
      <c r="H1227">
        <f t="shared" si="57"/>
        <v>1200</v>
      </c>
      <c r="I1227">
        <f t="shared" si="58"/>
        <v>0.5</v>
      </c>
      <c r="J1227">
        <f t="shared" si="59"/>
        <v>600</v>
      </c>
    </row>
    <row r="1228" spans="1:10" ht="26.1" customHeight="1" x14ac:dyDescent="0.2">
      <c r="A1228" s="4">
        <v>3306</v>
      </c>
      <c r="B1228" s="2" t="s">
        <v>82</v>
      </c>
      <c r="C1228" s="2" t="s">
        <v>80</v>
      </c>
      <c r="D1228" s="2" t="s">
        <v>83</v>
      </c>
      <c r="F1228" s="3">
        <v>44875</v>
      </c>
      <c r="G1228" s="4">
        <v>3300202000</v>
      </c>
      <c r="H1228">
        <f t="shared" si="57"/>
        <v>1200</v>
      </c>
      <c r="I1228">
        <f t="shared" si="58"/>
        <v>0.5</v>
      </c>
      <c r="J1228">
        <f t="shared" si="59"/>
        <v>600</v>
      </c>
    </row>
    <row r="1229" spans="1:10" ht="26.1" customHeight="1" x14ac:dyDescent="0.2">
      <c r="A1229" s="4">
        <v>3307</v>
      </c>
      <c r="B1229" s="2" t="s">
        <v>146</v>
      </c>
      <c r="C1229" s="2" t="s">
        <v>402</v>
      </c>
      <c r="D1229" s="2" t="s">
        <v>406</v>
      </c>
      <c r="E1229" s="2">
        <v>10884313</v>
      </c>
      <c r="F1229" s="3">
        <v>44837</v>
      </c>
      <c r="G1229" s="4">
        <v>1014001</v>
      </c>
      <c r="H1229">
        <f t="shared" si="57"/>
        <v>1200</v>
      </c>
      <c r="I1229">
        <f t="shared" si="58"/>
        <v>0.5</v>
      </c>
      <c r="J1229">
        <f t="shared" si="59"/>
        <v>600</v>
      </c>
    </row>
    <row r="1230" spans="1:10" ht="15" customHeight="1" x14ac:dyDescent="0.2">
      <c r="A1230" s="4">
        <v>3308</v>
      </c>
      <c r="B1230" s="2" t="s">
        <v>100</v>
      </c>
      <c r="C1230" s="2" t="s">
        <v>252</v>
      </c>
      <c r="D1230" s="2" t="s">
        <v>408</v>
      </c>
      <c r="F1230" s="3">
        <v>44837</v>
      </c>
      <c r="G1230" s="4">
        <v>1014001</v>
      </c>
      <c r="H1230">
        <f t="shared" si="57"/>
        <v>24</v>
      </c>
      <c r="I1230">
        <f t="shared" si="58"/>
        <v>0.5</v>
      </c>
      <c r="J1230">
        <f t="shared" si="59"/>
        <v>12</v>
      </c>
    </row>
    <row r="1231" spans="1:10" ht="26.1" customHeight="1" x14ac:dyDescent="0.2">
      <c r="A1231" s="4">
        <v>3309</v>
      </c>
      <c r="B1231" s="2" t="s">
        <v>13</v>
      </c>
      <c r="C1231" s="2" t="s">
        <v>427</v>
      </c>
      <c r="D1231" s="2" t="s">
        <v>435</v>
      </c>
      <c r="E1231" s="2">
        <v>-573398</v>
      </c>
      <c r="F1231" s="3">
        <v>44837</v>
      </c>
      <c r="G1231" s="4">
        <v>3288001000</v>
      </c>
      <c r="H1231">
        <f t="shared" si="57"/>
        <v>1200</v>
      </c>
      <c r="I1231">
        <f t="shared" si="58"/>
        <v>0.5</v>
      </c>
      <c r="J1231">
        <f t="shared" si="59"/>
        <v>600</v>
      </c>
    </row>
    <row r="1232" spans="1:10" ht="15" customHeight="1" x14ac:dyDescent="0.2">
      <c r="A1232" s="4">
        <v>3310</v>
      </c>
      <c r="B1232" s="2" t="s">
        <v>7</v>
      </c>
      <c r="C1232" s="2" t="s">
        <v>427</v>
      </c>
      <c r="F1232" s="3">
        <v>44837</v>
      </c>
      <c r="G1232" s="4">
        <v>3042088001</v>
      </c>
      <c r="H1232">
        <f t="shared" si="57"/>
        <v>1013</v>
      </c>
      <c r="I1232">
        <f t="shared" si="58"/>
        <v>0.2857142857142857</v>
      </c>
      <c r="J1232">
        <f t="shared" si="59"/>
        <v>289.42857142857139</v>
      </c>
    </row>
    <row r="1233" spans="1:10" ht="26.1" customHeight="1" x14ac:dyDescent="0.2">
      <c r="A1233" s="4">
        <v>3312</v>
      </c>
      <c r="B1233" s="2" t="s">
        <v>13</v>
      </c>
      <c r="C1233" s="2" t="s">
        <v>427</v>
      </c>
      <c r="D1233" s="2" t="s">
        <v>435</v>
      </c>
      <c r="E1233" s="2">
        <v>-510576</v>
      </c>
      <c r="F1233" s="3">
        <v>44937</v>
      </c>
      <c r="G1233" s="4">
        <v>1014001</v>
      </c>
      <c r="H1233">
        <f t="shared" si="57"/>
        <v>1200</v>
      </c>
      <c r="I1233">
        <f t="shared" si="58"/>
        <v>0.2857142857142857</v>
      </c>
      <c r="J1233">
        <f t="shared" si="59"/>
        <v>342.85714285714283</v>
      </c>
    </row>
    <row r="1234" spans="1:10" ht="26.1" customHeight="1" x14ac:dyDescent="0.2">
      <c r="A1234" s="4">
        <v>3313</v>
      </c>
      <c r="B1234" s="2" t="s">
        <v>13</v>
      </c>
      <c r="C1234" s="2" t="s">
        <v>427</v>
      </c>
      <c r="D1234" s="2" t="s">
        <v>435</v>
      </c>
      <c r="E1234" s="2">
        <v>-588007</v>
      </c>
      <c r="F1234" s="3">
        <v>44937</v>
      </c>
      <c r="G1234" s="4">
        <v>2789001000</v>
      </c>
      <c r="H1234">
        <f t="shared" si="57"/>
        <v>1200</v>
      </c>
      <c r="I1234">
        <f t="shared" si="58"/>
        <v>0.14285714285714285</v>
      </c>
      <c r="J1234">
        <f t="shared" si="59"/>
        <v>171.42857142857142</v>
      </c>
    </row>
    <row r="1235" spans="1:10" ht="15" customHeight="1" x14ac:dyDescent="0.2">
      <c r="A1235" s="4">
        <v>3314</v>
      </c>
      <c r="B1235" s="2" t="s">
        <v>131</v>
      </c>
      <c r="C1235" s="2" t="s">
        <v>132</v>
      </c>
      <c r="D1235" s="2" t="s">
        <v>133</v>
      </c>
      <c r="E1235" s="2">
        <v>5835</v>
      </c>
      <c r="F1235" s="3">
        <v>44942</v>
      </c>
      <c r="G1235" s="4">
        <v>3042095001</v>
      </c>
      <c r="H1235">
        <f t="shared" si="57"/>
        <v>2037.55</v>
      </c>
      <c r="I1235">
        <f t="shared" si="58"/>
        <v>2</v>
      </c>
      <c r="J1235">
        <f t="shared" si="59"/>
        <v>4075.1</v>
      </c>
    </row>
    <row r="1236" spans="1:10" ht="26.1" customHeight="1" x14ac:dyDescent="0.2">
      <c r="A1236" s="4">
        <v>3315</v>
      </c>
      <c r="B1236" s="2" t="s">
        <v>13</v>
      </c>
      <c r="C1236" s="2" t="s">
        <v>427</v>
      </c>
      <c r="D1236" s="2" t="s">
        <v>435</v>
      </c>
      <c r="E1236" s="2">
        <v>-510941</v>
      </c>
      <c r="F1236" s="3">
        <v>44946</v>
      </c>
      <c r="G1236" s="4">
        <v>3042088001</v>
      </c>
      <c r="H1236">
        <f t="shared" si="57"/>
        <v>1200</v>
      </c>
      <c r="I1236">
        <f t="shared" si="58"/>
        <v>0.2857142857142857</v>
      </c>
      <c r="J1236">
        <f t="shared" si="59"/>
        <v>342.85714285714283</v>
      </c>
    </row>
    <row r="1237" spans="1:10" ht="26.1" customHeight="1" x14ac:dyDescent="0.2">
      <c r="A1237" s="4">
        <v>3317</v>
      </c>
      <c r="B1237" s="2" t="s">
        <v>222</v>
      </c>
      <c r="C1237" s="2" t="s">
        <v>436</v>
      </c>
      <c r="D1237" s="2" t="s">
        <v>437</v>
      </c>
      <c r="E1237" s="2" t="s">
        <v>438</v>
      </c>
      <c r="F1237" s="3">
        <v>44950</v>
      </c>
      <c r="G1237" s="4">
        <v>3042088002</v>
      </c>
      <c r="H1237">
        <f t="shared" si="57"/>
        <v>2456</v>
      </c>
      <c r="I1237">
        <f t="shared" si="58"/>
        <v>0.8571428571428571</v>
      </c>
      <c r="J1237">
        <f t="shared" si="59"/>
        <v>2105.1428571428569</v>
      </c>
    </row>
    <row r="1238" spans="1:10" ht="26.1" customHeight="1" x14ac:dyDescent="0.2">
      <c r="A1238" s="4">
        <v>3318</v>
      </c>
      <c r="B1238" s="2" t="s">
        <v>266</v>
      </c>
      <c r="C1238" s="2" t="s">
        <v>226</v>
      </c>
      <c r="D1238" s="2" t="s">
        <v>267</v>
      </c>
      <c r="E1238" s="2" t="s">
        <v>439</v>
      </c>
      <c r="F1238" s="3">
        <v>44957</v>
      </c>
      <c r="G1238" s="4">
        <v>3042058001</v>
      </c>
      <c r="H1238">
        <f t="shared" si="57"/>
        <v>2456</v>
      </c>
      <c r="I1238">
        <f t="shared" si="58"/>
        <v>0.8571428571428571</v>
      </c>
      <c r="J1238">
        <f t="shared" si="59"/>
        <v>2105.1428571428569</v>
      </c>
    </row>
    <row r="1239" spans="1:10" ht="26.1" customHeight="1" x14ac:dyDescent="0.2">
      <c r="A1239" s="4">
        <v>3319</v>
      </c>
      <c r="B1239" s="2" t="s">
        <v>95</v>
      </c>
      <c r="C1239" s="2" t="s">
        <v>155</v>
      </c>
      <c r="D1239" s="2" t="s">
        <v>43</v>
      </c>
      <c r="E1239" s="2">
        <v>202108423500</v>
      </c>
      <c r="F1239" s="3">
        <v>44964</v>
      </c>
      <c r="G1239" s="4">
        <v>2548020000</v>
      </c>
      <c r="H1239">
        <f t="shared" si="57"/>
        <v>859</v>
      </c>
      <c r="I1239">
        <f t="shared" si="58"/>
        <v>0.8571428571428571</v>
      </c>
      <c r="J1239">
        <f t="shared" si="59"/>
        <v>736.28571428571422</v>
      </c>
    </row>
    <row r="1240" spans="1:10" ht="26.1" customHeight="1" x14ac:dyDescent="0.2">
      <c r="A1240" s="4">
        <v>3320</v>
      </c>
      <c r="B1240" s="2" t="s">
        <v>13</v>
      </c>
      <c r="C1240" s="2" t="s">
        <v>427</v>
      </c>
      <c r="D1240" s="2" t="s">
        <v>435</v>
      </c>
      <c r="E1240" s="2">
        <v>-523359</v>
      </c>
      <c r="F1240" s="3">
        <v>44980</v>
      </c>
      <c r="G1240" s="4">
        <v>3386001000</v>
      </c>
      <c r="H1240">
        <f t="shared" si="57"/>
        <v>1200</v>
      </c>
      <c r="I1240">
        <f t="shared" si="58"/>
        <v>0.53333333333333333</v>
      </c>
      <c r="J1240">
        <f t="shared" si="59"/>
        <v>640</v>
      </c>
    </row>
    <row r="1241" spans="1:10" ht="26.1" customHeight="1" x14ac:dyDescent="0.2">
      <c r="A1241" s="4">
        <v>3321</v>
      </c>
      <c r="B1241" s="2" t="s">
        <v>222</v>
      </c>
      <c r="C1241" s="2" t="s">
        <v>80</v>
      </c>
      <c r="D1241" s="2" t="s">
        <v>440</v>
      </c>
      <c r="E1241" s="2">
        <v>826987525</v>
      </c>
      <c r="F1241" s="3">
        <v>45007</v>
      </c>
      <c r="G1241" s="4">
        <v>157004000</v>
      </c>
      <c r="H1241">
        <f t="shared" si="57"/>
        <v>2900</v>
      </c>
      <c r="I1241">
        <f t="shared" si="58"/>
        <v>0.53333333333333333</v>
      </c>
      <c r="J1241">
        <f t="shared" si="59"/>
        <v>1546.6666666666667</v>
      </c>
    </row>
    <row r="1242" spans="1:10" ht="26.1" customHeight="1" x14ac:dyDescent="0.2">
      <c r="A1242" s="4">
        <v>3322</v>
      </c>
      <c r="B1242" s="2" t="s">
        <v>266</v>
      </c>
      <c r="C1242" s="2" t="s">
        <v>226</v>
      </c>
      <c r="D1242" s="2" t="s">
        <v>267</v>
      </c>
      <c r="E1242" s="2" t="s">
        <v>441</v>
      </c>
      <c r="F1242" s="3">
        <v>45007</v>
      </c>
      <c r="G1242" s="4">
        <v>2315001000</v>
      </c>
      <c r="H1242">
        <f t="shared" si="57"/>
        <v>2900</v>
      </c>
      <c r="I1242">
        <f t="shared" si="58"/>
        <v>0.53333333333333333</v>
      </c>
      <c r="J1242">
        <f t="shared" si="59"/>
        <v>1546.6666666666667</v>
      </c>
    </row>
    <row r="1243" spans="1:10" ht="15" customHeight="1" x14ac:dyDescent="0.2">
      <c r="A1243" s="4">
        <v>3323</v>
      </c>
      <c r="B1243" s="2" t="s">
        <v>146</v>
      </c>
      <c r="C1243" s="2" t="s">
        <v>141</v>
      </c>
      <c r="D1243" s="2" t="s">
        <v>157</v>
      </c>
      <c r="E1243" s="2">
        <v>5887</v>
      </c>
      <c r="F1243" s="3">
        <v>45012</v>
      </c>
      <c r="G1243" s="4">
        <v>3292001000</v>
      </c>
      <c r="H1243">
        <f t="shared" si="57"/>
        <v>2900</v>
      </c>
      <c r="I1243">
        <f t="shared" si="58"/>
        <v>0.53333333333333333</v>
      </c>
      <c r="J1243">
        <f t="shared" si="59"/>
        <v>1546.6666666666667</v>
      </c>
    </row>
    <row r="1244" spans="1:10" ht="26.1" customHeight="1" x14ac:dyDescent="0.2">
      <c r="A1244" s="4">
        <v>3324</v>
      </c>
      <c r="B1244" s="2" t="s">
        <v>361</v>
      </c>
      <c r="C1244" s="2" t="s">
        <v>279</v>
      </c>
      <c r="D1244" s="2" t="s">
        <v>225</v>
      </c>
      <c r="F1244" s="3">
        <v>45012</v>
      </c>
      <c r="G1244" s="4">
        <v>1014001</v>
      </c>
      <c r="H1244">
        <f t="shared" si="57"/>
        <v>2900</v>
      </c>
      <c r="I1244">
        <f t="shared" si="58"/>
        <v>0.53333333333333333</v>
      </c>
      <c r="J1244">
        <f t="shared" si="59"/>
        <v>1546.6666666666667</v>
      </c>
    </row>
    <row r="1245" spans="1:10" ht="39.200000000000003" customHeight="1" x14ac:dyDescent="0.2">
      <c r="A1245" s="4">
        <v>3325</v>
      </c>
      <c r="B1245" s="2" t="s">
        <v>127</v>
      </c>
      <c r="C1245" s="2" t="s">
        <v>386</v>
      </c>
      <c r="D1245" s="2" t="s">
        <v>442</v>
      </c>
      <c r="E1245" s="2">
        <v>2402021043182</v>
      </c>
      <c r="F1245" s="3">
        <v>45013</v>
      </c>
      <c r="G1245" s="4">
        <v>3279001000</v>
      </c>
      <c r="H1245">
        <f t="shared" si="57"/>
        <v>12</v>
      </c>
      <c r="I1245">
        <f t="shared" si="58"/>
        <v>0.53333333333333333</v>
      </c>
      <c r="J1245">
        <f t="shared" si="59"/>
        <v>6.4</v>
      </c>
    </row>
    <row r="1246" spans="1:10" ht="15" customHeight="1" x14ac:dyDescent="0.2">
      <c r="A1246" s="4">
        <v>3326</v>
      </c>
      <c r="B1246" s="2" t="s">
        <v>146</v>
      </c>
      <c r="C1246" s="2" t="s">
        <v>402</v>
      </c>
      <c r="D1246" s="2" t="s">
        <v>443</v>
      </c>
      <c r="E1246" s="2">
        <v>12345</v>
      </c>
      <c r="F1246" s="3">
        <v>45013</v>
      </c>
      <c r="G1246" s="4">
        <v>3279001000</v>
      </c>
      <c r="H1246">
        <f t="shared" si="57"/>
        <v>12</v>
      </c>
      <c r="I1246">
        <f t="shared" si="58"/>
        <v>0.53333333333333333</v>
      </c>
      <c r="J1246">
        <f t="shared" si="59"/>
        <v>6.4</v>
      </c>
    </row>
    <row r="1247" spans="1:10" ht="26.1" customHeight="1" x14ac:dyDescent="0.2">
      <c r="A1247" s="4">
        <v>3327</v>
      </c>
      <c r="B1247" s="2" t="s">
        <v>100</v>
      </c>
      <c r="C1247" s="2" t="s">
        <v>444</v>
      </c>
      <c r="D1247" s="2" t="s">
        <v>225</v>
      </c>
      <c r="E1247" s="2" t="s">
        <v>408</v>
      </c>
      <c r="F1247" s="3">
        <v>44834</v>
      </c>
      <c r="G1247" s="4">
        <v>1014001</v>
      </c>
      <c r="H1247">
        <f t="shared" si="57"/>
        <v>24</v>
      </c>
      <c r="I1247">
        <f t="shared" si="58"/>
        <v>0.53333333333333333</v>
      </c>
      <c r="J1247">
        <f t="shared" si="59"/>
        <v>12.8</v>
      </c>
    </row>
    <row r="1248" spans="1:10" ht="26.1" customHeight="1" x14ac:dyDescent="0.2">
      <c r="A1248" s="4">
        <v>3329</v>
      </c>
      <c r="B1248" s="2" t="s">
        <v>361</v>
      </c>
      <c r="C1248" s="2" t="s">
        <v>382</v>
      </c>
      <c r="D1248" s="2" t="s">
        <v>431</v>
      </c>
      <c r="E1248" s="2">
        <v>2794653</v>
      </c>
      <c r="F1248" s="3">
        <v>45050</v>
      </c>
      <c r="G1248" s="4">
        <v>3042058001</v>
      </c>
      <c r="H1248">
        <f t="shared" si="57"/>
        <v>24</v>
      </c>
      <c r="I1248">
        <f t="shared" si="58"/>
        <v>0.53333333333333333</v>
      </c>
      <c r="J1248">
        <f t="shared" si="59"/>
        <v>12.8</v>
      </c>
    </row>
    <row r="1249" spans="1:10" ht="39.200000000000003" customHeight="1" x14ac:dyDescent="0.2">
      <c r="A1249" s="4">
        <v>3330</v>
      </c>
      <c r="B1249" s="2" t="s">
        <v>123</v>
      </c>
      <c r="C1249" s="2" t="s">
        <v>187</v>
      </c>
      <c r="D1249" s="2" t="s">
        <v>445</v>
      </c>
      <c r="E1249" s="2">
        <v>12869210010721</v>
      </c>
      <c r="F1249" s="3">
        <v>45085</v>
      </c>
      <c r="G1249" s="4">
        <v>66011000</v>
      </c>
      <c r="H1249">
        <f t="shared" si="57"/>
        <v>8000</v>
      </c>
      <c r="I1249">
        <f t="shared" si="58"/>
        <v>0.5714285714285714</v>
      </c>
      <c r="J1249">
        <f t="shared" si="59"/>
        <v>4571.4285714285716</v>
      </c>
    </row>
    <row r="1250" spans="1:10" ht="26.1" customHeight="1" x14ac:dyDescent="0.2">
      <c r="A1250" s="4">
        <v>3340</v>
      </c>
      <c r="B1250" s="2" t="s">
        <v>79</v>
      </c>
      <c r="C1250" s="2" t="s">
        <v>80</v>
      </c>
      <c r="D1250" s="2" t="s">
        <v>197</v>
      </c>
      <c r="E1250" s="2">
        <v>37091194</v>
      </c>
      <c r="F1250" s="3">
        <v>45109</v>
      </c>
      <c r="G1250" s="4">
        <v>3300200000</v>
      </c>
      <c r="H1250">
        <f t="shared" si="57"/>
        <v>8000</v>
      </c>
      <c r="I1250">
        <f t="shared" si="58"/>
        <v>0.5714285714285714</v>
      </c>
      <c r="J1250">
        <f t="shared" si="59"/>
        <v>4571.4285714285716</v>
      </c>
    </row>
    <row r="1251" spans="1:10" ht="26.1" customHeight="1" x14ac:dyDescent="0.2">
      <c r="A1251" s="4">
        <v>3341</v>
      </c>
      <c r="B1251" s="2" t="s">
        <v>82</v>
      </c>
      <c r="C1251" s="2" t="s">
        <v>80</v>
      </c>
      <c r="D1251" s="2" t="s">
        <v>446</v>
      </c>
      <c r="E1251" s="2">
        <v>370002841</v>
      </c>
      <c r="F1251" s="3">
        <v>45109</v>
      </c>
      <c r="G1251" s="4">
        <v>1014002</v>
      </c>
      <c r="H1251">
        <f t="shared" si="57"/>
        <v>8000</v>
      </c>
      <c r="I1251">
        <f t="shared" si="58"/>
        <v>0.5714285714285714</v>
      </c>
      <c r="J1251">
        <f t="shared" si="59"/>
        <v>4571.4285714285716</v>
      </c>
    </row>
    <row r="1252" spans="1:10" ht="26.1" customHeight="1" x14ac:dyDescent="0.2">
      <c r="A1252" s="4">
        <v>3342</v>
      </c>
      <c r="B1252" s="2" t="s">
        <v>82</v>
      </c>
      <c r="C1252" s="2" t="s">
        <v>80</v>
      </c>
      <c r="D1252" s="2" t="s">
        <v>446</v>
      </c>
      <c r="E1252" s="2">
        <v>370002856</v>
      </c>
      <c r="F1252" s="3">
        <v>45109</v>
      </c>
      <c r="G1252" s="4">
        <v>1014001</v>
      </c>
      <c r="H1252">
        <f t="shared" si="57"/>
        <v>8000</v>
      </c>
      <c r="I1252">
        <f t="shared" si="58"/>
        <v>0.5714285714285714</v>
      </c>
      <c r="J1252">
        <f t="shared" si="59"/>
        <v>4571.4285714285716</v>
      </c>
    </row>
    <row r="1253" spans="1:10" ht="26.1" customHeight="1" x14ac:dyDescent="0.2">
      <c r="A1253" s="4">
        <v>3343</v>
      </c>
      <c r="B1253" s="2" t="s">
        <v>13</v>
      </c>
      <c r="C1253" s="2" t="s">
        <v>427</v>
      </c>
      <c r="D1253" s="2" t="s">
        <v>435</v>
      </c>
      <c r="E1253" s="2">
        <v>-513862</v>
      </c>
      <c r="F1253" s="3">
        <v>45109</v>
      </c>
      <c r="G1253" s="4">
        <v>1068022000</v>
      </c>
      <c r="H1253">
        <f t="shared" si="57"/>
        <v>1200</v>
      </c>
      <c r="I1253">
        <f t="shared" si="58"/>
        <v>1</v>
      </c>
      <c r="J1253">
        <f t="shared" si="59"/>
        <v>1200</v>
      </c>
    </row>
    <row r="1254" spans="1:10" ht="39.200000000000003" customHeight="1" x14ac:dyDescent="0.2">
      <c r="A1254" s="4">
        <v>3344</v>
      </c>
      <c r="B1254" s="2" t="s">
        <v>13</v>
      </c>
      <c r="C1254" s="2" t="s">
        <v>187</v>
      </c>
      <c r="D1254" s="2" t="s">
        <v>218</v>
      </c>
      <c r="E1254" s="2">
        <v>14285330016846</v>
      </c>
      <c r="F1254" s="3">
        <v>45109</v>
      </c>
      <c r="G1254" s="4">
        <v>1014001</v>
      </c>
      <c r="H1254">
        <f t="shared" si="57"/>
        <v>1500</v>
      </c>
      <c r="I1254">
        <f t="shared" si="58"/>
        <v>0.14285714285714285</v>
      </c>
      <c r="J1254">
        <f t="shared" si="59"/>
        <v>214.28571428571428</v>
      </c>
    </row>
    <row r="1255" spans="1:10" ht="15" customHeight="1" x14ac:dyDescent="0.2">
      <c r="A1255" s="4">
        <v>3345</v>
      </c>
      <c r="B1255" s="2" t="s">
        <v>100</v>
      </c>
      <c r="C1255" s="2" t="s">
        <v>447</v>
      </c>
      <c r="D1255" s="2" t="s">
        <v>448</v>
      </c>
      <c r="E1255" s="2" t="s">
        <v>449</v>
      </c>
      <c r="F1255" s="3">
        <v>45154</v>
      </c>
      <c r="G1255" s="4">
        <v>2936002000</v>
      </c>
      <c r="H1255">
        <f t="shared" si="57"/>
        <v>24</v>
      </c>
      <c r="I1255">
        <f t="shared" si="58"/>
        <v>0.14285714285714285</v>
      </c>
      <c r="J1255">
        <f t="shared" si="59"/>
        <v>3.4285714285714284</v>
      </c>
    </row>
    <row r="1256" spans="1:10" ht="39.200000000000003" customHeight="1" x14ac:dyDescent="0.2">
      <c r="A1256" s="4">
        <v>3347</v>
      </c>
      <c r="B1256" s="2" t="s">
        <v>55</v>
      </c>
      <c r="C1256" s="2" t="s">
        <v>450</v>
      </c>
      <c r="D1256" s="2" t="s">
        <v>451</v>
      </c>
      <c r="E1256" s="2">
        <v>1705305889000</v>
      </c>
      <c r="F1256" s="3">
        <v>45162</v>
      </c>
      <c r="G1256" s="4">
        <v>1014002</v>
      </c>
      <c r="H1256">
        <f t="shared" si="57"/>
        <v>24</v>
      </c>
      <c r="I1256">
        <f t="shared" si="58"/>
        <v>0.14285714285714285</v>
      </c>
      <c r="J1256">
        <f t="shared" si="59"/>
        <v>3.4285714285714284</v>
      </c>
    </row>
    <row r="1257" spans="1:10" ht="26.1" customHeight="1" x14ac:dyDescent="0.2">
      <c r="A1257" s="4">
        <v>3348</v>
      </c>
      <c r="B1257" s="2" t="s">
        <v>150</v>
      </c>
      <c r="C1257" s="2" t="s">
        <v>80</v>
      </c>
      <c r="D1257" s="2" t="s">
        <v>452</v>
      </c>
      <c r="E1257" s="2">
        <v>12345678</v>
      </c>
      <c r="F1257" s="3">
        <v>45163</v>
      </c>
      <c r="G1257" s="4">
        <v>66011000</v>
      </c>
      <c r="H1257">
        <f t="shared" si="57"/>
        <v>24</v>
      </c>
      <c r="I1257">
        <f t="shared" si="58"/>
        <v>0.14285714285714285</v>
      </c>
      <c r="J1257">
        <f t="shared" si="59"/>
        <v>3.4285714285714284</v>
      </c>
    </row>
    <row r="1258" spans="1:10" ht="26.1" customHeight="1" x14ac:dyDescent="0.2">
      <c r="A1258" s="4">
        <v>3349</v>
      </c>
      <c r="B1258" s="2" t="s">
        <v>82</v>
      </c>
      <c r="C1258" s="2" t="s">
        <v>80</v>
      </c>
      <c r="D1258" s="2" t="s">
        <v>453</v>
      </c>
      <c r="E1258" s="2">
        <v>12345678</v>
      </c>
      <c r="F1258" s="3">
        <v>45163</v>
      </c>
      <c r="G1258" s="4">
        <v>3300202000</v>
      </c>
      <c r="H1258">
        <f t="shared" si="57"/>
        <v>24</v>
      </c>
      <c r="I1258">
        <f t="shared" si="58"/>
        <v>0.14285714285714285</v>
      </c>
      <c r="J1258">
        <f t="shared" si="59"/>
        <v>3.4285714285714284</v>
      </c>
    </row>
    <row r="1259" spans="1:10" ht="26.1" customHeight="1" x14ac:dyDescent="0.2">
      <c r="A1259" s="4">
        <v>3350</v>
      </c>
      <c r="B1259" s="2" t="s">
        <v>13</v>
      </c>
      <c r="C1259" s="2" t="s">
        <v>8</v>
      </c>
      <c r="D1259" s="2" t="s">
        <v>435</v>
      </c>
      <c r="E1259" s="2">
        <v>1223822</v>
      </c>
      <c r="F1259" s="3">
        <v>45167</v>
      </c>
      <c r="G1259" s="4">
        <v>1165000000</v>
      </c>
      <c r="H1259">
        <f t="shared" si="57"/>
        <v>996.5</v>
      </c>
      <c r="I1259">
        <f t="shared" si="58"/>
        <v>0.2857142857142857</v>
      </c>
      <c r="J1259">
        <f t="shared" si="59"/>
        <v>284.71428571428572</v>
      </c>
    </row>
    <row r="1260" spans="1:10" ht="15" customHeight="1" x14ac:dyDescent="0.2">
      <c r="A1260" s="4">
        <v>3351</v>
      </c>
      <c r="B1260" s="2" t="s">
        <v>146</v>
      </c>
      <c r="C1260" s="2" t="s">
        <v>132</v>
      </c>
      <c r="D1260" s="2" t="s">
        <v>157</v>
      </c>
      <c r="E1260" s="2">
        <v>6086</v>
      </c>
      <c r="F1260" s="3">
        <v>45195</v>
      </c>
      <c r="G1260" s="4">
        <v>1720001000</v>
      </c>
      <c r="H1260">
        <f t="shared" si="57"/>
        <v>996.5</v>
      </c>
      <c r="I1260">
        <f t="shared" si="58"/>
        <v>0.2857142857142857</v>
      </c>
      <c r="J1260">
        <f t="shared" si="59"/>
        <v>284.71428571428572</v>
      </c>
    </row>
    <row r="1261" spans="1:10" ht="15" customHeight="1" x14ac:dyDescent="0.2">
      <c r="A1261" s="4">
        <v>3352</v>
      </c>
      <c r="B1261" s="2" t="s">
        <v>100</v>
      </c>
      <c r="C1261" s="2" t="s">
        <v>382</v>
      </c>
      <c r="D1261" s="2" t="s">
        <v>225</v>
      </c>
      <c r="E1261" s="2">
        <v>112233</v>
      </c>
      <c r="F1261" s="3">
        <v>45195</v>
      </c>
      <c r="G1261" s="4">
        <v>3265001000</v>
      </c>
      <c r="H1261">
        <f t="shared" si="57"/>
        <v>24</v>
      </c>
      <c r="I1261">
        <f t="shared" si="58"/>
        <v>0.2857142857142857</v>
      </c>
      <c r="J1261">
        <f t="shared" si="59"/>
        <v>6.8571428571428568</v>
      </c>
    </row>
    <row r="1262" spans="1:10" ht="39.200000000000003" customHeight="1" x14ac:dyDescent="0.2">
      <c r="A1262" s="4">
        <v>3353</v>
      </c>
      <c r="B1262" s="2" t="s">
        <v>163</v>
      </c>
      <c r="C1262" s="2" t="s">
        <v>454</v>
      </c>
      <c r="D1262" s="2" t="s">
        <v>115</v>
      </c>
      <c r="E1262" s="2" t="s">
        <v>455</v>
      </c>
      <c r="F1262" s="3">
        <v>45177</v>
      </c>
      <c r="G1262" s="4">
        <v>3300202000</v>
      </c>
      <c r="H1262">
        <f t="shared" si="57"/>
        <v>24</v>
      </c>
      <c r="I1262">
        <f t="shared" si="58"/>
        <v>0.2857142857142857</v>
      </c>
      <c r="J1262">
        <f t="shared" si="59"/>
        <v>6.8571428571428568</v>
      </c>
    </row>
    <row r="1263" spans="1:10" ht="26.1" customHeight="1" x14ac:dyDescent="0.2">
      <c r="A1263" s="4">
        <v>3354</v>
      </c>
      <c r="B1263" s="2" t="s">
        <v>24</v>
      </c>
      <c r="C1263" s="2" t="s">
        <v>226</v>
      </c>
      <c r="D1263" s="2">
        <v>1500</v>
      </c>
      <c r="E1263" s="2">
        <v>2023</v>
      </c>
      <c r="F1263" s="3">
        <v>45209</v>
      </c>
      <c r="G1263" s="4">
        <v>193012000</v>
      </c>
      <c r="H1263">
        <f t="shared" si="57"/>
        <v>1200</v>
      </c>
      <c r="I1263">
        <f t="shared" si="58"/>
        <v>0.2857142857142857</v>
      </c>
      <c r="J1263">
        <f t="shared" si="59"/>
        <v>342.85714285714283</v>
      </c>
    </row>
    <row r="1264" spans="1:10" ht="26.1" customHeight="1" x14ac:dyDescent="0.2">
      <c r="A1264" s="4">
        <v>3355</v>
      </c>
      <c r="B1264" s="2" t="s">
        <v>7</v>
      </c>
      <c r="C1264" s="2" t="s">
        <v>456</v>
      </c>
      <c r="D1264" s="2">
        <v>1000</v>
      </c>
      <c r="E1264" s="2" t="s">
        <v>457</v>
      </c>
      <c r="F1264" s="3">
        <v>45209</v>
      </c>
      <c r="G1264" s="4">
        <v>3265001000</v>
      </c>
      <c r="H1264">
        <f t="shared" si="57"/>
        <v>3950.5</v>
      </c>
      <c r="I1264">
        <f t="shared" si="58"/>
        <v>0.2857142857142857</v>
      </c>
      <c r="J1264">
        <f t="shared" si="59"/>
        <v>1128.7142857142856</v>
      </c>
    </row>
    <row r="1265" spans="1:10" ht="26.1" customHeight="1" x14ac:dyDescent="0.2">
      <c r="A1265" s="4">
        <v>3356</v>
      </c>
      <c r="B1265" s="2" t="s">
        <v>266</v>
      </c>
      <c r="C1265" s="2" t="s">
        <v>132</v>
      </c>
      <c r="D1265" s="2" t="s">
        <v>458</v>
      </c>
      <c r="E1265" s="2">
        <v>6136</v>
      </c>
      <c r="F1265" s="3">
        <v>45210</v>
      </c>
      <c r="G1265" s="4">
        <v>3395001000</v>
      </c>
      <c r="H1265">
        <f t="shared" si="57"/>
        <v>3950.5</v>
      </c>
      <c r="I1265">
        <f t="shared" si="58"/>
        <v>0.2857142857142857</v>
      </c>
      <c r="J1265">
        <f t="shared" si="59"/>
        <v>1128.7142857142856</v>
      </c>
    </row>
    <row r="1266" spans="1:10" ht="26.1" customHeight="1" x14ac:dyDescent="0.2">
      <c r="A1266" s="4">
        <v>3357</v>
      </c>
      <c r="B1266" s="2" t="s">
        <v>100</v>
      </c>
      <c r="C1266" s="2" t="s">
        <v>232</v>
      </c>
      <c r="D1266" s="2" t="s">
        <v>356</v>
      </c>
      <c r="E1266" s="2" t="s">
        <v>459</v>
      </c>
      <c r="F1266" s="3">
        <v>45210</v>
      </c>
      <c r="G1266" s="4">
        <v>165001000</v>
      </c>
      <c r="H1266">
        <f t="shared" si="57"/>
        <v>24</v>
      </c>
      <c r="I1266">
        <f t="shared" si="58"/>
        <v>0.2857142857142857</v>
      </c>
      <c r="J1266">
        <f t="shared" si="59"/>
        <v>6.8571428571428568</v>
      </c>
    </row>
    <row r="1267" spans="1:10" ht="26.1" customHeight="1" x14ac:dyDescent="0.2">
      <c r="A1267" s="4">
        <v>3358</v>
      </c>
      <c r="B1267" s="2" t="s">
        <v>266</v>
      </c>
      <c r="C1267" s="2" t="s">
        <v>132</v>
      </c>
      <c r="D1267" s="2" t="s">
        <v>458</v>
      </c>
      <c r="E1267" s="2">
        <v>6137</v>
      </c>
      <c r="F1267" s="3">
        <v>45210</v>
      </c>
      <c r="G1267" s="4">
        <v>165001000</v>
      </c>
      <c r="H1267">
        <f t="shared" si="57"/>
        <v>24</v>
      </c>
      <c r="I1267">
        <f t="shared" si="58"/>
        <v>0.2857142857142857</v>
      </c>
      <c r="J1267">
        <f t="shared" si="59"/>
        <v>6.8571428571428568</v>
      </c>
    </row>
    <row r="1268" spans="1:10" ht="26.1" customHeight="1" x14ac:dyDescent="0.2">
      <c r="A1268" s="4">
        <v>3359</v>
      </c>
      <c r="B1268" s="2" t="s">
        <v>100</v>
      </c>
      <c r="C1268" s="2" t="s">
        <v>232</v>
      </c>
      <c r="D1268" s="2" t="s">
        <v>356</v>
      </c>
      <c r="E1268" s="2" t="s">
        <v>460</v>
      </c>
      <c r="F1268" s="3">
        <v>45210</v>
      </c>
      <c r="G1268" s="4">
        <v>1014001</v>
      </c>
      <c r="H1268">
        <f t="shared" si="57"/>
        <v>24</v>
      </c>
      <c r="I1268">
        <f t="shared" si="58"/>
        <v>0.2857142857142857</v>
      </c>
      <c r="J1268">
        <f t="shared" si="59"/>
        <v>6.8571428571428568</v>
      </c>
    </row>
    <row r="1269" spans="1:10" ht="26.1" customHeight="1" x14ac:dyDescent="0.2">
      <c r="A1269" s="4">
        <v>3360</v>
      </c>
      <c r="B1269" s="2" t="s">
        <v>65</v>
      </c>
      <c r="C1269" s="2" t="s">
        <v>190</v>
      </c>
      <c r="D1269" s="2">
        <v>500</v>
      </c>
      <c r="E1269" s="2" t="s">
        <v>461</v>
      </c>
      <c r="F1269" s="3">
        <v>45216</v>
      </c>
      <c r="G1269" s="4">
        <v>1925001000</v>
      </c>
      <c r="H1269">
        <f t="shared" si="57"/>
        <v>24</v>
      </c>
      <c r="I1269">
        <f t="shared" si="58"/>
        <v>0.2857142857142857</v>
      </c>
      <c r="J1269">
        <f t="shared" si="59"/>
        <v>6.8571428571428568</v>
      </c>
    </row>
    <row r="1270" spans="1:10" ht="15" customHeight="1" x14ac:dyDescent="0.2">
      <c r="A1270" s="4">
        <v>3361</v>
      </c>
      <c r="B1270" s="2" t="s">
        <v>146</v>
      </c>
      <c r="C1270" s="2" t="s">
        <v>141</v>
      </c>
      <c r="D1270" s="2" t="s">
        <v>147</v>
      </c>
      <c r="E1270" s="2">
        <v>6119</v>
      </c>
      <c r="F1270" s="3">
        <v>45219</v>
      </c>
      <c r="G1270" s="4">
        <v>1720001000</v>
      </c>
      <c r="H1270">
        <f t="shared" si="57"/>
        <v>24</v>
      </c>
      <c r="I1270">
        <f t="shared" si="58"/>
        <v>0.2857142857142857</v>
      </c>
      <c r="J1270">
        <f t="shared" si="59"/>
        <v>6.8571428571428568</v>
      </c>
    </row>
    <row r="1271" spans="1:10" ht="26.1" customHeight="1" x14ac:dyDescent="0.2">
      <c r="A1271" s="4">
        <v>3362</v>
      </c>
      <c r="B1271" s="2" t="s">
        <v>100</v>
      </c>
      <c r="C1271" s="2" t="s">
        <v>232</v>
      </c>
      <c r="D1271" s="2" t="s">
        <v>356</v>
      </c>
      <c r="E1271" s="2" t="s">
        <v>462</v>
      </c>
      <c r="F1271" s="3">
        <v>45219</v>
      </c>
      <c r="G1271" s="4">
        <v>1720001000</v>
      </c>
      <c r="H1271">
        <f t="shared" si="57"/>
        <v>24</v>
      </c>
      <c r="I1271">
        <f t="shared" si="58"/>
        <v>0.2857142857142857</v>
      </c>
      <c r="J1271">
        <f t="shared" si="59"/>
        <v>6.8571428571428568</v>
      </c>
    </row>
    <row r="1272" spans="1:10" ht="15" customHeight="1" x14ac:dyDescent="0.2">
      <c r="A1272" s="4">
        <v>3364</v>
      </c>
      <c r="B1272" s="2" t="s">
        <v>13</v>
      </c>
      <c r="C1272" s="2" t="s">
        <v>8</v>
      </c>
      <c r="D1272" s="2" t="s">
        <v>419</v>
      </c>
      <c r="E1272" s="2">
        <v>11888</v>
      </c>
      <c r="F1272" s="3">
        <v>45245</v>
      </c>
      <c r="G1272" s="4">
        <v>1023000</v>
      </c>
      <c r="H1272">
        <f t="shared" si="57"/>
        <v>1000</v>
      </c>
      <c r="I1272">
        <f t="shared" si="58"/>
        <v>7.1428571428571425E-2</v>
      </c>
      <c r="J1272">
        <f t="shared" si="59"/>
        <v>71.428571428571431</v>
      </c>
    </row>
    <row r="1273" spans="1:10" ht="39.200000000000003" customHeight="1" x14ac:dyDescent="0.2">
      <c r="A1273" s="4">
        <v>3365</v>
      </c>
      <c r="B1273" s="2" t="s">
        <v>13</v>
      </c>
      <c r="C1273" s="2" t="s">
        <v>463</v>
      </c>
      <c r="D1273" s="2" t="s">
        <v>464</v>
      </c>
      <c r="E1273" s="2" t="s">
        <v>465</v>
      </c>
      <c r="F1273" s="3">
        <v>45246</v>
      </c>
      <c r="G1273" s="4">
        <v>3288001000</v>
      </c>
      <c r="H1273">
        <f t="shared" si="57"/>
        <v>1198.5</v>
      </c>
      <c r="I1273">
        <f t="shared" si="58"/>
        <v>6.6666666666666666E-2</v>
      </c>
      <c r="J1273">
        <f t="shared" si="59"/>
        <v>79.900000000000006</v>
      </c>
    </row>
    <row r="1274" spans="1:10" ht="26.1" customHeight="1" x14ac:dyDescent="0.2">
      <c r="A1274" s="4">
        <v>3369</v>
      </c>
      <c r="B1274" s="2" t="s">
        <v>7</v>
      </c>
      <c r="C1274" s="2" t="s">
        <v>226</v>
      </c>
      <c r="D1274" s="2" t="s">
        <v>466</v>
      </c>
      <c r="E1274" s="2" t="s">
        <v>467</v>
      </c>
      <c r="F1274" s="3">
        <v>45286</v>
      </c>
      <c r="G1274" s="4">
        <v>1014001</v>
      </c>
      <c r="H1274">
        <f t="shared" si="57"/>
        <v>1300</v>
      </c>
      <c r="I1274">
        <f t="shared" si="58"/>
        <v>6.6666666666666666E-2</v>
      </c>
      <c r="J1274">
        <f t="shared" si="59"/>
        <v>86.666666666666671</v>
      </c>
    </row>
    <row r="1275" spans="1:10" ht="26.1" customHeight="1" x14ac:dyDescent="0.2">
      <c r="A1275" s="4">
        <v>3370</v>
      </c>
      <c r="B1275" s="2" t="s">
        <v>361</v>
      </c>
      <c r="C1275" s="2" t="s">
        <v>138</v>
      </c>
      <c r="D1275" s="2" t="s">
        <v>225</v>
      </c>
      <c r="E1275" s="2">
        <v>2901807</v>
      </c>
      <c r="F1275" s="3">
        <v>45299</v>
      </c>
      <c r="G1275" s="4">
        <v>1014001</v>
      </c>
      <c r="H1275">
        <f t="shared" si="57"/>
        <v>24</v>
      </c>
      <c r="I1275">
        <f t="shared" si="58"/>
        <v>6.6666666666666666E-2</v>
      </c>
      <c r="J1275">
        <f t="shared" si="59"/>
        <v>1.6</v>
      </c>
    </row>
    <row r="1276" spans="1:10" ht="26.1" customHeight="1" x14ac:dyDescent="0.2">
      <c r="A1276" s="4">
        <v>3371</v>
      </c>
      <c r="B1276" s="2" t="s">
        <v>82</v>
      </c>
      <c r="C1276" s="2" t="s">
        <v>80</v>
      </c>
      <c r="D1276" s="2" t="s">
        <v>83</v>
      </c>
      <c r="E1276" s="2">
        <v>371852551</v>
      </c>
      <c r="F1276" s="3">
        <v>45314</v>
      </c>
      <c r="G1276" s="4">
        <v>1000002</v>
      </c>
      <c r="H1276">
        <f t="shared" si="57"/>
        <v>24</v>
      </c>
      <c r="I1276">
        <f t="shared" si="58"/>
        <v>6.6666666666666666E-2</v>
      </c>
      <c r="J1276">
        <f t="shared" si="59"/>
        <v>1.6</v>
      </c>
    </row>
    <row r="1277" spans="1:10" ht="26.1" customHeight="1" x14ac:dyDescent="0.2">
      <c r="A1277" s="4">
        <v>3372</v>
      </c>
      <c r="B1277" s="2" t="s">
        <v>82</v>
      </c>
      <c r="C1277" s="2" t="s">
        <v>80</v>
      </c>
      <c r="D1277" s="2" t="s">
        <v>83</v>
      </c>
      <c r="E1277" s="2">
        <v>371852567</v>
      </c>
      <c r="F1277" s="3">
        <v>45314</v>
      </c>
      <c r="G1277" s="4">
        <v>1000002</v>
      </c>
      <c r="H1277">
        <f t="shared" si="57"/>
        <v>24</v>
      </c>
      <c r="I1277">
        <f t="shared" si="58"/>
        <v>6.6666666666666666E-2</v>
      </c>
      <c r="J1277">
        <f t="shared" si="59"/>
        <v>1.6</v>
      </c>
    </row>
    <row r="1278" spans="1:10" ht="15" customHeight="1" x14ac:dyDescent="0.2">
      <c r="A1278" s="4">
        <v>3374</v>
      </c>
      <c r="B1278" s="2" t="s">
        <v>257</v>
      </c>
      <c r="C1278" s="2" t="s">
        <v>468</v>
      </c>
      <c r="D1278" s="2" t="s">
        <v>115</v>
      </c>
      <c r="E1278" s="2">
        <v>111111</v>
      </c>
      <c r="F1278" s="3">
        <v>45315</v>
      </c>
      <c r="G1278" s="4">
        <v>3119003000</v>
      </c>
      <c r="H1278">
        <f t="shared" si="57"/>
        <v>24</v>
      </c>
      <c r="I1278">
        <f t="shared" si="58"/>
        <v>6.6666666666666666E-2</v>
      </c>
      <c r="J1278">
        <f t="shared" si="59"/>
        <v>1.6</v>
      </c>
    </row>
    <row r="1279" spans="1:10" ht="26.1" customHeight="1" x14ac:dyDescent="0.2">
      <c r="A1279" s="4">
        <v>3376</v>
      </c>
      <c r="B1279" s="2" t="s">
        <v>391</v>
      </c>
      <c r="C1279" s="2" t="s">
        <v>392</v>
      </c>
      <c r="D1279" s="2" t="s">
        <v>469</v>
      </c>
      <c r="E1279" s="2">
        <v>4430917313</v>
      </c>
      <c r="F1279" s="3">
        <v>45019</v>
      </c>
      <c r="G1279" s="4">
        <v>1925011000</v>
      </c>
      <c r="H1279">
        <f t="shared" si="57"/>
        <v>24</v>
      </c>
      <c r="I1279">
        <f t="shared" si="58"/>
        <v>6.6666666666666666E-2</v>
      </c>
      <c r="J1279">
        <f t="shared" si="59"/>
        <v>1.6</v>
      </c>
    </row>
    <row r="1280" spans="1:10" ht="15" customHeight="1" x14ac:dyDescent="0.2">
      <c r="A1280" s="4">
        <v>3377</v>
      </c>
      <c r="B1280" s="2" t="s">
        <v>146</v>
      </c>
      <c r="C1280" s="2" t="s">
        <v>132</v>
      </c>
      <c r="D1280" s="2" t="s">
        <v>157</v>
      </c>
      <c r="E1280" s="2">
        <v>6146</v>
      </c>
      <c r="F1280" s="3">
        <v>45321</v>
      </c>
      <c r="G1280" s="4">
        <v>529001000</v>
      </c>
      <c r="H1280">
        <f t="shared" si="57"/>
        <v>24</v>
      </c>
      <c r="I1280">
        <f t="shared" si="58"/>
        <v>6.6666666666666666E-2</v>
      </c>
      <c r="J1280">
        <f t="shared" si="59"/>
        <v>1.6</v>
      </c>
    </row>
    <row r="1281" spans="1:10" ht="15" customHeight="1" x14ac:dyDescent="0.2">
      <c r="A1281" s="4">
        <v>3378</v>
      </c>
      <c r="B1281" s="2" t="s">
        <v>100</v>
      </c>
      <c r="C1281" s="2" t="s">
        <v>232</v>
      </c>
      <c r="D1281" s="2" t="s">
        <v>225</v>
      </c>
      <c r="E1281" s="2">
        <v>6146</v>
      </c>
      <c r="F1281" s="3">
        <v>45321</v>
      </c>
      <c r="G1281" s="4">
        <v>529001000</v>
      </c>
      <c r="H1281">
        <f t="shared" si="57"/>
        <v>24</v>
      </c>
      <c r="I1281">
        <f t="shared" si="58"/>
        <v>6.6666666666666666E-2</v>
      </c>
      <c r="J1281">
        <f t="shared" si="59"/>
        <v>1.6</v>
      </c>
    </row>
    <row r="1282" spans="1:10" ht="26.1" customHeight="1" x14ac:dyDescent="0.2">
      <c r="A1282" s="4">
        <v>3381</v>
      </c>
      <c r="B1282" s="2" t="s">
        <v>266</v>
      </c>
      <c r="C1282" s="2" t="s">
        <v>132</v>
      </c>
      <c r="D1282" s="2" t="s">
        <v>458</v>
      </c>
      <c r="E1282" s="2">
        <v>6213</v>
      </c>
      <c r="F1282" s="3">
        <v>45321</v>
      </c>
      <c r="G1282" s="4">
        <v>165001000</v>
      </c>
      <c r="H1282">
        <f t="shared" ref="H1282:H1345" si="60">VLOOKUP(A1282,O:P,2)</f>
        <v>24</v>
      </c>
      <c r="I1282">
        <f t="shared" ref="I1282:I1345" si="61">VLOOKUP(A1282,R:S,2)</f>
        <v>6.6666666666666666E-2</v>
      </c>
      <c r="J1282">
        <f t="shared" ref="J1282:J1345" si="62">H1282*I1282</f>
        <v>1.6</v>
      </c>
    </row>
    <row r="1283" spans="1:10" ht="15" customHeight="1" x14ac:dyDescent="0.2">
      <c r="A1283" s="4">
        <v>3382</v>
      </c>
      <c r="B1283" s="2" t="s">
        <v>100</v>
      </c>
      <c r="C1283" s="2" t="s">
        <v>232</v>
      </c>
      <c r="D1283" s="2" t="s">
        <v>225</v>
      </c>
      <c r="E1283" s="2">
        <v>6213</v>
      </c>
      <c r="F1283" s="3">
        <v>45321</v>
      </c>
      <c r="G1283" s="4">
        <v>165001000</v>
      </c>
      <c r="H1283">
        <f t="shared" si="60"/>
        <v>24</v>
      </c>
      <c r="I1283">
        <f t="shared" si="61"/>
        <v>6.6666666666666666E-2</v>
      </c>
      <c r="J1283">
        <f t="shared" si="62"/>
        <v>1.6</v>
      </c>
    </row>
    <row r="1284" spans="1:10" ht="15" customHeight="1" x14ac:dyDescent="0.2">
      <c r="A1284" s="4">
        <v>3383</v>
      </c>
      <c r="B1284" s="2" t="s">
        <v>13</v>
      </c>
      <c r="C1284" s="2" t="s">
        <v>169</v>
      </c>
      <c r="D1284" s="2" t="s">
        <v>156</v>
      </c>
      <c r="E1284" s="2">
        <v>11871</v>
      </c>
      <c r="F1284" s="3">
        <v>45337</v>
      </c>
      <c r="G1284" s="4">
        <v>165001000</v>
      </c>
      <c r="H1284">
        <f t="shared" si="60"/>
        <v>1000</v>
      </c>
      <c r="I1284">
        <f t="shared" si="61"/>
        <v>3.7142857142857144</v>
      </c>
      <c r="J1284">
        <f t="shared" si="62"/>
        <v>3714.2857142857142</v>
      </c>
    </row>
    <row r="1285" spans="1:10" ht="15" customHeight="1" x14ac:dyDescent="0.2">
      <c r="A1285" s="4">
        <v>3384</v>
      </c>
      <c r="B1285" s="2" t="s">
        <v>13</v>
      </c>
      <c r="C1285" s="2" t="s">
        <v>169</v>
      </c>
      <c r="D1285" s="2" t="s">
        <v>156</v>
      </c>
      <c r="E1285" s="2">
        <v>11867</v>
      </c>
      <c r="F1285" s="3">
        <v>45337</v>
      </c>
      <c r="G1285" s="4">
        <v>1014002</v>
      </c>
      <c r="H1285">
        <f t="shared" si="60"/>
        <v>1000</v>
      </c>
      <c r="I1285">
        <f t="shared" si="61"/>
        <v>3.7142857142857144</v>
      </c>
      <c r="J1285">
        <f t="shared" si="62"/>
        <v>3714.2857142857142</v>
      </c>
    </row>
    <row r="1286" spans="1:10" ht="15" customHeight="1" x14ac:dyDescent="0.2">
      <c r="A1286" s="4">
        <v>3385</v>
      </c>
      <c r="B1286" s="2" t="s">
        <v>13</v>
      </c>
      <c r="C1286" s="2" t="s">
        <v>8</v>
      </c>
      <c r="D1286" s="2" t="s">
        <v>419</v>
      </c>
      <c r="E1286" s="2">
        <v>11868</v>
      </c>
      <c r="F1286" s="3">
        <v>45337</v>
      </c>
      <c r="G1286" s="4">
        <v>165001000</v>
      </c>
      <c r="H1286">
        <f t="shared" si="60"/>
        <v>1000</v>
      </c>
      <c r="I1286">
        <f t="shared" si="61"/>
        <v>3.7142857142857144</v>
      </c>
      <c r="J1286">
        <f t="shared" si="62"/>
        <v>3714.2857142857142</v>
      </c>
    </row>
    <row r="1287" spans="1:10" ht="15" customHeight="1" x14ac:dyDescent="0.2">
      <c r="A1287" s="4">
        <v>3386</v>
      </c>
      <c r="B1287" s="2" t="s">
        <v>13</v>
      </c>
      <c r="C1287" s="2" t="s">
        <v>8</v>
      </c>
      <c r="D1287" s="2" t="s">
        <v>419</v>
      </c>
      <c r="E1287" s="2">
        <v>11878</v>
      </c>
      <c r="F1287" s="3">
        <v>45337</v>
      </c>
      <c r="G1287" s="4">
        <v>1068023000</v>
      </c>
      <c r="H1287">
        <f t="shared" si="60"/>
        <v>1000</v>
      </c>
      <c r="I1287">
        <f t="shared" si="61"/>
        <v>0.42857142857142855</v>
      </c>
      <c r="J1287">
        <f t="shared" si="62"/>
        <v>428.57142857142856</v>
      </c>
    </row>
    <row r="1288" spans="1:10" ht="15" customHeight="1" x14ac:dyDescent="0.2">
      <c r="A1288" s="4">
        <v>3387</v>
      </c>
      <c r="B1288" s="2" t="s">
        <v>146</v>
      </c>
      <c r="C1288" s="2" t="s">
        <v>132</v>
      </c>
      <c r="D1288" s="2" t="s">
        <v>470</v>
      </c>
      <c r="E1288" s="2">
        <v>6216</v>
      </c>
      <c r="F1288" s="3">
        <v>45337</v>
      </c>
      <c r="G1288" s="4">
        <v>3042058001</v>
      </c>
      <c r="H1288">
        <f t="shared" si="60"/>
        <v>1000</v>
      </c>
      <c r="I1288">
        <f t="shared" si="61"/>
        <v>0.42857142857142855</v>
      </c>
      <c r="J1288">
        <f t="shared" si="62"/>
        <v>428.57142857142856</v>
      </c>
    </row>
    <row r="1289" spans="1:10" ht="26.1" customHeight="1" x14ac:dyDescent="0.2">
      <c r="A1289" s="4">
        <v>3388</v>
      </c>
      <c r="B1289" s="2" t="s">
        <v>361</v>
      </c>
      <c r="C1289" s="2" t="s">
        <v>279</v>
      </c>
      <c r="D1289" s="2" t="s">
        <v>356</v>
      </c>
      <c r="E1289" s="2">
        <v>6216</v>
      </c>
      <c r="F1289" s="3">
        <v>45337</v>
      </c>
      <c r="G1289" s="4">
        <v>3042058001</v>
      </c>
      <c r="H1289">
        <f t="shared" si="60"/>
        <v>24</v>
      </c>
      <c r="I1289">
        <f t="shared" si="61"/>
        <v>4</v>
      </c>
      <c r="J1289">
        <f t="shared" si="62"/>
        <v>96</v>
      </c>
    </row>
    <row r="1290" spans="1:10" ht="15" customHeight="1" x14ac:dyDescent="0.2">
      <c r="A1290" s="4">
        <v>3389</v>
      </c>
      <c r="B1290" s="2" t="s">
        <v>146</v>
      </c>
      <c r="C1290" s="2" t="s">
        <v>132</v>
      </c>
      <c r="D1290" s="2" t="s">
        <v>470</v>
      </c>
      <c r="E1290" s="2">
        <v>6215</v>
      </c>
      <c r="F1290" s="3">
        <v>45337</v>
      </c>
      <c r="G1290" s="4">
        <v>1978003000</v>
      </c>
      <c r="H1290">
        <f t="shared" si="60"/>
        <v>24</v>
      </c>
      <c r="I1290">
        <f t="shared" si="61"/>
        <v>4</v>
      </c>
      <c r="J1290">
        <f t="shared" si="62"/>
        <v>96</v>
      </c>
    </row>
    <row r="1291" spans="1:10" ht="15" customHeight="1" x14ac:dyDescent="0.2">
      <c r="A1291" s="4">
        <v>3390</v>
      </c>
      <c r="B1291" s="2" t="s">
        <v>100</v>
      </c>
      <c r="C1291" s="2" t="s">
        <v>232</v>
      </c>
      <c r="D1291" s="2" t="s">
        <v>356</v>
      </c>
      <c r="E1291" s="2">
        <v>6215</v>
      </c>
      <c r="F1291" s="3">
        <v>45337</v>
      </c>
      <c r="G1291" s="4">
        <v>1978003000</v>
      </c>
      <c r="H1291">
        <f t="shared" si="60"/>
        <v>24</v>
      </c>
      <c r="I1291">
        <f t="shared" si="61"/>
        <v>4</v>
      </c>
      <c r="J1291">
        <f t="shared" si="62"/>
        <v>96</v>
      </c>
    </row>
    <row r="1292" spans="1:10" ht="15" customHeight="1" x14ac:dyDescent="0.2">
      <c r="A1292" s="4">
        <v>3391</v>
      </c>
      <c r="B1292" s="2" t="s">
        <v>68</v>
      </c>
      <c r="C1292" s="2" t="s">
        <v>471</v>
      </c>
      <c r="D1292" s="2" t="s">
        <v>472</v>
      </c>
      <c r="E1292" s="2">
        <v>1234</v>
      </c>
      <c r="F1292" s="3">
        <v>45350</v>
      </c>
      <c r="G1292" s="4">
        <v>3042135001</v>
      </c>
      <c r="H1292">
        <f t="shared" si="60"/>
        <v>24</v>
      </c>
      <c r="I1292">
        <f t="shared" si="61"/>
        <v>4</v>
      </c>
      <c r="J1292">
        <f t="shared" si="62"/>
        <v>96</v>
      </c>
    </row>
    <row r="1293" spans="1:10" ht="39.200000000000003" customHeight="1" x14ac:dyDescent="0.2">
      <c r="A1293" s="4">
        <v>3392</v>
      </c>
      <c r="B1293" s="2" t="s">
        <v>82</v>
      </c>
      <c r="C1293" s="2" t="s">
        <v>473</v>
      </c>
      <c r="D1293" s="2" t="s">
        <v>474</v>
      </c>
      <c r="E1293" s="2">
        <v>71902105021100</v>
      </c>
      <c r="F1293" s="3">
        <v>45350</v>
      </c>
      <c r="G1293" s="4">
        <v>3182005000</v>
      </c>
      <c r="H1293">
        <f t="shared" si="60"/>
        <v>24</v>
      </c>
      <c r="I1293">
        <f t="shared" si="61"/>
        <v>4</v>
      </c>
      <c r="J1293">
        <f t="shared" si="62"/>
        <v>96</v>
      </c>
    </row>
    <row r="1294" spans="1:10" ht="15" customHeight="1" x14ac:dyDescent="0.2">
      <c r="A1294" s="4">
        <v>3394</v>
      </c>
      <c r="B1294" s="2" t="s">
        <v>13</v>
      </c>
      <c r="C1294" s="2" t="s">
        <v>475</v>
      </c>
      <c r="D1294" s="2" t="s">
        <v>10</v>
      </c>
      <c r="E1294" s="2">
        <v>1111</v>
      </c>
      <c r="F1294" s="3">
        <v>45398</v>
      </c>
      <c r="G1294" s="4">
        <v>1967012000</v>
      </c>
      <c r="H1294">
        <f t="shared" si="60"/>
        <v>883.5</v>
      </c>
      <c r="I1294">
        <f t="shared" si="61"/>
        <v>3.3333333333333333E-2</v>
      </c>
      <c r="J1294">
        <f t="shared" si="62"/>
        <v>29.45</v>
      </c>
    </row>
    <row r="1295" spans="1:10" ht="15" customHeight="1" x14ac:dyDescent="0.2">
      <c r="A1295" s="4">
        <v>3396</v>
      </c>
      <c r="B1295" s="2" t="s">
        <v>13</v>
      </c>
      <c r="C1295" s="2" t="s">
        <v>169</v>
      </c>
      <c r="D1295" s="2" t="s">
        <v>170</v>
      </c>
      <c r="E1295" s="2">
        <v>1111</v>
      </c>
      <c r="F1295" s="3">
        <v>45292</v>
      </c>
      <c r="G1295" s="4">
        <v>2962003000</v>
      </c>
      <c r="H1295">
        <f t="shared" si="60"/>
        <v>1000</v>
      </c>
      <c r="I1295">
        <f t="shared" si="61"/>
        <v>3.3333333333333333E-2</v>
      </c>
      <c r="J1295">
        <f t="shared" si="62"/>
        <v>33.333333333333336</v>
      </c>
    </row>
    <row r="1296" spans="1:10" ht="26.1" customHeight="1" x14ac:dyDescent="0.2">
      <c r="A1296" s="4">
        <v>3397</v>
      </c>
      <c r="B1296" s="2" t="s">
        <v>82</v>
      </c>
      <c r="C1296" s="2" t="s">
        <v>80</v>
      </c>
      <c r="D1296" s="2" t="s">
        <v>83</v>
      </c>
      <c r="F1296" s="3">
        <v>45462</v>
      </c>
      <c r="G1296" s="4">
        <v>1925007000</v>
      </c>
      <c r="H1296">
        <f t="shared" si="60"/>
        <v>1000</v>
      </c>
      <c r="I1296">
        <f t="shared" si="61"/>
        <v>3.3333333333333333E-2</v>
      </c>
      <c r="J1296">
        <f t="shared" si="62"/>
        <v>33.333333333333336</v>
      </c>
    </row>
    <row r="1297" spans="1:10" ht="15" customHeight="1" x14ac:dyDescent="0.2">
      <c r="A1297" s="4">
        <v>3398</v>
      </c>
      <c r="B1297" s="2" t="s">
        <v>348</v>
      </c>
      <c r="C1297" s="2" t="s">
        <v>353</v>
      </c>
      <c r="E1297" s="2">
        <v>1111</v>
      </c>
      <c r="F1297" s="3">
        <v>45401</v>
      </c>
      <c r="G1297" s="4">
        <v>1925001000</v>
      </c>
      <c r="H1297">
        <f t="shared" si="60"/>
        <v>0</v>
      </c>
      <c r="I1297">
        <f t="shared" si="61"/>
        <v>6</v>
      </c>
      <c r="J1297">
        <f t="shared" si="62"/>
        <v>0</v>
      </c>
    </row>
    <row r="1298" spans="1:10" ht="15" customHeight="1" x14ac:dyDescent="0.2">
      <c r="A1298" s="4">
        <v>3399</v>
      </c>
      <c r="B1298" s="2" t="s">
        <v>378</v>
      </c>
      <c r="C1298" s="2" t="s">
        <v>476</v>
      </c>
      <c r="F1298" s="3">
        <v>45462</v>
      </c>
      <c r="G1298" s="4">
        <v>1925007000</v>
      </c>
      <c r="H1298">
        <f t="shared" si="60"/>
        <v>0</v>
      </c>
      <c r="I1298">
        <f t="shared" si="61"/>
        <v>6</v>
      </c>
      <c r="J1298">
        <f t="shared" si="62"/>
        <v>0</v>
      </c>
    </row>
    <row r="1299" spans="1:10" ht="15" customHeight="1" x14ac:dyDescent="0.2">
      <c r="A1299" s="4">
        <v>3400</v>
      </c>
      <c r="B1299" s="2" t="s">
        <v>325</v>
      </c>
      <c r="C1299" s="2" t="s">
        <v>80</v>
      </c>
      <c r="F1299" s="3">
        <v>45462</v>
      </c>
      <c r="G1299" s="4">
        <v>1925007000</v>
      </c>
      <c r="H1299">
        <f t="shared" si="60"/>
        <v>0</v>
      </c>
      <c r="I1299">
        <f t="shared" si="61"/>
        <v>6</v>
      </c>
      <c r="J1299">
        <f t="shared" si="62"/>
        <v>0</v>
      </c>
    </row>
    <row r="1300" spans="1:10" ht="39.200000000000003" customHeight="1" x14ac:dyDescent="0.2">
      <c r="A1300" s="4">
        <v>3401</v>
      </c>
      <c r="B1300" s="2" t="s">
        <v>477</v>
      </c>
      <c r="C1300" s="2" t="s">
        <v>353</v>
      </c>
      <c r="D1300" s="2" t="s">
        <v>478</v>
      </c>
      <c r="E1300" s="2" t="s">
        <v>479</v>
      </c>
      <c r="F1300" s="3">
        <v>45456</v>
      </c>
      <c r="G1300" s="4">
        <v>1925001000</v>
      </c>
      <c r="H1300">
        <f t="shared" si="60"/>
        <v>24</v>
      </c>
      <c r="I1300">
        <f t="shared" si="61"/>
        <v>6</v>
      </c>
      <c r="J1300">
        <f t="shared" si="62"/>
        <v>144</v>
      </c>
    </row>
    <row r="1301" spans="1:10" ht="26.1" customHeight="1" x14ac:dyDescent="0.2">
      <c r="A1301" s="4">
        <v>3402</v>
      </c>
      <c r="B1301" s="2" t="s">
        <v>7</v>
      </c>
      <c r="C1301" s="2" t="s">
        <v>8</v>
      </c>
      <c r="D1301" s="2" t="s">
        <v>9</v>
      </c>
      <c r="E1301" s="2">
        <v>1111111</v>
      </c>
      <c r="F1301" s="3">
        <v>45446</v>
      </c>
      <c r="G1301" s="4">
        <v>3300200000</v>
      </c>
      <c r="H1301">
        <f t="shared" si="60"/>
        <v>309.5</v>
      </c>
      <c r="I1301">
        <f t="shared" si="61"/>
        <v>1.3333333333333333</v>
      </c>
      <c r="J1301">
        <f t="shared" si="62"/>
        <v>412.66666666666663</v>
      </c>
    </row>
    <row r="1302" spans="1:10" ht="26.1" customHeight="1" x14ac:dyDescent="0.2">
      <c r="A1302" s="4">
        <v>3403</v>
      </c>
      <c r="B1302" s="2" t="s">
        <v>150</v>
      </c>
      <c r="C1302" s="2" t="s">
        <v>80</v>
      </c>
      <c r="D1302" s="2" t="s">
        <v>480</v>
      </c>
      <c r="E1302" s="2">
        <v>111111111</v>
      </c>
      <c r="F1302" s="3">
        <v>45462</v>
      </c>
      <c r="G1302" s="4">
        <v>1925007000</v>
      </c>
      <c r="H1302">
        <f t="shared" si="60"/>
        <v>309.5</v>
      </c>
      <c r="I1302">
        <f t="shared" si="61"/>
        <v>1.3333333333333333</v>
      </c>
      <c r="J1302">
        <f t="shared" si="62"/>
        <v>412.66666666666663</v>
      </c>
    </row>
    <row r="1303" spans="1:10" ht="26.1" customHeight="1" x14ac:dyDescent="0.2">
      <c r="A1303" s="4">
        <v>3404</v>
      </c>
      <c r="B1303" s="2" t="s">
        <v>82</v>
      </c>
      <c r="C1303" s="2" t="s">
        <v>80</v>
      </c>
      <c r="D1303" s="2" t="s">
        <v>83</v>
      </c>
      <c r="E1303" s="2">
        <v>1111</v>
      </c>
      <c r="F1303" s="3">
        <v>45419</v>
      </c>
      <c r="G1303" s="4">
        <v>3365001000</v>
      </c>
      <c r="H1303">
        <f t="shared" si="60"/>
        <v>309.5</v>
      </c>
      <c r="I1303">
        <f t="shared" si="61"/>
        <v>1.3333333333333333</v>
      </c>
      <c r="J1303">
        <f t="shared" si="62"/>
        <v>412.66666666666663</v>
      </c>
    </row>
    <row r="1304" spans="1:10" ht="15" customHeight="1" x14ac:dyDescent="0.2">
      <c r="A1304" s="4">
        <v>3405</v>
      </c>
      <c r="B1304" s="2" t="s">
        <v>7</v>
      </c>
      <c r="C1304" s="2" t="s">
        <v>8</v>
      </c>
      <c r="D1304" s="2" t="s">
        <v>9</v>
      </c>
      <c r="E1304" s="2">
        <v>2222</v>
      </c>
      <c r="F1304" s="3">
        <v>45484</v>
      </c>
      <c r="G1304" s="4">
        <v>3042127005</v>
      </c>
      <c r="H1304">
        <f t="shared" si="60"/>
        <v>309.5</v>
      </c>
      <c r="I1304">
        <f t="shared" si="61"/>
        <v>6.6666666666666666E-2</v>
      </c>
      <c r="J1304">
        <f t="shared" si="62"/>
        <v>20.633333333333333</v>
      </c>
    </row>
    <row r="1305" spans="1:10" ht="15" customHeight="1" x14ac:dyDescent="0.2">
      <c r="A1305" s="4">
        <v>3406</v>
      </c>
      <c r="B1305" s="2" t="s">
        <v>13</v>
      </c>
      <c r="C1305" s="2" t="s">
        <v>427</v>
      </c>
      <c r="D1305" s="2" t="s">
        <v>466</v>
      </c>
      <c r="E1305" s="2">
        <v>1111</v>
      </c>
      <c r="F1305" s="3">
        <v>45484</v>
      </c>
      <c r="G1305" s="4">
        <v>1014001</v>
      </c>
      <c r="H1305">
        <f t="shared" si="60"/>
        <v>1125</v>
      </c>
      <c r="I1305">
        <f t="shared" si="61"/>
        <v>6.6666666666666666E-2</v>
      </c>
      <c r="J1305">
        <f t="shared" si="62"/>
        <v>75</v>
      </c>
    </row>
    <row r="1306" spans="1:10" ht="15" customHeight="1" x14ac:dyDescent="0.2">
      <c r="A1306" s="4">
        <v>3407</v>
      </c>
      <c r="B1306" s="2" t="s">
        <v>481</v>
      </c>
      <c r="C1306" s="2" t="s">
        <v>482</v>
      </c>
      <c r="D1306" s="2" t="s">
        <v>483</v>
      </c>
      <c r="E1306" s="2">
        <v>1234</v>
      </c>
      <c r="F1306" s="3">
        <v>45462</v>
      </c>
      <c r="G1306" s="4">
        <v>153002000</v>
      </c>
      <c r="H1306">
        <f t="shared" si="60"/>
        <v>1125</v>
      </c>
      <c r="I1306">
        <f t="shared" si="61"/>
        <v>6.6666666666666666E-2</v>
      </c>
      <c r="J1306">
        <f t="shared" si="62"/>
        <v>75</v>
      </c>
    </row>
    <row r="1307" spans="1:10" ht="15" customHeight="1" x14ac:dyDescent="0.2">
      <c r="A1307" s="4">
        <v>3408</v>
      </c>
      <c r="B1307" s="2" t="s">
        <v>79</v>
      </c>
      <c r="C1307" s="2" t="s">
        <v>80</v>
      </c>
      <c r="D1307" s="2" t="s">
        <v>484</v>
      </c>
      <c r="E1307" s="2">
        <v>111111</v>
      </c>
      <c r="F1307" s="3">
        <v>45334</v>
      </c>
      <c r="G1307" s="4">
        <v>1023000</v>
      </c>
      <c r="H1307">
        <f t="shared" si="60"/>
        <v>1125</v>
      </c>
      <c r="I1307">
        <f t="shared" si="61"/>
        <v>6.6666666666666666E-2</v>
      </c>
      <c r="J1307">
        <f t="shared" si="62"/>
        <v>75</v>
      </c>
    </row>
    <row r="1308" spans="1:10" ht="39.200000000000003" customHeight="1" x14ac:dyDescent="0.2">
      <c r="A1308" s="4">
        <v>3409</v>
      </c>
      <c r="B1308" s="2" t="s">
        <v>100</v>
      </c>
      <c r="C1308" s="2" t="s">
        <v>232</v>
      </c>
      <c r="D1308" s="2" t="s">
        <v>225</v>
      </c>
      <c r="E1308" s="2" t="s">
        <v>485</v>
      </c>
      <c r="F1308" s="3">
        <v>45516</v>
      </c>
      <c r="G1308" s="4">
        <v>3265001000</v>
      </c>
      <c r="H1308">
        <f t="shared" si="60"/>
        <v>24</v>
      </c>
      <c r="I1308">
        <f t="shared" si="61"/>
        <v>6.6666666666666666E-2</v>
      </c>
      <c r="J1308">
        <f t="shared" si="62"/>
        <v>1.6</v>
      </c>
    </row>
    <row r="1309" spans="1:10" ht="39.200000000000003" customHeight="1" x14ac:dyDescent="0.2">
      <c r="A1309" s="4">
        <v>3410</v>
      </c>
      <c r="B1309" s="2" t="s">
        <v>100</v>
      </c>
      <c r="C1309" s="2" t="s">
        <v>232</v>
      </c>
      <c r="D1309" s="2" t="s">
        <v>225</v>
      </c>
      <c r="E1309" s="2" t="s">
        <v>486</v>
      </c>
      <c r="F1309" s="3">
        <v>45516</v>
      </c>
      <c r="G1309" s="4">
        <v>3042058002</v>
      </c>
      <c r="H1309">
        <f t="shared" si="60"/>
        <v>24</v>
      </c>
      <c r="I1309">
        <f t="shared" si="61"/>
        <v>6.6666666666666666E-2</v>
      </c>
      <c r="J1309">
        <f t="shared" si="62"/>
        <v>1.6</v>
      </c>
    </row>
    <row r="1310" spans="1:10" ht="26.1" customHeight="1" x14ac:dyDescent="0.2">
      <c r="A1310" s="4">
        <v>3411</v>
      </c>
      <c r="B1310" s="2" t="s">
        <v>82</v>
      </c>
      <c r="C1310" s="2" t="s">
        <v>80</v>
      </c>
      <c r="D1310" s="2" t="s">
        <v>487</v>
      </c>
      <c r="E1310" s="2">
        <v>372657024</v>
      </c>
      <c r="F1310" s="3">
        <v>45519</v>
      </c>
      <c r="G1310" s="4">
        <v>3318002000</v>
      </c>
      <c r="H1310">
        <f t="shared" si="60"/>
        <v>24</v>
      </c>
      <c r="I1310">
        <f t="shared" si="61"/>
        <v>6.6666666666666666E-2</v>
      </c>
      <c r="J1310">
        <f t="shared" si="62"/>
        <v>1.6</v>
      </c>
    </row>
    <row r="1311" spans="1:10" ht="15" customHeight="1" x14ac:dyDescent="0.2">
      <c r="A1311" s="4">
        <v>3412</v>
      </c>
      <c r="B1311" s="2" t="s">
        <v>100</v>
      </c>
      <c r="C1311" s="2" t="s">
        <v>232</v>
      </c>
      <c r="D1311" s="2" t="s">
        <v>356</v>
      </c>
      <c r="E1311" s="2">
        <v>3412</v>
      </c>
      <c r="F1311" s="3">
        <v>45533</v>
      </c>
      <c r="G1311" s="4">
        <v>1014001</v>
      </c>
      <c r="H1311">
        <f t="shared" si="60"/>
        <v>24</v>
      </c>
      <c r="I1311">
        <f t="shared" si="61"/>
        <v>6.6666666666666666E-2</v>
      </c>
      <c r="J1311">
        <f t="shared" si="62"/>
        <v>1.6</v>
      </c>
    </row>
    <row r="1312" spans="1:10" ht="15" customHeight="1" x14ac:dyDescent="0.2">
      <c r="A1312" s="4">
        <v>3413</v>
      </c>
      <c r="B1312" s="2" t="s">
        <v>100</v>
      </c>
      <c r="C1312" s="2" t="s">
        <v>232</v>
      </c>
      <c r="D1312" s="2" t="s">
        <v>356</v>
      </c>
      <c r="E1312" s="2">
        <v>111111</v>
      </c>
      <c r="F1312" s="3">
        <v>45538</v>
      </c>
      <c r="G1312" s="4">
        <v>1014001</v>
      </c>
      <c r="H1312">
        <f t="shared" si="60"/>
        <v>24</v>
      </c>
      <c r="I1312">
        <f t="shared" si="61"/>
        <v>6.6666666666666666E-2</v>
      </c>
      <c r="J1312">
        <f t="shared" si="62"/>
        <v>1.6</v>
      </c>
    </row>
    <row r="1313" spans="1:10" ht="26.1" customHeight="1" x14ac:dyDescent="0.2">
      <c r="A1313" s="4">
        <v>3414</v>
      </c>
      <c r="B1313" s="2" t="s">
        <v>150</v>
      </c>
      <c r="C1313" s="2" t="s">
        <v>80</v>
      </c>
      <c r="D1313" s="2" t="s">
        <v>488</v>
      </c>
      <c r="E1313" s="2">
        <v>835973115</v>
      </c>
      <c r="F1313" s="3">
        <v>45548</v>
      </c>
      <c r="G1313" s="4">
        <v>153002000</v>
      </c>
      <c r="H1313">
        <f t="shared" si="60"/>
        <v>24</v>
      </c>
      <c r="I1313">
        <f t="shared" si="61"/>
        <v>6.6666666666666666E-2</v>
      </c>
      <c r="J1313">
        <f t="shared" si="62"/>
        <v>1.6</v>
      </c>
    </row>
    <row r="1314" spans="1:10" ht="26.1" customHeight="1" x14ac:dyDescent="0.2">
      <c r="A1314" s="4">
        <v>3415</v>
      </c>
      <c r="B1314" s="2" t="s">
        <v>391</v>
      </c>
      <c r="C1314" s="2" t="s">
        <v>489</v>
      </c>
      <c r="D1314" s="2" t="s">
        <v>490</v>
      </c>
      <c r="E1314" s="2" t="s">
        <v>491</v>
      </c>
      <c r="F1314" s="3">
        <v>45552</v>
      </c>
      <c r="G1314" s="4">
        <v>3365001000</v>
      </c>
      <c r="H1314">
        <f t="shared" si="60"/>
        <v>24</v>
      </c>
      <c r="I1314">
        <f t="shared" si="61"/>
        <v>6.6666666666666666E-2</v>
      </c>
      <c r="J1314">
        <f t="shared" si="62"/>
        <v>1.6</v>
      </c>
    </row>
    <row r="1315" spans="1:10" ht="26.1" customHeight="1" x14ac:dyDescent="0.2">
      <c r="A1315" s="4">
        <v>3416</v>
      </c>
      <c r="B1315" s="2" t="s">
        <v>89</v>
      </c>
      <c r="C1315" s="2" t="s">
        <v>492</v>
      </c>
      <c r="D1315" s="2" t="s">
        <v>493</v>
      </c>
      <c r="E1315" s="2">
        <v>20230600735</v>
      </c>
      <c r="F1315" s="3">
        <v>45565</v>
      </c>
      <c r="G1315" s="4">
        <v>3318001000</v>
      </c>
      <c r="H1315">
        <f t="shared" si="60"/>
        <v>745.7</v>
      </c>
      <c r="I1315">
        <f t="shared" si="61"/>
        <v>0.13333333333333333</v>
      </c>
      <c r="J1315">
        <f t="shared" si="62"/>
        <v>99.426666666666677</v>
      </c>
    </row>
    <row r="1316" spans="1:10" ht="26.1" customHeight="1" x14ac:dyDescent="0.2">
      <c r="A1316" s="4">
        <v>3418</v>
      </c>
      <c r="B1316" s="2" t="s">
        <v>219</v>
      </c>
      <c r="C1316" s="2" t="s">
        <v>463</v>
      </c>
      <c r="D1316" s="2" t="s">
        <v>494</v>
      </c>
      <c r="E1316" s="2" t="s">
        <v>495</v>
      </c>
      <c r="F1316" s="3">
        <v>45586</v>
      </c>
      <c r="G1316" s="4">
        <v>66011000</v>
      </c>
      <c r="H1316">
        <f t="shared" si="60"/>
        <v>0</v>
      </c>
      <c r="I1316">
        <f t="shared" si="61"/>
        <v>0.13333333333333333</v>
      </c>
      <c r="J1316">
        <f t="shared" si="62"/>
        <v>0</v>
      </c>
    </row>
    <row r="1317" spans="1:10" ht="15" customHeight="1" x14ac:dyDescent="0.2">
      <c r="A1317" s="4">
        <v>3419</v>
      </c>
      <c r="B1317" s="2" t="s">
        <v>496</v>
      </c>
      <c r="C1317" s="2" t="s">
        <v>187</v>
      </c>
      <c r="D1317" s="2" t="s">
        <v>497</v>
      </c>
      <c r="E1317" s="2">
        <v>11111</v>
      </c>
      <c r="F1317" s="3">
        <v>45593</v>
      </c>
      <c r="G1317" s="4">
        <v>165001000</v>
      </c>
      <c r="H1317">
        <f t="shared" si="60"/>
        <v>0</v>
      </c>
      <c r="I1317">
        <f t="shared" si="61"/>
        <v>0.13333333333333333</v>
      </c>
      <c r="J1317">
        <f t="shared" si="62"/>
        <v>0</v>
      </c>
    </row>
    <row r="1318" spans="1:10" ht="26.1" customHeight="1" x14ac:dyDescent="0.2">
      <c r="A1318" s="4">
        <v>3420</v>
      </c>
      <c r="B1318" s="2" t="s">
        <v>55</v>
      </c>
      <c r="C1318" s="2" t="s">
        <v>498</v>
      </c>
      <c r="D1318" s="2" t="s">
        <v>499</v>
      </c>
      <c r="E1318" s="2">
        <v>200800218</v>
      </c>
      <c r="F1318" s="3">
        <v>45603</v>
      </c>
      <c r="G1318" s="4">
        <v>3042107001</v>
      </c>
      <c r="H1318">
        <f t="shared" si="60"/>
        <v>0</v>
      </c>
      <c r="I1318">
        <f t="shared" si="61"/>
        <v>0.13333333333333333</v>
      </c>
      <c r="J1318">
        <f t="shared" si="62"/>
        <v>0</v>
      </c>
    </row>
    <row r="1319" spans="1:10" ht="26.1" customHeight="1" x14ac:dyDescent="0.2">
      <c r="A1319" s="4">
        <v>3421</v>
      </c>
      <c r="B1319" s="2" t="s">
        <v>100</v>
      </c>
      <c r="C1319" s="2" t="s">
        <v>232</v>
      </c>
      <c r="D1319" s="2" t="s">
        <v>356</v>
      </c>
      <c r="E1319" s="2">
        <v>111111111</v>
      </c>
      <c r="F1319" s="3">
        <v>45632</v>
      </c>
      <c r="G1319" s="4">
        <v>1014001</v>
      </c>
      <c r="H1319">
        <f t="shared" si="60"/>
        <v>24</v>
      </c>
      <c r="I1319">
        <f t="shared" si="61"/>
        <v>0.13333333333333333</v>
      </c>
      <c r="J1319">
        <f t="shared" si="62"/>
        <v>3.2</v>
      </c>
    </row>
    <row r="1320" spans="1:10" ht="26.1" customHeight="1" x14ac:dyDescent="0.2">
      <c r="A1320" s="4">
        <v>3422</v>
      </c>
      <c r="B1320" s="2" t="s">
        <v>100</v>
      </c>
      <c r="C1320" s="2" t="s">
        <v>232</v>
      </c>
      <c r="D1320" s="2" t="s">
        <v>356</v>
      </c>
      <c r="E1320" s="2">
        <v>11111111</v>
      </c>
      <c r="F1320" s="3">
        <v>45632</v>
      </c>
      <c r="G1320" s="4">
        <v>3042058001</v>
      </c>
      <c r="H1320">
        <f t="shared" si="60"/>
        <v>24</v>
      </c>
      <c r="I1320">
        <f t="shared" si="61"/>
        <v>0.13333333333333333</v>
      </c>
      <c r="J1320">
        <f t="shared" si="62"/>
        <v>3.2</v>
      </c>
    </row>
    <row r="1321" spans="1:10" ht="26.1" customHeight="1" x14ac:dyDescent="0.2">
      <c r="A1321" s="4">
        <v>3423</v>
      </c>
      <c r="B1321" s="2" t="s">
        <v>100</v>
      </c>
      <c r="C1321" s="2" t="s">
        <v>232</v>
      </c>
      <c r="D1321" s="2" t="s">
        <v>356</v>
      </c>
      <c r="E1321" s="2">
        <v>11111111111</v>
      </c>
      <c r="F1321" s="3">
        <v>45632</v>
      </c>
      <c r="G1321" s="4">
        <v>3135001000</v>
      </c>
      <c r="H1321">
        <f t="shared" si="60"/>
        <v>24</v>
      </c>
      <c r="I1321">
        <f t="shared" si="61"/>
        <v>0.13333333333333333</v>
      </c>
      <c r="J1321">
        <f t="shared" si="62"/>
        <v>3.2</v>
      </c>
    </row>
    <row r="1322" spans="1:10" ht="15" customHeight="1" x14ac:dyDescent="0.2">
      <c r="A1322" s="4">
        <v>3424</v>
      </c>
      <c r="B1322" s="2" t="s">
        <v>13</v>
      </c>
      <c r="C1322" s="2" t="s">
        <v>8</v>
      </c>
      <c r="D1322" s="2" t="s">
        <v>500</v>
      </c>
      <c r="E1322" s="2">
        <v>12165</v>
      </c>
      <c r="F1322" s="3">
        <v>45646</v>
      </c>
      <c r="G1322" s="4">
        <v>165001000</v>
      </c>
      <c r="H1322">
        <f t="shared" si="60"/>
        <v>1000</v>
      </c>
      <c r="I1322">
        <f t="shared" si="61"/>
        <v>3.7142857142857144</v>
      </c>
      <c r="J1322">
        <f t="shared" si="62"/>
        <v>3714.2857142857142</v>
      </c>
    </row>
    <row r="1323" spans="1:10" ht="26.1" customHeight="1" x14ac:dyDescent="0.2">
      <c r="A1323" s="4">
        <v>3425</v>
      </c>
      <c r="B1323" s="2" t="s">
        <v>222</v>
      </c>
      <c r="C1323" s="2" t="s">
        <v>297</v>
      </c>
      <c r="D1323" s="2" t="s">
        <v>501</v>
      </c>
      <c r="E1323" s="2">
        <v>28125737</v>
      </c>
      <c r="F1323" s="3">
        <v>45670</v>
      </c>
      <c r="G1323" s="4">
        <v>3042116001</v>
      </c>
      <c r="H1323">
        <f t="shared" si="60"/>
        <v>3600</v>
      </c>
      <c r="I1323">
        <f t="shared" si="61"/>
        <v>1</v>
      </c>
      <c r="J1323">
        <f t="shared" si="62"/>
        <v>3600</v>
      </c>
    </row>
    <row r="1324" spans="1:10" ht="26.1" customHeight="1" x14ac:dyDescent="0.2">
      <c r="A1324" s="4">
        <v>3426</v>
      </c>
      <c r="B1324" s="2" t="s">
        <v>496</v>
      </c>
      <c r="C1324" s="2" t="s">
        <v>226</v>
      </c>
      <c r="D1324" s="2" t="s">
        <v>502</v>
      </c>
      <c r="E1324" s="2" t="s">
        <v>503</v>
      </c>
      <c r="F1324" s="3">
        <v>45695</v>
      </c>
      <c r="G1324" s="4">
        <v>3076003000</v>
      </c>
      <c r="H1324">
        <f t="shared" si="60"/>
        <v>3600</v>
      </c>
      <c r="I1324">
        <f t="shared" si="61"/>
        <v>1</v>
      </c>
      <c r="J1324">
        <f t="shared" si="62"/>
        <v>3600</v>
      </c>
    </row>
    <row r="1325" spans="1:10" ht="39.200000000000003" customHeight="1" x14ac:dyDescent="0.2">
      <c r="A1325" s="4">
        <v>3428</v>
      </c>
      <c r="B1325" s="2" t="s">
        <v>287</v>
      </c>
      <c r="C1325" s="2" t="s">
        <v>353</v>
      </c>
      <c r="D1325" s="2" t="s">
        <v>504</v>
      </c>
      <c r="E1325" s="2" t="s">
        <v>505</v>
      </c>
      <c r="F1325" s="3">
        <v>45702</v>
      </c>
      <c r="G1325" s="4">
        <v>1925007000</v>
      </c>
      <c r="H1325">
        <f t="shared" si="60"/>
        <v>3600</v>
      </c>
      <c r="I1325">
        <f t="shared" si="61"/>
        <v>1</v>
      </c>
      <c r="J1325">
        <f t="shared" si="62"/>
        <v>3600</v>
      </c>
    </row>
    <row r="1326" spans="1:10" ht="15" customHeight="1" x14ac:dyDescent="0.2">
      <c r="A1326" s="4">
        <v>3429</v>
      </c>
      <c r="B1326" s="2" t="s">
        <v>146</v>
      </c>
      <c r="C1326" s="2" t="s">
        <v>132</v>
      </c>
      <c r="D1326" s="2" t="s">
        <v>157</v>
      </c>
      <c r="E1326" s="2">
        <v>6353</v>
      </c>
      <c r="F1326" s="3">
        <v>45705</v>
      </c>
      <c r="G1326" s="4">
        <v>3343001000</v>
      </c>
      <c r="H1326">
        <f t="shared" si="60"/>
        <v>3600</v>
      </c>
      <c r="I1326">
        <f t="shared" si="61"/>
        <v>1</v>
      </c>
      <c r="J1326">
        <f t="shared" si="62"/>
        <v>3600</v>
      </c>
    </row>
    <row r="1327" spans="1:10" ht="26.1" customHeight="1" x14ac:dyDescent="0.2">
      <c r="A1327" s="4">
        <v>3430</v>
      </c>
      <c r="B1327" s="2" t="s">
        <v>361</v>
      </c>
      <c r="C1327" s="2" t="s">
        <v>232</v>
      </c>
      <c r="D1327" s="2" t="s">
        <v>225</v>
      </c>
      <c r="E1327" s="2">
        <v>1111111</v>
      </c>
      <c r="F1327" s="3">
        <v>45705</v>
      </c>
      <c r="G1327" s="4">
        <v>3343001000</v>
      </c>
      <c r="H1327">
        <f t="shared" si="60"/>
        <v>24</v>
      </c>
      <c r="I1327">
        <f t="shared" si="61"/>
        <v>1</v>
      </c>
      <c r="J1327">
        <f t="shared" si="62"/>
        <v>24</v>
      </c>
    </row>
    <row r="1328" spans="1:10" ht="26.1" customHeight="1" x14ac:dyDescent="0.2">
      <c r="A1328" s="4">
        <v>3431</v>
      </c>
      <c r="B1328" s="2" t="s">
        <v>79</v>
      </c>
      <c r="C1328" s="2" t="s">
        <v>506</v>
      </c>
      <c r="D1328" s="2" t="s">
        <v>507</v>
      </c>
      <c r="E1328" s="2">
        <v>15901019830</v>
      </c>
      <c r="F1328" s="3">
        <v>45715</v>
      </c>
      <c r="G1328" s="4">
        <v>1925011000</v>
      </c>
      <c r="H1328">
        <f t="shared" si="60"/>
        <v>24</v>
      </c>
      <c r="I1328">
        <f t="shared" si="61"/>
        <v>1</v>
      </c>
      <c r="J1328">
        <f t="shared" si="62"/>
        <v>24</v>
      </c>
    </row>
    <row r="1329" spans="1:10" ht="26.1" customHeight="1" x14ac:dyDescent="0.2">
      <c r="A1329" s="4">
        <v>3432</v>
      </c>
      <c r="B1329" s="2" t="s">
        <v>79</v>
      </c>
      <c r="C1329" s="2" t="s">
        <v>80</v>
      </c>
      <c r="D1329" s="2" t="s">
        <v>484</v>
      </c>
      <c r="E1329" s="2">
        <v>374114507</v>
      </c>
      <c r="F1329" s="3">
        <v>45734</v>
      </c>
      <c r="G1329" s="4">
        <v>3395001000</v>
      </c>
      <c r="H1329">
        <f t="shared" si="60"/>
        <v>24</v>
      </c>
      <c r="I1329">
        <f t="shared" si="61"/>
        <v>1</v>
      </c>
      <c r="J1329">
        <f t="shared" si="62"/>
        <v>24</v>
      </c>
    </row>
    <row r="1330" spans="1:10" ht="26.1" customHeight="1" x14ac:dyDescent="0.2">
      <c r="A1330" s="4">
        <v>3433</v>
      </c>
      <c r="B1330" s="2" t="s">
        <v>79</v>
      </c>
      <c r="C1330" s="2" t="s">
        <v>80</v>
      </c>
      <c r="D1330" s="2" t="s">
        <v>484</v>
      </c>
      <c r="E1330" s="2">
        <v>374114567</v>
      </c>
      <c r="F1330" s="3">
        <v>45734</v>
      </c>
      <c r="G1330" s="4">
        <v>1014001</v>
      </c>
      <c r="H1330">
        <f t="shared" si="60"/>
        <v>24</v>
      </c>
      <c r="I1330">
        <f t="shared" si="61"/>
        <v>1</v>
      </c>
      <c r="J1330">
        <f t="shared" si="62"/>
        <v>24</v>
      </c>
    </row>
    <row r="1331" spans="1:10" ht="26.1" customHeight="1" x14ac:dyDescent="0.2">
      <c r="A1331" s="4">
        <v>3434</v>
      </c>
      <c r="B1331" s="2" t="s">
        <v>79</v>
      </c>
      <c r="C1331" s="2" t="s">
        <v>80</v>
      </c>
      <c r="D1331" s="2" t="s">
        <v>484</v>
      </c>
      <c r="E1331" s="2">
        <v>374114229</v>
      </c>
      <c r="F1331" s="3">
        <v>45737</v>
      </c>
      <c r="G1331" s="4">
        <v>1014001</v>
      </c>
      <c r="H1331">
        <f t="shared" si="60"/>
        <v>24</v>
      </c>
      <c r="I1331">
        <f t="shared" si="61"/>
        <v>1</v>
      </c>
      <c r="J1331">
        <f t="shared" si="62"/>
        <v>24</v>
      </c>
    </row>
    <row r="1332" spans="1:10" ht="26.1" customHeight="1" x14ac:dyDescent="0.2">
      <c r="A1332" s="4">
        <v>3435</v>
      </c>
      <c r="B1332" s="2" t="s">
        <v>79</v>
      </c>
      <c r="C1332" s="2" t="s">
        <v>80</v>
      </c>
      <c r="D1332" s="2" t="s">
        <v>484</v>
      </c>
      <c r="E1332" s="2">
        <v>374114248</v>
      </c>
      <c r="F1332" s="3">
        <v>45737</v>
      </c>
      <c r="G1332" s="4">
        <v>2936002000</v>
      </c>
      <c r="H1332">
        <f t="shared" si="60"/>
        <v>24</v>
      </c>
      <c r="I1332">
        <f t="shared" si="61"/>
        <v>1</v>
      </c>
      <c r="J1332">
        <f t="shared" si="62"/>
        <v>24</v>
      </c>
    </row>
    <row r="1333" spans="1:10" ht="39.200000000000003" customHeight="1" x14ac:dyDescent="0.2">
      <c r="A1333" s="4">
        <v>3436</v>
      </c>
      <c r="B1333" s="2" t="s">
        <v>82</v>
      </c>
      <c r="C1333" s="2" t="s">
        <v>508</v>
      </c>
      <c r="D1333" s="2" t="s">
        <v>509</v>
      </c>
      <c r="E1333" s="2" t="s">
        <v>510</v>
      </c>
      <c r="F1333" s="3">
        <v>45748</v>
      </c>
      <c r="G1333" s="4">
        <v>1022000</v>
      </c>
      <c r="H1333">
        <f t="shared" si="60"/>
        <v>24</v>
      </c>
      <c r="I1333">
        <f t="shared" si="61"/>
        <v>1</v>
      </c>
      <c r="J1333">
        <f t="shared" si="62"/>
        <v>24</v>
      </c>
    </row>
    <row r="1334" spans="1:10" ht="26.1" customHeight="1" x14ac:dyDescent="0.2">
      <c r="A1334" s="4">
        <v>3437</v>
      </c>
      <c r="B1334" s="2" t="s">
        <v>378</v>
      </c>
      <c r="C1334" s="2" t="s">
        <v>511</v>
      </c>
      <c r="D1334" s="2" t="s">
        <v>512</v>
      </c>
      <c r="E1334" s="2" t="s">
        <v>513</v>
      </c>
      <c r="F1334" s="3">
        <v>45759</v>
      </c>
      <c r="G1334" s="4">
        <v>1014002</v>
      </c>
      <c r="H1334">
        <f t="shared" si="60"/>
        <v>24</v>
      </c>
      <c r="I1334">
        <f t="shared" si="61"/>
        <v>1</v>
      </c>
      <c r="J1334">
        <f t="shared" si="62"/>
        <v>24</v>
      </c>
    </row>
    <row r="1335" spans="1:10" ht="15" customHeight="1" x14ac:dyDescent="0.2">
      <c r="A1335" s="4">
        <v>3438</v>
      </c>
      <c r="B1335" s="2" t="s">
        <v>222</v>
      </c>
      <c r="C1335" s="2" t="s">
        <v>187</v>
      </c>
      <c r="D1335" s="2" t="s">
        <v>514</v>
      </c>
      <c r="E1335" s="2">
        <v>14790</v>
      </c>
      <c r="F1335" s="3">
        <v>45770</v>
      </c>
      <c r="G1335" s="4">
        <v>66011000</v>
      </c>
      <c r="H1335">
        <f t="shared" si="60"/>
        <v>3400</v>
      </c>
      <c r="I1335">
        <f t="shared" si="61"/>
        <v>0.5714285714285714</v>
      </c>
      <c r="J1335">
        <f t="shared" si="62"/>
        <v>1942.8571428571427</v>
      </c>
    </row>
    <row r="1336" spans="1:10" ht="26.1" customHeight="1" x14ac:dyDescent="0.2">
      <c r="A1336" s="4">
        <v>3439</v>
      </c>
      <c r="B1336" s="2" t="s">
        <v>515</v>
      </c>
      <c r="C1336" s="2" t="s">
        <v>516</v>
      </c>
      <c r="D1336" s="2" t="s">
        <v>517</v>
      </c>
      <c r="E1336" s="2">
        <v>45786</v>
      </c>
      <c r="F1336" s="3">
        <v>45786</v>
      </c>
      <c r="G1336" s="4">
        <v>1014001</v>
      </c>
      <c r="H1336">
        <f t="shared" si="60"/>
        <v>3400</v>
      </c>
      <c r="I1336">
        <f t="shared" si="61"/>
        <v>0.5714285714285714</v>
      </c>
      <c r="J1336">
        <f t="shared" si="62"/>
        <v>1942.8571428571427</v>
      </c>
    </row>
    <row r="1337" spans="1:10" ht="26.1" customHeight="1" x14ac:dyDescent="0.2">
      <c r="A1337" s="4">
        <v>3440</v>
      </c>
      <c r="B1337" s="2" t="s">
        <v>351</v>
      </c>
      <c r="C1337" s="2" t="s">
        <v>402</v>
      </c>
      <c r="D1337" s="2" t="s">
        <v>518</v>
      </c>
      <c r="E1337" s="2">
        <v>30199966</v>
      </c>
      <c r="F1337" s="3">
        <v>45797</v>
      </c>
      <c r="G1337" s="4">
        <v>3076001000</v>
      </c>
      <c r="H1337">
        <f t="shared" si="60"/>
        <v>3400</v>
      </c>
      <c r="I1337">
        <f t="shared" si="61"/>
        <v>0.5714285714285714</v>
      </c>
      <c r="J1337">
        <f t="shared" si="62"/>
        <v>1942.8571428571427</v>
      </c>
    </row>
    <row r="1338" spans="1:10" ht="26.1" customHeight="1" x14ac:dyDescent="0.2">
      <c r="A1338" s="4">
        <v>3441</v>
      </c>
      <c r="B1338" s="2" t="s">
        <v>100</v>
      </c>
      <c r="C1338" s="2" t="s">
        <v>447</v>
      </c>
      <c r="D1338" s="2" t="s">
        <v>519</v>
      </c>
      <c r="E1338" s="2" t="s">
        <v>520</v>
      </c>
      <c r="F1338" s="3">
        <v>45797</v>
      </c>
      <c r="G1338" s="4">
        <v>3076001000</v>
      </c>
      <c r="H1338">
        <f t="shared" si="60"/>
        <v>24</v>
      </c>
      <c r="I1338">
        <f t="shared" si="61"/>
        <v>0.5714285714285714</v>
      </c>
      <c r="J1338">
        <f t="shared" si="62"/>
        <v>13.714285714285714</v>
      </c>
    </row>
    <row r="1339" spans="1:10" ht="26.1" customHeight="1" x14ac:dyDescent="0.2">
      <c r="A1339" s="4">
        <v>3442</v>
      </c>
      <c r="B1339" s="2" t="s">
        <v>150</v>
      </c>
      <c r="C1339" s="2" t="s">
        <v>80</v>
      </c>
      <c r="D1339" s="2" t="s">
        <v>521</v>
      </c>
      <c r="E1339" s="2">
        <v>838748105</v>
      </c>
      <c r="F1339" s="3">
        <v>45818</v>
      </c>
      <c r="G1339" s="4">
        <v>153002000</v>
      </c>
      <c r="H1339">
        <f t="shared" si="60"/>
        <v>24</v>
      </c>
      <c r="I1339">
        <f t="shared" si="61"/>
        <v>0.5714285714285714</v>
      </c>
      <c r="J1339">
        <f t="shared" si="62"/>
        <v>13.714285714285714</v>
      </c>
    </row>
    <row r="1340" spans="1:10" ht="26.1" customHeight="1" x14ac:dyDescent="0.2">
      <c r="A1340" s="4">
        <v>3443</v>
      </c>
      <c r="B1340" s="2" t="s">
        <v>522</v>
      </c>
      <c r="C1340" s="2" t="s">
        <v>69</v>
      </c>
      <c r="D1340" s="2" t="s">
        <v>10</v>
      </c>
      <c r="E1340" s="2">
        <v>11111111</v>
      </c>
      <c r="F1340" s="3">
        <v>45861</v>
      </c>
      <c r="G1340" s="4">
        <v>66011000</v>
      </c>
      <c r="H1340">
        <f t="shared" si="60"/>
        <v>24</v>
      </c>
      <c r="I1340">
        <f t="shared" si="61"/>
        <v>0.5714285714285714</v>
      </c>
      <c r="J1340">
        <f t="shared" si="62"/>
        <v>13.714285714285714</v>
      </c>
    </row>
    <row r="1341" spans="1:10" ht="26.1" customHeight="1" x14ac:dyDescent="0.2">
      <c r="A1341" s="4">
        <v>3444</v>
      </c>
      <c r="B1341" s="2" t="s">
        <v>522</v>
      </c>
      <c r="C1341" s="2" t="s">
        <v>69</v>
      </c>
      <c r="D1341" s="2" t="s">
        <v>10</v>
      </c>
      <c r="E1341" s="2">
        <v>1111111</v>
      </c>
      <c r="F1341" s="3">
        <v>45861</v>
      </c>
      <c r="G1341" s="4">
        <v>66011000</v>
      </c>
      <c r="H1341">
        <f t="shared" si="60"/>
        <v>24</v>
      </c>
      <c r="I1341">
        <f t="shared" si="61"/>
        <v>0.5714285714285714</v>
      </c>
      <c r="J1341">
        <f t="shared" si="62"/>
        <v>13.714285714285714</v>
      </c>
    </row>
    <row r="1342" spans="1:10" ht="26.1" customHeight="1" x14ac:dyDescent="0.2">
      <c r="A1342" s="4">
        <v>3445</v>
      </c>
      <c r="B1342" s="2" t="s">
        <v>522</v>
      </c>
      <c r="C1342" s="2" t="s">
        <v>69</v>
      </c>
      <c r="D1342" s="2" t="s">
        <v>10</v>
      </c>
      <c r="E1342" s="2">
        <v>11111111</v>
      </c>
      <c r="F1342" s="3">
        <v>45866</v>
      </c>
      <c r="G1342" s="4">
        <v>1165000000</v>
      </c>
      <c r="H1342">
        <f t="shared" si="60"/>
        <v>24</v>
      </c>
      <c r="I1342">
        <f t="shared" si="61"/>
        <v>0.5714285714285714</v>
      </c>
      <c r="J1342">
        <f t="shared" si="62"/>
        <v>13.714285714285714</v>
      </c>
    </row>
    <row r="1343" spans="1:10" ht="26.1" customHeight="1" x14ac:dyDescent="0.2">
      <c r="A1343" s="4">
        <v>3446</v>
      </c>
      <c r="B1343" s="2" t="s">
        <v>522</v>
      </c>
      <c r="C1343" s="2" t="s">
        <v>69</v>
      </c>
      <c r="D1343" s="2" t="s">
        <v>10</v>
      </c>
      <c r="E1343" s="2">
        <v>11111111</v>
      </c>
      <c r="F1343" s="3">
        <v>45866</v>
      </c>
      <c r="G1343" s="4">
        <v>1165000000</v>
      </c>
      <c r="H1343">
        <f t="shared" si="60"/>
        <v>24</v>
      </c>
      <c r="I1343">
        <f t="shared" si="61"/>
        <v>0.5714285714285714</v>
      </c>
      <c r="J1343">
        <f t="shared" si="62"/>
        <v>13.714285714285714</v>
      </c>
    </row>
    <row r="1344" spans="1:10" ht="26.1" customHeight="1" x14ac:dyDescent="0.2">
      <c r="A1344" s="4">
        <v>3447</v>
      </c>
      <c r="B1344" s="2" t="s">
        <v>522</v>
      </c>
      <c r="C1344" s="2" t="s">
        <v>69</v>
      </c>
      <c r="D1344" s="2" t="s">
        <v>10</v>
      </c>
      <c r="E1344" s="2">
        <v>11111111</v>
      </c>
      <c r="F1344" s="3">
        <v>45868</v>
      </c>
      <c r="G1344" s="4">
        <v>3370002000</v>
      </c>
      <c r="H1344">
        <f t="shared" si="60"/>
        <v>24</v>
      </c>
      <c r="I1344">
        <f t="shared" si="61"/>
        <v>0.5714285714285714</v>
      </c>
      <c r="J1344">
        <f t="shared" si="62"/>
        <v>13.714285714285714</v>
      </c>
    </row>
    <row r="1345" spans="1:10" ht="26.1" customHeight="1" x14ac:dyDescent="0.2">
      <c r="A1345" s="4">
        <v>3448</v>
      </c>
      <c r="B1345" s="2" t="s">
        <v>522</v>
      </c>
      <c r="C1345" s="2" t="s">
        <v>69</v>
      </c>
      <c r="D1345" s="2" t="s">
        <v>10</v>
      </c>
      <c r="E1345" s="2">
        <v>111111111</v>
      </c>
      <c r="F1345" s="3">
        <v>45868</v>
      </c>
      <c r="G1345" s="4">
        <v>3370002000</v>
      </c>
      <c r="H1345">
        <f t="shared" si="60"/>
        <v>24</v>
      </c>
      <c r="I1345">
        <f t="shared" si="61"/>
        <v>0.5714285714285714</v>
      </c>
      <c r="J1345">
        <f t="shared" si="62"/>
        <v>13.714285714285714</v>
      </c>
    </row>
    <row r="1346" spans="1:10" ht="26.1" customHeight="1" x14ac:dyDescent="0.2">
      <c r="A1346" s="4">
        <v>3449</v>
      </c>
      <c r="B1346" s="2" t="s">
        <v>100</v>
      </c>
      <c r="C1346" s="2" t="s">
        <v>232</v>
      </c>
      <c r="D1346" s="2" t="s">
        <v>356</v>
      </c>
      <c r="E1346" s="2">
        <v>11111111</v>
      </c>
      <c r="F1346" s="3">
        <v>45870</v>
      </c>
      <c r="G1346" s="4">
        <v>1014002</v>
      </c>
      <c r="H1346">
        <f t="shared" ref="H1346:H1409" si="63">VLOOKUP(A1346,O:P,2)</f>
        <v>24</v>
      </c>
      <c r="I1346">
        <f t="shared" ref="I1346:I1409" si="64">VLOOKUP(A1346,R:S,2)</f>
        <v>0.5714285714285714</v>
      </c>
      <c r="J1346">
        <f t="shared" ref="J1346:J1409" si="65">H1346*I1346</f>
        <v>13.714285714285714</v>
      </c>
    </row>
    <row r="1347" spans="1:10" ht="26.1" customHeight="1" x14ac:dyDescent="0.2">
      <c r="A1347" s="4">
        <v>3450</v>
      </c>
      <c r="B1347" s="2" t="s">
        <v>100</v>
      </c>
      <c r="C1347" s="2" t="s">
        <v>232</v>
      </c>
      <c r="D1347" s="2" t="s">
        <v>356</v>
      </c>
      <c r="E1347" s="2">
        <v>111111111</v>
      </c>
      <c r="F1347" s="3">
        <v>45870</v>
      </c>
      <c r="G1347" s="4">
        <v>3395001000</v>
      </c>
      <c r="H1347">
        <f t="shared" si="63"/>
        <v>24</v>
      </c>
      <c r="I1347">
        <f t="shared" si="64"/>
        <v>0.5714285714285714</v>
      </c>
      <c r="J1347">
        <f t="shared" si="65"/>
        <v>13.714285714285714</v>
      </c>
    </row>
    <row r="1348" spans="1:10" ht="26.1" customHeight="1" x14ac:dyDescent="0.2">
      <c r="A1348" s="4">
        <v>3451</v>
      </c>
      <c r="B1348" s="2" t="s">
        <v>100</v>
      </c>
      <c r="C1348" s="2" t="s">
        <v>232</v>
      </c>
      <c r="D1348" s="2" t="s">
        <v>356</v>
      </c>
      <c r="E1348" s="2">
        <v>1111111111</v>
      </c>
      <c r="F1348" s="3">
        <v>45870</v>
      </c>
      <c r="G1348" s="4">
        <v>165001000</v>
      </c>
      <c r="H1348">
        <f t="shared" si="63"/>
        <v>24</v>
      </c>
      <c r="I1348">
        <f t="shared" si="64"/>
        <v>0.5714285714285714</v>
      </c>
      <c r="J1348">
        <f t="shared" si="65"/>
        <v>13.714285714285714</v>
      </c>
    </row>
    <row r="1349" spans="1:10" ht="26.1" customHeight="1" x14ac:dyDescent="0.2">
      <c r="A1349" s="4">
        <v>3452</v>
      </c>
      <c r="B1349" s="2" t="s">
        <v>100</v>
      </c>
      <c r="C1349" s="2" t="s">
        <v>232</v>
      </c>
      <c r="D1349" s="2" t="s">
        <v>356</v>
      </c>
      <c r="E1349" s="2">
        <v>11111111</v>
      </c>
      <c r="F1349" s="3">
        <v>45870</v>
      </c>
      <c r="G1349" s="4">
        <v>1321001000</v>
      </c>
      <c r="H1349">
        <f t="shared" si="63"/>
        <v>24</v>
      </c>
      <c r="I1349">
        <f t="shared" si="64"/>
        <v>0.5714285714285714</v>
      </c>
      <c r="J1349">
        <f t="shared" si="65"/>
        <v>13.714285714285714</v>
      </c>
    </row>
    <row r="1350" spans="1:10" ht="26.1" customHeight="1" x14ac:dyDescent="0.2">
      <c r="A1350" s="4">
        <v>3453</v>
      </c>
      <c r="B1350" s="2" t="s">
        <v>522</v>
      </c>
      <c r="C1350" s="2" t="s">
        <v>69</v>
      </c>
      <c r="D1350" s="2" t="s">
        <v>10</v>
      </c>
      <c r="E1350" s="2">
        <v>1111111111</v>
      </c>
      <c r="F1350" s="3">
        <v>45880</v>
      </c>
      <c r="G1350" s="4">
        <v>3042095001</v>
      </c>
      <c r="H1350">
        <f t="shared" si="63"/>
        <v>24</v>
      </c>
      <c r="I1350">
        <f t="shared" si="64"/>
        <v>0.5714285714285714</v>
      </c>
      <c r="J1350">
        <f t="shared" si="65"/>
        <v>13.714285714285714</v>
      </c>
    </row>
    <row r="1351" spans="1:10" ht="26.1" customHeight="1" x14ac:dyDescent="0.2">
      <c r="A1351" s="4">
        <v>3454</v>
      </c>
      <c r="B1351" s="2" t="s">
        <v>146</v>
      </c>
      <c r="C1351" s="2" t="s">
        <v>246</v>
      </c>
      <c r="D1351" s="2" t="s">
        <v>523</v>
      </c>
      <c r="E1351" s="2">
        <v>125003372</v>
      </c>
      <c r="F1351" s="3">
        <v>45881</v>
      </c>
      <c r="G1351" s="4">
        <v>165001000</v>
      </c>
      <c r="H1351">
        <f t="shared" si="63"/>
        <v>24</v>
      </c>
      <c r="I1351">
        <f t="shared" si="64"/>
        <v>0.5714285714285714</v>
      </c>
      <c r="J1351">
        <f t="shared" si="65"/>
        <v>13.714285714285714</v>
      </c>
    </row>
    <row r="1352" spans="1:10" ht="26.1" customHeight="1" x14ac:dyDescent="0.2">
      <c r="A1352" s="4">
        <v>3455</v>
      </c>
      <c r="B1352" s="2" t="s">
        <v>100</v>
      </c>
      <c r="C1352" s="2" t="s">
        <v>524</v>
      </c>
      <c r="D1352" s="2" t="s">
        <v>525</v>
      </c>
      <c r="E1352" s="2">
        <v>35003123</v>
      </c>
      <c r="F1352" s="3">
        <v>45881</v>
      </c>
      <c r="G1352" s="4">
        <v>165001000</v>
      </c>
      <c r="H1352">
        <f t="shared" si="63"/>
        <v>24</v>
      </c>
      <c r="I1352">
        <f t="shared" si="64"/>
        <v>0.5714285714285714</v>
      </c>
      <c r="J1352">
        <f t="shared" si="65"/>
        <v>13.714285714285714</v>
      </c>
    </row>
    <row r="1353" spans="1:10" ht="26.1" customHeight="1" x14ac:dyDescent="0.2">
      <c r="A1353" s="4">
        <v>3456</v>
      </c>
      <c r="B1353" s="2" t="s">
        <v>146</v>
      </c>
      <c r="C1353" s="2" t="s">
        <v>246</v>
      </c>
      <c r="D1353" s="2" t="s">
        <v>523</v>
      </c>
      <c r="E1353" s="2">
        <v>125003373</v>
      </c>
      <c r="F1353" s="3">
        <v>45881</v>
      </c>
      <c r="G1353" s="4">
        <v>165001000</v>
      </c>
      <c r="H1353">
        <f t="shared" si="63"/>
        <v>24</v>
      </c>
      <c r="I1353">
        <f t="shared" si="64"/>
        <v>0.5714285714285714</v>
      </c>
      <c r="J1353">
        <f t="shared" si="65"/>
        <v>13.714285714285714</v>
      </c>
    </row>
    <row r="1354" spans="1:10" ht="26.1" customHeight="1" x14ac:dyDescent="0.2">
      <c r="A1354" s="4">
        <v>3457</v>
      </c>
      <c r="B1354" s="2" t="s">
        <v>100</v>
      </c>
      <c r="C1354" s="2" t="s">
        <v>524</v>
      </c>
      <c r="D1354" s="2" t="s">
        <v>525</v>
      </c>
      <c r="E1354" s="2">
        <v>35003114</v>
      </c>
      <c r="F1354" s="3">
        <v>45881</v>
      </c>
      <c r="G1354" s="4">
        <v>165001000</v>
      </c>
      <c r="H1354">
        <f t="shared" si="63"/>
        <v>24</v>
      </c>
      <c r="I1354">
        <f t="shared" si="64"/>
        <v>0.5714285714285714</v>
      </c>
      <c r="J1354">
        <f t="shared" si="65"/>
        <v>13.714285714285714</v>
      </c>
    </row>
    <row r="1355" spans="1:10" ht="26.1" customHeight="1" x14ac:dyDescent="0.2">
      <c r="A1355" s="4">
        <v>3458</v>
      </c>
      <c r="B1355" s="2" t="s">
        <v>146</v>
      </c>
      <c r="C1355" s="2" t="s">
        <v>246</v>
      </c>
      <c r="D1355" s="2" t="s">
        <v>523</v>
      </c>
      <c r="E1355" s="2">
        <v>125003367</v>
      </c>
      <c r="F1355" s="3">
        <v>45887</v>
      </c>
      <c r="G1355" s="4">
        <v>3182006000</v>
      </c>
      <c r="H1355">
        <f t="shared" si="63"/>
        <v>24</v>
      </c>
      <c r="I1355">
        <f t="shared" si="64"/>
        <v>0.5714285714285714</v>
      </c>
      <c r="J1355">
        <f t="shared" si="65"/>
        <v>13.714285714285714</v>
      </c>
    </row>
    <row r="1356" spans="1:10" ht="26.1" customHeight="1" x14ac:dyDescent="0.2">
      <c r="A1356" s="4">
        <v>3459</v>
      </c>
      <c r="B1356" s="2" t="s">
        <v>100</v>
      </c>
      <c r="C1356" s="2" t="s">
        <v>524</v>
      </c>
      <c r="D1356" s="2" t="s">
        <v>525</v>
      </c>
      <c r="E1356" s="2">
        <v>35003113</v>
      </c>
      <c r="F1356" s="3">
        <v>45887</v>
      </c>
      <c r="G1356" s="4">
        <v>2886002000</v>
      </c>
      <c r="H1356">
        <f t="shared" si="63"/>
        <v>24</v>
      </c>
      <c r="I1356">
        <f t="shared" si="64"/>
        <v>0.5714285714285714</v>
      </c>
      <c r="J1356">
        <f t="shared" si="65"/>
        <v>13.714285714285714</v>
      </c>
    </row>
    <row r="1357" spans="1:10" ht="26.1" customHeight="1" x14ac:dyDescent="0.2">
      <c r="A1357" s="4">
        <v>3460</v>
      </c>
      <c r="B1357" s="2" t="s">
        <v>146</v>
      </c>
      <c r="C1357" s="2" t="s">
        <v>246</v>
      </c>
      <c r="D1357" s="2" t="s">
        <v>523</v>
      </c>
      <c r="E1357" s="2">
        <v>125003366</v>
      </c>
      <c r="F1357" s="3">
        <v>45887</v>
      </c>
      <c r="G1357" s="4">
        <v>2886002000</v>
      </c>
      <c r="H1357">
        <f t="shared" si="63"/>
        <v>24</v>
      </c>
      <c r="I1357">
        <f t="shared" si="64"/>
        <v>0.5714285714285714</v>
      </c>
      <c r="J1357">
        <f t="shared" si="65"/>
        <v>13.714285714285714</v>
      </c>
    </row>
    <row r="1358" spans="1:10" ht="26.1" customHeight="1" x14ac:dyDescent="0.2">
      <c r="A1358" s="4">
        <v>3461</v>
      </c>
      <c r="B1358" s="2" t="s">
        <v>100</v>
      </c>
      <c r="C1358" s="2" t="s">
        <v>524</v>
      </c>
      <c r="D1358" s="2" t="s">
        <v>525</v>
      </c>
      <c r="E1358" s="2">
        <v>35002195</v>
      </c>
      <c r="F1358" s="3">
        <v>45887</v>
      </c>
      <c r="G1358" s="4">
        <v>3182006000</v>
      </c>
      <c r="H1358">
        <f t="shared" si="63"/>
        <v>24</v>
      </c>
      <c r="I1358">
        <f t="shared" si="64"/>
        <v>0.5714285714285714</v>
      </c>
      <c r="J1358">
        <f t="shared" si="65"/>
        <v>13.714285714285714</v>
      </c>
    </row>
    <row r="1359" spans="1:10" ht="26.1" customHeight="1" x14ac:dyDescent="0.2">
      <c r="A1359" s="4">
        <v>3462</v>
      </c>
      <c r="B1359" s="2" t="s">
        <v>522</v>
      </c>
      <c r="C1359" s="2" t="s">
        <v>69</v>
      </c>
      <c r="D1359" s="2" t="s">
        <v>10</v>
      </c>
      <c r="E1359" s="2">
        <v>11111111</v>
      </c>
      <c r="F1359" s="3">
        <v>45889</v>
      </c>
      <c r="G1359" s="4">
        <v>3042127001</v>
      </c>
      <c r="H1359">
        <f t="shared" si="63"/>
        <v>24</v>
      </c>
      <c r="I1359">
        <f t="shared" si="64"/>
        <v>0.5714285714285714</v>
      </c>
      <c r="J1359">
        <f t="shared" si="65"/>
        <v>13.714285714285714</v>
      </c>
    </row>
    <row r="1360" spans="1:10" ht="26.1" customHeight="1" x14ac:dyDescent="0.2">
      <c r="A1360" s="4">
        <v>3463</v>
      </c>
      <c r="B1360" s="2" t="s">
        <v>146</v>
      </c>
      <c r="C1360" s="2" t="s">
        <v>246</v>
      </c>
      <c r="D1360" s="2" t="s">
        <v>526</v>
      </c>
      <c r="E1360" s="2">
        <v>125003825</v>
      </c>
      <c r="F1360" s="3">
        <v>45901</v>
      </c>
      <c r="G1360" s="4">
        <v>3042127001</v>
      </c>
      <c r="H1360">
        <f t="shared" si="63"/>
        <v>24</v>
      </c>
      <c r="I1360">
        <f t="shared" si="64"/>
        <v>0.5714285714285714</v>
      </c>
      <c r="J1360">
        <f t="shared" si="65"/>
        <v>13.714285714285714</v>
      </c>
    </row>
    <row r="1361" spans="1:10" ht="26.1" customHeight="1" x14ac:dyDescent="0.2">
      <c r="A1361" s="4">
        <v>3464</v>
      </c>
      <c r="B1361" s="2" t="s">
        <v>146</v>
      </c>
      <c r="C1361" s="2" t="s">
        <v>246</v>
      </c>
      <c r="D1361" s="2" t="s">
        <v>526</v>
      </c>
      <c r="E1361" s="2">
        <v>125003823</v>
      </c>
      <c r="F1361" s="3">
        <v>45910</v>
      </c>
      <c r="G1361" s="4">
        <v>2315001000</v>
      </c>
      <c r="H1361">
        <f t="shared" si="63"/>
        <v>24</v>
      </c>
      <c r="I1361">
        <f t="shared" si="64"/>
        <v>0.5714285714285714</v>
      </c>
      <c r="J1361">
        <f t="shared" si="65"/>
        <v>13.714285714285714</v>
      </c>
    </row>
    <row r="1362" spans="1:10" ht="26.1" customHeight="1" x14ac:dyDescent="0.2">
      <c r="A1362" s="4">
        <v>3465</v>
      </c>
      <c r="B1362" s="2" t="s">
        <v>150</v>
      </c>
      <c r="C1362" s="2" t="s">
        <v>80</v>
      </c>
      <c r="D1362" s="2" t="s">
        <v>527</v>
      </c>
      <c r="E1362" s="2" t="s">
        <v>528</v>
      </c>
      <c r="F1362" s="3">
        <v>45904</v>
      </c>
      <c r="G1362" s="4">
        <v>1022000</v>
      </c>
      <c r="H1362">
        <f t="shared" si="63"/>
        <v>24</v>
      </c>
      <c r="I1362">
        <f t="shared" si="64"/>
        <v>0.5714285714285714</v>
      </c>
      <c r="J1362">
        <f t="shared" si="65"/>
        <v>13.714285714285714</v>
      </c>
    </row>
    <row r="1363" spans="1:10" ht="26.1" customHeight="1" x14ac:dyDescent="0.2">
      <c r="A1363" s="4">
        <v>3466</v>
      </c>
      <c r="B1363" s="2" t="s">
        <v>146</v>
      </c>
      <c r="C1363" s="2" t="s">
        <v>246</v>
      </c>
      <c r="D1363" s="2" t="s">
        <v>523</v>
      </c>
      <c r="E1363" s="2">
        <v>125003364</v>
      </c>
      <c r="F1363" s="3">
        <v>45911</v>
      </c>
      <c r="G1363" s="4">
        <v>66011000</v>
      </c>
      <c r="H1363">
        <f t="shared" si="63"/>
        <v>24</v>
      </c>
      <c r="I1363">
        <f t="shared" si="64"/>
        <v>0.5714285714285714</v>
      </c>
      <c r="J1363">
        <f t="shared" si="65"/>
        <v>13.714285714285714</v>
      </c>
    </row>
    <row r="1364" spans="1:10" ht="26.1" customHeight="1" x14ac:dyDescent="0.2">
      <c r="A1364" s="4">
        <v>3467</v>
      </c>
      <c r="B1364" s="2" t="s">
        <v>100</v>
      </c>
      <c r="C1364" s="2" t="s">
        <v>524</v>
      </c>
      <c r="D1364" s="2" t="s">
        <v>525</v>
      </c>
      <c r="E1364" s="2">
        <v>35002196</v>
      </c>
      <c r="F1364" s="3">
        <v>45911</v>
      </c>
      <c r="G1364" s="4">
        <v>66011000</v>
      </c>
      <c r="H1364">
        <f t="shared" si="63"/>
        <v>24</v>
      </c>
      <c r="I1364">
        <f t="shared" si="64"/>
        <v>0.5714285714285714</v>
      </c>
      <c r="J1364">
        <f t="shared" si="65"/>
        <v>13.714285714285714</v>
      </c>
    </row>
    <row r="1365" spans="1:10" ht="26.1" customHeight="1" x14ac:dyDescent="0.2">
      <c r="A1365" s="4">
        <v>3468</v>
      </c>
      <c r="B1365" s="2" t="s">
        <v>146</v>
      </c>
      <c r="C1365" s="2" t="s">
        <v>246</v>
      </c>
      <c r="D1365" s="2" t="s">
        <v>523</v>
      </c>
      <c r="E1365" s="2">
        <v>125003363</v>
      </c>
      <c r="F1365" s="3">
        <v>45912</v>
      </c>
      <c r="G1365" s="4">
        <v>3042058001</v>
      </c>
      <c r="H1365">
        <f t="shared" si="63"/>
        <v>24</v>
      </c>
      <c r="I1365">
        <f t="shared" si="64"/>
        <v>0.5714285714285714</v>
      </c>
      <c r="J1365">
        <f t="shared" si="65"/>
        <v>13.714285714285714</v>
      </c>
    </row>
    <row r="1366" spans="1:10" ht="26.1" customHeight="1" x14ac:dyDescent="0.2">
      <c r="A1366" s="4">
        <v>3469</v>
      </c>
      <c r="B1366" s="2" t="s">
        <v>100</v>
      </c>
      <c r="C1366" s="2" t="s">
        <v>524</v>
      </c>
      <c r="D1366" s="2" t="s">
        <v>525</v>
      </c>
      <c r="E1366" s="2">
        <v>35003124</v>
      </c>
      <c r="F1366" s="3">
        <v>45911</v>
      </c>
      <c r="G1366" s="4">
        <v>3042058001</v>
      </c>
      <c r="H1366">
        <f t="shared" si="63"/>
        <v>24</v>
      </c>
      <c r="I1366">
        <f t="shared" si="64"/>
        <v>0.5714285714285714</v>
      </c>
      <c r="J1366">
        <f t="shared" si="65"/>
        <v>13.714285714285714</v>
      </c>
    </row>
    <row r="1367" spans="1:10" ht="26.1" customHeight="1" x14ac:dyDescent="0.2">
      <c r="A1367" s="4">
        <v>3470</v>
      </c>
      <c r="B1367" s="2" t="s">
        <v>146</v>
      </c>
      <c r="C1367" s="2" t="s">
        <v>246</v>
      </c>
      <c r="D1367" s="2" t="s">
        <v>526</v>
      </c>
      <c r="E1367" s="2">
        <v>125003826</v>
      </c>
      <c r="F1367" s="3">
        <v>45910</v>
      </c>
      <c r="G1367" s="4">
        <v>2789001000</v>
      </c>
      <c r="H1367">
        <f t="shared" si="63"/>
        <v>24</v>
      </c>
      <c r="I1367">
        <f t="shared" si="64"/>
        <v>0.5714285714285714</v>
      </c>
      <c r="J1367">
        <f t="shared" si="65"/>
        <v>13.714285714285714</v>
      </c>
    </row>
    <row r="1368" spans="1:10" ht="26.1" customHeight="1" x14ac:dyDescent="0.2">
      <c r="A1368" s="4">
        <v>3471</v>
      </c>
      <c r="B1368" s="2" t="s">
        <v>146</v>
      </c>
      <c r="C1368" s="2" t="s">
        <v>246</v>
      </c>
      <c r="D1368" s="2" t="s">
        <v>526</v>
      </c>
      <c r="E1368" s="2">
        <v>125003824</v>
      </c>
      <c r="F1368" s="3">
        <v>45916</v>
      </c>
      <c r="G1368" s="4">
        <v>3042058001</v>
      </c>
      <c r="H1368">
        <f t="shared" si="63"/>
        <v>24</v>
      </c>
      <c r="I1368">
        <f t="shared" si="64"/>
        <v>0.5714285714285714</v>
      </c>
      <c r="J1368">
        <f t="shared" si="65"/>
        <v>13.714285714285714</v>
      </c>
    </row>
    <row r="1369" spans="1:10" ht="26.1" customHeight="1" x14ac:dyDescent="0.2">
      <c r="A1369" s="4">
        <v>3472</v>
      </c>
      <c r="B1369" s="2" t="s">
        <v>522</v>
      </c>
      <c r="C1369" s="2" t="s">
        <v>69</v>
      </c>
      <c r="D1369" s="2" t="s">
        <v>10</v>
      </c>
      <c r="E1369" s="2">
        <v>111111111</v>
      </c>
      <c r="F1369" s="3">
        <v>45918</v>
      </c>
      <c r="G1369" s="4">
        <v>2548013000</v>
      </c>
      <c r="H1369">
        <f t="shared" si="63"/>
        <v>24</v>
      </c>
      <c r="I1369">
        <f t="shared" si="64"/>
        <v>0.5714285714285714</v>
      </c>
      <c r="J1369">
        <f t="shared" si="65"/>
        <v>13.714285714285714</v>
      </c>
    </row>
    <row r="1370" spans="1:10" ht="26.1" customHeight="1" x14ac:dyDescent="0.2">
      <c r="A1370" s="4">
        <v>3473</v>
      </c>
      <c r="B1370" s="2" t="s">
        <v>146</v>
      </c>
      <c r="C1370" s="2" t="s">
        <v>246</v>
      </c>
      <c r="D1370" s="2" t="s">
        <v>526</v>
      </c>
      <c r="E1370" s="2">
        <v>125003822</v>
      </c>
      <c r="F1370" s="3">
        <v>45924</v>
      </c>
      <c r="G1370" s="4">
        <v>2905001000</v>
      </c>
      <c r="H1370">
        <f t="shared" si="63"/>
        <v>24</v>
      </c>
      <c r="I1370">
        <f t="shared" si="64"/>
        <v>0.5714285714285714</v>
      </c>
      <c r="J1370">
        <f t="shared" si="65"/>
        <v>13.714285714285714</v>
      </c>
    </row>
    <row r="1371" spans="1:10" ht="26.1" customHeight="1" x14ac:dyDescent="0.2">
      <c r="A1371" s="4">
        <v>3474</v>
      </c>
      <c r="B1371" s="2" t="s">
        <v>146</v>
      </c>
      <c r="C1371" s="2" t="s">
        <v>246</v>
      </c>
      <c r="D1371" s="2" t="s">
        <v>529</v>
      </c>
      <c r="E1371" s="2">
        <v>125003827</v>
      </c>
      <c r="F1371" s="3">
        <v>45924</v>
      </c>
      <c r="G1371" s="4">
        <v>1720001000</v>
      </c>
      <c r="H1371">
        <f t="shared" si="63"/>
        <v>24</v>
      </c>
      <c r="I1371">
        <f t="shared" si="64"/>
        <v>0.5714285714285714</v>
      </c>
      <c r="J1371">
        <f t="shared" si="65"/>
        <v>13.714285714285714</v>
      </c>
    </row>
    <row r="1372" spans="1:10" ht="26.1" customHeight="1" x14ac:dyDescent="0.2">
      <c r="A1372" s="4">
        <v>3475</v>
      </c>
      <c r="B1372" s="2" t="s">
        <v>146</v>
      </c>
      <c r="C1372" s="2" t="s">
        <v>246</v>
      </c>
      <c r="D1372" s="2" t="s">
        <v>523</v>
      </c>
      <c r="E1372" s="2">
        <v>125003368</v>
      </c>
      <c r="F1372" s="3">
        <v>45931</v>
      </c>
      <c r="G1372" s="4">
        <v>3034001000</v>
      </c>
      <c r="H1372">
        <f t="shared" si="63"/>
        <v>24</v>
      </c>
      <c r="I1372">
        <f t="shared" si="64"/>
        <v>0.5714285714285714</v>
      </c>
      <c r="J1372">
        <f t="shared" si="65"/>
        <v>13.714285714285714</v>
      </c>
    </row>
    <row r="1373" spans="1:10" ht="26.1" customHeight="1" x14ac:dyDescent="0.2">
      <c r="A1373" s="4">
        <v>3476</v>
      </c>
      <c r="B1373" s="2" t="s">
        <v>100</v>
      </c>
      <c r="C1373" s="2" t="s">
        <v>524</v>
      </c>
      <c r="D1373" s="2" t="s">
        <v>525</v>
      </c>
      <c r="E1373" s="2">
        <v>35003119</v>
      </c>
      <c r="F1373" s="3">
        <v>45931</v>
      </c>
      <c r="G1373" s="4">
        <v>3034001000</v>
      </c>
      <c r="H1373">
        <f t="shared" si="63"/>
        <v>24</v>
      </c>
      <c r="I1373">
        <f t="shared" si="64"/>
        <v>0.5714285714285714</v>
      </c>
      <c r="J1373">
        <f t="shared" si="65"/>
        <v>13.714285714285714</v>
      </c>
    </row>
    <row r="1374" spans="1:10" ht="26.1" customHeight="1" x14ac:dyDescent="0.2">
      <c r="A1374" s="4">
        <v>3477</v>
      </c>
      <c r="B1374" s="2" t="s">
        <v>336</v>
      </c>
      <c r="C1374" s="2" t="s">
        <v>530</v>
      </c>
      <c r="D1374" s="2" t="s">
        <v>531</v>
      </c>
      <c r="E1374" s="2">
        <v>21133470552</v>
      </c>
      <c r="F1374" s="3">
        <v>45933</v>
      </c>
      <c r="G1374" s="4">
        <v>1014001</v>
      </c>
      <c r="H1374">
        <f t="shared" si="63"/>
        <v>20</v>
      </c>
      <c r="I1374">
        <f t="shared" si="64"/>
        <v>0.5714285714285714</v>
      </c>
      <c r="J1374">
        <f t="shared" si="65"/>
        <v>11.428571428571427</v>
      </c>
    </row>
    <row r="1375" spans="1:10" ht="26.1" customHeight="1" x14ac:dyDescent="0.2">
      <c r="A1375" s="4">
        <v>3478</v>
      </c>
      <c r="B1375" s="2" t="s">
        <v>532</v>
      </c>
      <c r="C1375" s="2" t="s">
        <v>530</v>
      </c>
      <c r="D1375" s="2" t="s">
        <v>533</v>
      </c>
      <c r="E1375" s="2">
        <v>21139740047</v>
      </c>
      <c r="F1375" s="3">
        <v>45933</v>
      </c>
      <c r="G1375" s="4">
        <v>1014001</v>
      </c>
      <c r="H1375">
        <f t="shared" si="63"/>
        <v>20</v>
      </c>
      <c r="I1375">
        <f t="shared" si="64"/>
        <v>0.5714285714285714</v>
      </c>
      <c r="J1375">
        <f t="shared" si="65"/>
        <v>11.428571428571427</v>
      </c>
    </row>
    <row r="1376" spans="1:10" ht="39.200000000000003" customHeight="1" x14ac:dyDescent="0.2">
      <c r="A1376" s="4">
        <v>3479</v>
      </c>
      <c r="B1376" s="2" t="s">
        <v>123</v>
      </c>
      <c r="C1376" s="2" t="s">
        <v>297</v>
      </c>
      <c r="D1376" s="2" t="s">
        <v>534</v>
      </c>
      <c r="E1376" s="2">
        <v>3520230505637</v>
      </c>
      <c r="F1376" s="3">
        <v>45495</v>
      </c>
      <c r="G1376" s="4">
        <v>3178002000</v>
      </c>
      <c r="H1376">
        <f t="shared" si="63"/>
        <v>3600</v>
      </c>
      <c r="I1376">
        <f t="shared" si="64"/>
        <v>6.6666666666666666E-2</v>
      </c>
      <c r="J1376">
        <f t="shared" si="65"/>
        <v>240</v>
      </c>
    </row>
    <row r="1377" spans="1:10" ht="26.1" customHeight="1" x14ac:dyDescent="0.2">
      <c r="A1377" s="4">
        <v>3480</v>
      </c>
      <c r="B1377" s="2" t="s">
        <v>522</v>
      </c>
      <c r="C1377" s="2" t="s">
        <v>69</v>
      </c>
      <c r="D1377" s="2" t="s">
        <v>10</v>
      </c>
      <c r="E1377" s="2">
        <v>1111111111</v>
      </c>
      <c r="F1377" s="3">
        <v>45938</v>
      </c>
      <c r="G1377" s="4">
        <v>3127001000</v>
      </c>
      <c r="H1377">
        <f t="shared" si="63"/>
        <v>3600</v>
      </c>
      <c r="I1377">
        <f t="shared" si="64"/>
        <v>6.6666666666666666E-2</v>
      </c>
      <c r="J1377">
        <f t="shared" si="65"/>
        <v>240</v>
      </c>
    </row>
    <row r="1378" spans="1:10" ht="26.1" customHeight="1" x14ac:dyDescent="0.2">
      <c r="A1378" s="4">
        <v>3481</v>
      </c>
      <c r="B1378" s="2" t="s">
        <v>522</v>
      </c>
      <c r="C1378" s="2" t="s">
        <v>69</v>
      </c>
      <c r="D1378" s="2" t="s">
        <v>10</v>
      </c>
      <c r="E1378" s="2">
        <v>111111111</v>
      </c>
      <c r="F1378" s="3">
        <v>45938</v>
      </c>
      <c r="G1378" s="4">
        <v>3127001000</v>
      </c>
      <c r="H1378">
        <f t="shared" si="63"/>
        <v>3600</v>
      </c>
      <c r="I1378">
        <f t="shared" si="64"/>
        <v>6.6666666666666666E-2</v>
      </c>
      <c r="J1378">
        <f t="shared" si="65"/>
        <v>240</v>
      </c>
    </row>
    <row r="1379" spans="1:10" ht="26.1" customHeight="1" x14ac:dyDescent="0.2">
      <c r="A1379" s="4">
        <v>3482</v>
      </c>
      <c r="B1379" s="2" t="s">
        <v>522</v>
      </c>
      <c r="C1379" s="2" t="s">
        <v>69</v>
      </c>
      <c r="D1379" s="2" t="s">
        <v>10</v>
      </c>
      <c r="E1379" s="2">
        <v>111111111</v>
      </c>
      <c r="F1379" s="3">
        <v>45945</v>
      </c>
      <c r="G1379" s="4">
        <v>3135001000</v>
      </c>
      <c r="H1379">
        <f t="shared" si="63"/>
        <v>3600</v>
      </c>
      <c r="I1379">
        <f t="shared" si="64"/>
        <v>6.6666666666666666E-2</v>
      </c>
      <c r="J1379">
        <f t="shared" si="65"/>
        <v>240</v>
      </c>
    </row>
    <row r="1380" spans="1:10" ht="26.1" customHeight="1" x14ac:dyDescent="0.2">
      <c r="A1380" s="4">
        <v>3483</v>
      </c>
      <c r="B1380" s="2" t="s">
        <v>522</v>
      </c>
      <c r="C1380" s="2" t="s">
        <v>69</v>
      </c>
      <c r="D1380" s="2" t="s">
        <v>10</v>
      </c>
      <c r="E1380" s="2">
        <v>111111111</v>
      </c>
      <c r="F1380" s="3">
        <v>45945</v>
      </c>
      <c r="G1380" s="4">
        <v>3135001000</v>
      </c>
      <c r="H1380">
        <f t="shared" si="63"/>
        <v>3600</v>
      </c>
      <c r="I1380">
        <f t="shared" si="64"/>
        <v>6.6666666666666666E-2</v>
      </c>
      <c r="J1380">
        <f t="shared" si="65"/>
        <v>240</v>
      </c>
    </row>
    <row r="1381" spans="1:10" ht="26.1" customHeight="1" x14ac:dyDescent="0.2">
      <c r="A1381" s="4">
        <v>3484</v>
      </c>
      <c r="B1381" s="2" t="s">
        <v>522</v>
      </c>
      <c r="C1381" s="2" t="s">
        <v>69</v>
      </c>
      <c r="D1381" s="2" t="s">
        <v>10</v>
      </c>
      <c r="E1381" s="2">
        <v>111111111</v>
      </c>
      <c r="F1381" s="3">
        <v>45945</v>
      </c>
      <c r="G1381" s="4">
        <v>2126001000</v>
      </c>
      <c r="H1381">
        <f t="shared" si="63"/>
        <v>3600</v>
      </c>
      <c r="I1381">
        <f t="shared" si="64"/>
        <v>6.6666666666666666E-2</v>
      </c>
      <c r="J1381">
        <f t="shared" si="65"/>
        <v>240</v>
      </c>
    </row>
    <row r="1382" spans="1:10" ht="26.1" customHeight="1" x14ac:dyDescent="0.2">
      <c r="A1382" s="4">
        <v>3485</v>
      </c>
      <c r="B1382" s="2" t="s">
        <v>522</v>
      </c>
      <c r="C1382" s="2" t="s">
        <v>69</v>
      </c>
      <c r="D1382" s="2" t="s">
        <v>10</v>
      </c>
      <c r="E1382" s="2">
        <v>111111111</v>
      </c>
      <c r="F1382" s="3">
        <v>45945</v>
      </c>
      <c r="G1382" s="4">
        <v>2126001000</v>
      </c>
      <c r="H1382">
        <f t="shared" si="63"/>
        <v>3600</v>
      </c>
      <c r="I1382">
        <f t="shared" si="64"/>
        <v>6.6666666666666666E-2</v>
      </c>
      <c r="J1382">
        <f t="shared" si="65"/>
        <v>240</v>
      </c>
    </row>
    <row r="1383" spans="1:10" ht="26.1" customHeight="1" x14ac:dyDescent="0.2">
      <c r="A1383" s="4">
        <v>3486</v>
      </c>
      <c r="B1383" s="2" t="s">
        <v>522</v>
      </c>
      <c r="C1383" s="2" t="s">
        <v>69</v>
      </c>
      <c r="D1383" s="2" t="s">
        <v>10</v>
      </c>
      <c r="E1383" s="2">
        <v>111111111</v>
      </c>
      <c r="F1383" s="3">
        <v>45945</v>
      </c>
      <c r="G1383" s="4">
        <v>2126001000</v>
      </c>
      <c r="H1383">
        <f t="shared" si="63"/>
        <v>3600</v>
      </c>
      <c r="I1383">
        <f t="shared" si="64"/>
        <v>6.6666666666666666E-2</v>
      </c>
      <c r="J1383">
        <f t="shared" si="65"/>
        <v>240</v>
      </c>
    </row>
    <row r="1384" spans="1:10" ht="26.1" customHeight="1" x14ac:dyDescent="0.2">
      <c r="A1384" s="4">
        <v>3487</v>
      </c>
      <c r="B1384" s="2" t="s">
        <v>522</v>
      </c>
      <c r="C1384" s="2" t="s">
        <v>69</v>
      </c>
      <c r="D1384" s="2" t="s">
        <v>10</v>
      </c>
      <c r="E1384" s="2">
        <v>111111111</v>
      </c>
      <c r="F1384" s="3">
        <v>45945</v>
      </c>
      <c r="G1384" s="4">
        <v>2126001000</v>
      </c>
      <c r="H1384">
        <f t="shared" si="63"/>
        <v>3600</v>
      </c>
      <c r="I1384">
        <f t="shared" si="64"/>
        <v>6.6666666666666666E-2</v>
      </c>
      <c r="J1384">
        <f t="shared" si="65"/>
        <v>240</v>
      </c>
    </row>
    <row r="1385" spans="1:10" ht="26.1" customHeight="1" x14ac:dyDescent="0.2">
      <c r="A1385" s="4">
        <v>3488</v>
      </c>
      <c r="B1385" s="2" t="s">
        <v>522</v>
      </c>
      <c r="C1385" s="2" t="s">
        <v>69</v>
      </c>
      <c r="D1385" s="2" t="s">
        <v>10</v>
      </c>
      <c r="E1385" s="2">
        <v>111111111</v>
      </c>
      <c r="F1385" s="3">
        <v>45945</v>
      </c>
      <c r="G1385" s="4">
        <v>2126001000</v>
      </c>
      <c r="H1385">
        <f t="shared" si="63"/>
        <v>3600</v>
      </c>
      <c r="I1385">
        <f t="shared" si="64"/>
        <v>6.6666666666666666E-2</v>
      </c>
      <c r="J1385">
        <f t="shared" si="65"/>
        <v>240</v>
      </c>
    </row>
    <row r="1386" spans="1:10" ht="26.1" customHeight="1" x14ac:dyDescent="0.2">
      <c r="A1386" s="4">
        <v>3489</v>
      </c>
      <c r="B1386" s="2" t="s">
        <v>522</v>
      </c>
      <c r="C1386" s="2" t="s">
        <v>69</v>
      </c>
      <c r="D1386" s="2" t="s">
        <v>10</v>
      </c>
      <c r="E1386" s="2">
        <v>111111111</v>
      </c>
      <c r="F1386" s="3">
        <v>45945</v>
      </c>
      <c r="G1386" s="4">
        <v>2126001000</v>
      </c>
      <c r="H1386">
        <f t="shared" si="63"/>
        <v>3600</v>
      </c>
      <c r="I1386">
        <f t="shared" si="64"/>
        <v>6.6666666666666666E-2</v>
      </c>
      <c r="J1386">
        <f t="shared" si="65"/>
        <v>240</v>
      </c>
    </row>
    <row r="1387" spans="1:10" ht="26.1" customHeight="1" x14ac:dyDescent="0.2">
      <c r="A1387" s="4">
        <v>3490</v>
      </c>
      <c r="B1387" s="2" t="s">
        <v>522</v>
      </c>
      <c r="C1387" s="2" t="s">
        <v>69</v>
      </c>
      <c r="D1387" s="2" t="s">
        <v>10</v>
      </c>
      <c r="E1387" s="2">
        <v>111111111</v>
      </c>
      <c r="F1387" s="3">
        <v>45945</v>
      </c>
      <c r="G1387" s="4">
        <v>2126001000</v>
      </c>
      <c r="H1387">
        <f t="shared" si="63"/>
        <v>3600</v>
      </c>
      <c r="I1387">
        <f t="shared" si="64"/>
        <v>6.6666666666666666E-2</v>
      </c>
      <c r="J1387">
        <f t="shared" si="65"/>
        <v>240</v>
      </c>
    </row>
    <row r="1388" spans="1:10" ht="26.1" customHeight="1" x14ac:dyDescent="0.2">
      <c r="A1388" s="4">
        <v>3491</v>
      </c>
      <c r="B1388" s="2" t="s">
        <v>522</v>
      </c>
      <c r="C1388" s="2" t="s">
        <v>69</v>
      </c>
      <c r="D1388" s="2" t="s">
        <v>10</v>
      </c>
      <c r="E1388" s="2">
        <v>111111111</v>
      </c>
      <c r="F1388" s="3">
        <v>45945</v>
      </c>
      <c r="G1388" s="4">
        <v>2126001000</v>
      </c>
      <c r="H1388">
        <f t="shared" si="63"/>
        <v>3600</v>
      </c>
      <c r="I1388">
        <f t="shared" si="64"/>
        <v>6.6666666666666666E-2</v>
      </c>
      <c r="J1388">
        <f t="shared" si="65"/>
        <v>240</v>
      </c>
    </row>
    <row r="1389" spans="1:10" ht="26.1" customHeight="1" x14ac:dyDescent="0.2">
      <c r="A1389" s="4">
        <v>3492</v>
      </c>
      <c r="B1389" s="2" t="s">
        <v>522</v>
      </c>
      <c r="C1389" s="2" t="s">
        <v>69</v>
      </c>
      <c r="D1389" s="2" t="s">
        <v>10</v>
      </c>
      <c r="E1389" s="2">
        <v>111111111</v>
      </c>
      <c r="F1389" s="3">
        <v>45945</v>
      </c>
      <c r="G1389" s="4">
        <v>2126001000</v>
      </c>
      <c r="H1389">
        <f t="shared" si="63"/>
        <v>3600</v>
      </c>
      <c r="I1389">
        <f t="shared" si="64"/>
        <v>6.6666666666666666E-2</v>
      </c>
      <c r="J1389">
        <f t="shared" si="65"/>
        <v>240</v>
      </c>
    </row>
    <row r="1390" spans="1:10" ht="26.1" customHeight="1" x14ac:dyDescent="0.2">
      <c r="A1390" s="4">
        <v>3493</v>
      </c>
      <c r="B1390" s="2" t="s">
        <v>522</v>
      </c>
      <c r="C1390" s="2" t="s">
        <v>69</v>
      </c>
      <c r="D1390" s="2" t="s">
        <v>10</v>
      </c>
      <c r="E1390" s="2">
        <v>111111111</v>
      </c>
      <c r="F1390" s="3">
        <v>45945</v>
      </c>
      <c r="G1390" s="4">
        <v>2126001000</v>
      </c>
      <c r="H1390">
        <f t="shared" si="63"/>
        <v>3600</v>
      </c>
      <c r="I1390">
        <f t="shared" si="64"/>
        <v>6.6666666666666666E-2</v>
      </c>
      <c r="J1390">
        <f t="shared" si="65"/>
        <v>240</v>
      </c>
    </row>
    <row r="1391" spans="1:10" ht="26.1" customHeight="1" x14ac:dyDescent="0.2">
      <c r="A1391" s="4">
        <v>3494</v>
      </c>
      <c r="B1391" s="2" t="s">
        <v>146</v>
      </c>
      <c r="C1391" s="2" t="s">
        <v>246</v>
      </c>
      <c r="D1391" s="2" t="s">
        <v>523</v>
      </c>
      <c r="E1391" s="2">
        <v>125003365</v>
      </c>
      <c r="F1391" s="3">
        <v>45952</v>
      </c>
      <c r="G1391" s="4">
        <v>3042088002</v>
      </c>
      <c r="H1391">
        <f t="shared" si="63"/>
        <v>3600</v>
      </c>
      <c r="I1391">
        <f t="shared" si="64"/>
        <v>6.6666666666666666E-2</v>
      </c>
      <c r="J1391">
        <f t="shared" si="65"/>
        <v>240</v>
      </c>
    </row>
    <row r="1392" spans="1:10" ht="26.1" customHeight="1" x14ac:dyDescent="0.2">
      <c r="A1392" s="4">
        <v>3495</v>
      </c>
      <c r="B1392" s="2" t="s">
        <v>100</v>
      </c>
      <c r="C1392" s="2" t="s">
        <v>524</v>
      </c>
      <c r="D1392" s="2" t="s">
        <v>525</v>
      </c>
      <c r="E1392" s="2">
        <v>35003125</v>
      </c>
      <c r="F1392" s="3">
        <v>45952</v>
      </c>
      <c r="G1392" s="4">
        <v>3042088002</v>
      </c>
      <c r="H1392">
        <f t="shared" si="63"/>
        <v>24</v>
      </c>
      <c r="I1392">
        <f t="shared" si="64"/>
        <v>1.1428571428571428</v>
      </c>
      <c r="J1392">
        <f t="shared" si="65"/>
        <v>27.428571428571427</v>
      </c>
    </row>
    <row r="1393" spans="1:10" ht="26.1" customHeight="1" x14ac:dyDescent="0.2">
      <c r="A1393" s="4">
        <v>3496</v>
      </c>
      <c r="B1393" s="2" t="s">
        <v>128</v>
      </c>
      <c r="C1393" s="2" t="s">
        <v>69</v>
      </c>
      <c r="D1393" s="2" t="s">
        <v>10</v>
      </c>
      <c r="E1393" s="2">
        <v>11111111111</v>
      </c>
      <c r="F1393" s="3">
        <v>45967</v>
      </c>
      <c r="G1393" s="4">
        <v>66011000</v>
      </c>
      <c r="H1393">
        <f t="shared" si="63"/>
        <v>24</v>
      </c>
      <c r="I1393">
        <f t="shared" si="64"/>
        <v>1.1428571428571428</v>
      </c>
      <c r="J1393">
        <f t="shared" si="65"/>
        <v>27.428571428571427</v>
      </c>
    </row>
    <row r="1394" spans="1:10" ht="26.1" customHeight="1" x14ac:dyDescent="0.2">
      <c r="A1394" s="4">
        <v>3497</v>
      </c>
      <c r="B1394" s="2" t="s">
        <v>128</v>
      </c>
      <c r="C1394" s="2" t="s">
        <v>69</v>
      </c>
      <c r="D1394" s="2" t="s">
        <v>10</v>
      </c>
      <c r="E1394" s="2">
        <v>111111111</v>
      </c>
      <c r="F1394" s="3">
        <v>45967</v>
      </c>
      <c r="G1394" s="4">
        <v>66011000</v>
      </c>
      <c r="H1394">
        <f t="shared" si="63"/>
        <v>24</v>
      </c>
      <c r="I1394">
        <f t="shared" si="64"/>
        <v>1.1428571428571428</v>
      </c>
      <c r="J1394">
        <f t="shared" si="65"/>
        <v>27.428571428571427</v>
      </c>
    </row>
    <row r="1395" spans="1:10" ht="26.1" customHeight="1" x14ac:dyDescent="0.2">
      <c r="A1395" s="4">
        <v>3498</v>
      </c>
      <c r="B1395" s="2" t="s">
        <v>522</v>
      </c>
      <c r="C1395" s="2" t="s">
        <v>69</v>
      </c>
      <c r="D1395" s="2" t="s">
        <v>10</v>
      </c>
      <c r="E1395" s="2">
        <v>11111111111</v>
      </c>
      <c r="F1395" s="3">
        <v>45972</v>
      </c>
      <c r="G1395" s="4">
        <v>3370003000</v>
      </c>
      <c r="H1395">
        <f t="shared" si="63"/>
        <v>24</v>
      </c>
      <c r="I1395">
        <f t="shared" si="64"/>
        <v>1.1428571428571428</v>
      </c>
      <c r="J1395">
        <f t="shared" si="65"/>
        <v>27.428571428571427</v>
      </c>
    </row>
    <row r="1396" spans="1:10" ht="26.1" customHeight="1" x14ac:dyDescent="0.2">
      <c r="A1396" s="4">
        <v>3499</v>
      </c>
      <c r="B1396" s="2" t="s">
        <v>522</v>
      </c>
      <c r="C1396" s="2" t="s">
        <v>69</v>
      </c>
      <c r="D1396" s="2" t="s">
        <v>10</v>
      </c>
      <c r="E1396" s="2">
        <v>111111111111</v>
      </c>
      <c r="F1396" s="3">
        <v>45972</v>
      </c>
      <c r="G1396" s="4">
        <v>3370003000</v>
      </c>
      <c r="H1396">
        <f t="shared" si="63"/>
        <v>24</v>
      </c>
      <c r="I1396">
        <f t="shared" si="64"/>
        <v>1.1428571428571428</v>
      </c>
      <c r="J1396">
        <f t="shared" si="65"/>
        <v>27.428571428571427</v>
      </c>
    </row>
    <row r="1397" spans="1:10" ht="39.200000000000003" customHeight="1" x14ac:dyDescent="0.2">
      <c r="A1397" s="4">
        <v>3500</v>
      </c>
      <c r="B1397" s="2" t="s">
        <v>535</v>
      </c>
      <c r="C1397" s="2" t="s">
        <v>536</v>
      </c>
      <c r="D1397" s="2" t="s">
        <v>537</v>
      </c>
      <c r="E1397" s="2" t="s">
        <v>538</v>
      </c>
      <c r="F1397" s="3">
        <v>45980</v>
      </c>
      <c r="G1397" s="4">
        <v>1925007000</v>
      </c>
      <c r="H1397">
        <f t="shared" si="63"/>
        <v>0</v>
      </c>
      <c r="I1397">
        <f t="shared" si="64"/>
        <v>5</v>
      </c>
      <c r="J1397">
        <f t="shared" si="65"/>
        <v>0</v>
      </c>
    </row>
    <row r="1398" spans="1:10" ht="26.1" customHeight="1" x14ac:dyDescent="0.2">
      <c r="A1398" s="4">
        <v>3501</v>
      </c>
      <c r="B1398" s="2" t="s">
        <v>539</v>
      </c>
      <c r="C1398" s="2" t="s">
        <v>536</v>
      </c>
      <c r="D1398" s="2" t="s">
        <v>540</v>
      </c>
      <c r="E1398" s="2">
        <v>111111111111</v>
      </c>
      <c r="F1398" s="3">
        <v>45980</v>
      </c>
      <c r="G1398" s="4">
        <v>1925007000</v>
      </c>
      <c r="H1398">
        <f t="shared" si="63"/>
        <v>0</v>
      </c>
      <c r="I1398">
        <f t="shared" si="64"/>
        <v>5</v>
      </c>
      <c r="J1398">
        <f t="shared" si="65"/>
        <v>0</v>
      </c>
    </row>
    <row r="1399" spans="1:10" ht="26.1" customHeight="1" x14ac:dyDescent="0.2">
      <c r="A1399" s="4">
        <v>3502</v>
      </c>
      <c r="B1399" s="2" t="s">
        <v>55</v>
      </c>
      <c r="C1399" s="2" t="s">
        <v>498</v>
      </c>
      <c r="D1399" s="2" t="s">
        <v>541</v>
      </c>
      <c r="E1399" s="2">
        <v>250701259</v>
      </c>
      <c r="F1399" s="3">
        <v>45987</v>
      </c>
      <c r="G1399" s="4">
        <v>2126010000</v>
      </c>
      <c r="H1399">
        <f t="shared" si="63"/>
        <v>0</v>
      </c>
      <c r="I1399">
        <f t="shared" si="64"/>
        <v>5</v>
      </c>
      <c r="J1399">
        <f t="shared" si="65"/>
        <v>0</v>
      </c>
    </row>
    <row r="1400" spans="1:10" ht="26.1" customHeight="1" x14ac:dyDescent="0.2">
      <c r="A1400" s="4">
        <v>3503</v>
      </c>
      <c r="B1400" s="2" t="s">
        <v>216</v>
      </c>
      <c r="C1400" s="2" t="s">
        <v>402</v>
      </c>
      <c r="D1400" s="2" t="s">
        <v>542</v>
      </c>
      <c r="E1400" s="2">
        <v>30197681</v>
      </c>
      <c r="F1400" s="3">
        <v>45988</v>
      </c>
      <c r="G1400" s="4">
        <v>3042088002</v>
      </c>
      <c r="H1400">
        <f t="shared" si="63"/>
        <v>0</v>
      </c>
      <c r="I1400">
        <f t="shared" si="64"/>
        <v>5</v>
      </c>
      <c r="J1400">
        <f t="shared" si="65"/>
        <v>0</v>
      </c>
    </row>
    <row r="1401" spans="1:10" ht="26.1" customHeight="1" x14ac:dyDescent="0.2">
      <c r="A1401" s="4">
        <v>3504</v>
      </c>
      <c r="B1401" s="2" t="s">
        <v>543</v>
      </c>
      <c r="C1401" s="2" t="s">
        <v>402</v>
      </c>
      <c r="D1401" s="2" t="s">
        <v>544</v>
      </c>
      <c r="E1401" s="2">
        <v>111111111111</v>
      </c>
      <c r="F1401" s="3">
        <v>45988</v>
      </c>
      <c r="G1401" s="4">
        <v>3042088002</v>
      </c>
      <c r="H1401">
        <f t="shared" si="63"/>
        <v>48</v>
      </c>
      <c r="I1401">
        <f t="shared" si="64"/>
        <v>5</v>
      </c>
      <c r="J1401">
        <f t="shared" si="65"/>
        <v>240</v>
      </c>
    </row>
    <row r="1402" spans="1:10" ht="26.1" customHeight="1" x14ac:dyDescent="0.2">
      <c r="A1402" s="4">
        <v>3505</v>
      </c>
      <c r="B1402" s="2" t="s">
        <v>123</v>
      </c>
      <c r="C1402" s="2" t="s">
        <v>545</v>
      </c>
      <c r="D1402" s="2" t="s">
        <v>546</v>
      </c>
      <c r="E1402" s="2">
        <v>-603989</v>
      </c>
      <c r="F1402" s="3">
        <v>45989</v>
      </c>
      <c r="G1402" s="4">
        <v>2126001000</v>
      </c>
      <c r="H1402">
        <f t="shared" si="63"/>
        <v>2200</v>
      </c>
      <c r="I1402">
        <f t="shared" si="64"/>
        <v>0.5714285714285714</v>
      </c>
      <c r="J1402">
        <f t="shared" si="65"/>
        <v>1257.1428571428571</v>
      </c>
    </row>
    <row r="1403" spans="1:10" ht="26.1" customHeight="1" x14ac:dyDescent="0.2">
      <c r="A1403" s="4">
        <v>3506</v>
      </c>
      <c r="B1403" s="2" t="s">
        <v>123</v>
      </c>
      <c r="C1403" s="2" t="s">
        <v>545</v>
      </c>
      <c r="D1403" s="2" t="s">
        <v>546</v>
      </c>
      <c r="E1403" s="2">
        <v>-603958</v>
      </c>
      <c r="F1403" s="3">
        <v>45989</v>
      </c>
      <c r="G1403" s="4">
        <v>1025000</v>
      </c>
      <c r="H1403">
        <f t="shared" si="63"/>
        <v>2200</v>
      </c>
      <c r="I1403">
        <f t="shared" si="64"/>
        <v>0.5714285714285714</v>
      </c>
      <c r="J1403">
        <f t="shared" si="65"/>
        <v>1257.1428571428571</v>
      </c>
    </row>
    <row r="1404" spans="1:10" ht="26.1" customHeight="1" x14ac:dyDescent="0.2">
      <c r="A1404" s="4">
        <v>3507</v>
      </c>
      <c r="B1404" s="2" t="s">
        <v>100</v>
      </c>
      <c r="C1404" s="2" t="s">
        <v>232</v>
      </c>
      <c r="D1404" s="2" t="s">
        <v>356</v>
      </c>
      <c r="E1404" s="2">
        <v>111111111111</v>
      </c>
      <c r="F1404" s="3">
        <v>45994</v>
      </c>
      <c r="G1404" s="4">
        <v>3135001000</v>
      </c>
      <c r="H1404">
        <f t="shared" si="63"/>
        <v>24</v>
      </c>
      <c r="I1404">
        <f t="shared" si="64"/>
        <v>0.5714285714285714</v>
      </c>
      <c r="J1404">
        <f t="shared" si="65"/>
        <v>13.714285714285714</v>
      </c>
    </row>
    <row r="1405" spans="1:10" ht="26.1" customHeight="1" x14ac:dyDescent="0.2">
      <c r="A1405" s="4">
        <v>3508</v>
      </c>
      <c r="B1405" s="2" t="s">
        <v>146</v>
      </c>
      <c r="C1405" s="2" t="s">
        <v>402</v>
      </c>
      <c r="D1405" s="2" t="s">
        <v>406</v>
      </c>
      <c r="E1405" s="2">
        <v>10958172</v>
      </c>
      <c r="F1405" s="3">
        <v>46000</v>
      </c>
      <c r="G1405" s="4">
        <v>3042088001</v>
      </c>
      <c r="H1405">
        <f t="shared" si="63"/>
        <v>24</v>
      </c>
      <c r="I1405">
        <f t="shared" si="64"/>
        <v>0.5714285714285714</v>
      </c>
      <c r="J1405">
        <f t="shared" si="65"/>
        <v>13.714285714285714</v>
      </c>
    </row>
    <row r="1406" spans="1:10" ht="26.1" customHeight="1" x14ac:dyDescent="0.2">
      <c r="A1406" s="4">
        <v>3509</v>
      </c>
      <c r="B1406" s="2" t="s">
        <v>100</v>
      </c>
      <c r="C1406" s="2" t="s">
        <v>402</v>
      </c>
      <c r="D1406" s="2" t="s">
        <v>547</v>
      </c>
      <c r="E1406" s="2" t="s">
        <v>548</v>
      </c>
      <c r="F1406" s="3">
        <v>46000</v>
      </c>
      <c r="G1406" s="4">
        <v>3042088001</v>
      </c>
      <c r="H1406">
        <f t="shared" si="63"/>
        <v>24</v>
      </c>
      <c r="I1406">
        <f t="shared" si="64"/>
        <v>0.5714285714285714</v>
      </c>
      <c r="J1406">
        <f t="shared" si="65"/>
        <v>13.714285714285714</v>
      </c>
    </row>
    <row r="1407" spans="1:10" ht="26.1" customHeight="1" x14ac:dyDescent="0.2">
      <c r="A1407" s="4">
        <v>3510</v>
      </c>
      <c r="B1407" s="2" t="s">
        <v>522</v>
      </c>
      <c r="C1407" s="2" t="s">
        <v>69</v>
      </c>
      <c r="D1407" s="2" t="s">
        <v>10</v>
      </c>
      <c r="E1407" s="2">
        <v>11111111111</v>
      </c>
      <c r="F1407" s="3">
        <v>46002</v>
      </c>
      <c r="G1407" s="4">
        <v>3182006000</v>
      </c>
      <c r="H1407">
        <f t="shared" si="63"/>
        <v>24</v>
      </c>
      <c r="I1407">
        <f t="shared" si="64"/>
        <v>0.5714285714285714</v>
      </c>
      <c r="J1407">
        <f t="shared" si="65"/>
        <v>13.714285714285714</v>
      </c>
    </row>
    <row r="1408" spans="1:10" ht="26.1" customHeight="1" x14ac:dyDescent="0.2">
      <c r="A1408" s="4">
        <v>3511</v>
      </c>
      <c r="B1408" s="2" t="s">
        <v>522</v>
      </c>
      <c r="C1408" s="2" t="s">
        <v>69</v>
      </c>
      <c r="D1408" s="2" t="s">
        <v>10</v>
      </c>
      <c r="E1408" s="2">
        <v>11111111111</v>
      </c>
      <c r="F1408" s="3">
        <v>46002</v>
      </c>
      <c r="G1408" s="4">
        <v>3182006000</v>
      </c>
      <c r="H1408">
        <f t="shared" si="63"/>
        <v>24</v>
      </c>
      <c r="I1408">
        <f t="shared" si="64"/>
        <v>0.5714285714285714</v>
      </c>
      <c r="J1408">
        <f t="shared" si="65"/>
        <v>13.714285714285714</v>
      </c>
    </row>
    <row r="1409" spans="1:10" ht="26.1" customHeight="1" x14ac:dyDescent="0.2">
      <c r="A1409" s="4">
        <v>3512</v>
      </c>
      <c r="B1409" s="2" t="s">
        <v>522</v>
      </c>
      <c r="C1409" s="2" t="s">
        <v>69</v>
      </c>
      <c r="D1409" s="2" t="s">
        <v>10</v>
      </c>
      <c r="E1409" s="2">
        <v>11111111111</v>
      </c>
      <c r="F1409" s="3">
        <v>45973</v>
      </c>
      <c r="G1409" s="4">
        <v>165001000</v>
      </c>
      <c r="H1409">
        <f t="shared" si="63"/>
        <v>24</v>
      </c>
      <c r="I1409">
        <f t="shared" si="64"/>
        <v>0.5714285714285714</v>
      </c>
      <c r="J1409">
        <f t="shared" si="65"/>
        <v>13.714285714285714</v>
      </c>
    </row>
    <row r="1410" spans="1:10" ht="26.1" customHeight="1" x14ac:dyDescent="0.2">
      <c r="A1410" s="4">
        <v>3513</v>
      </c>
      <c r="B1410" s="2" t="s">
        <v>522</v>
      </c>
      <c r="C1410" s="2" t="s">
        <v>69</v>
      </c>
      <c r="D1410" s="2" t="s">
        <v>10</v>
      </c>
      <c r="E1410" s="2">
        <v>11111111111</v>
      </c>
      <c r="F1410" s="3">
        <v>46002</v>
      </c>
      <c r="G1410" s="4">
        <v>165001000</v>
      </c>
      <c r="H1410">
        <f t="shared" ref="H1410:H1473" si="66">VLOOKUP(A1410,O:P,2)</f>
        <v>24</v>
      </c>
      <c r="I1410">
        <f t="shared" ref="I1410:I1473" si="67">VLOOKUP(A1410,R:S,2)</f>
        <v>0.5714285714285714</v>
      </c>
      <c r="J1410">
        <f t="shared" ref="J1410:J1473" si="68">H1410*I1410</f>
        <v>13.714285714285714</v>
      </c>
    </row>
    <row r="1411" spans="1:10" ht="26.1" customHeight="1" x14ac:dyDescent="0.2">
      <c r="A1411" s="4">
        <v>3514</v>
      </c>
      <c r="B1411" s="2" t="s">
        <v>522</v>
      </c>
      <c r="C1411" s="2" t="s">
        <v>69</v>
      </c>
      <c r="D1411" s="2" t="s">
        <v>10</v>
      </c>
      <c r="E1411" s="2">
        <v>11111111111</v>
      </c>
      <c r="F1411" s="3">
        <v>46002</v>
      </c>
      <c r="G1411" s="4">
        <v>2548013000</v>
      </c>
      <c r="H1411">
        <f t="shared" si="66"/>
        <v>24</v>
      </c>
      <c r="I1411">
        <f t="shared" si="67"/>
        <v>0.5714285714285714</v>
      </c>
      <c r="J1411">
        <f t="shared" si="68"/>
        <v>13.714285714285714</v>
      </c>
    </row>
    <row r="1412" spans="1:10" ht="15" customHeight="1" x14ac:dyDescent="0.2">
      <c r="A1412" s="4">
        <v>3515</v>
      </c>
      <c r="B1412" s="2" t="s">
        <v>13</v>
      </c>
      <c r="C1412" s="2" t="s">
        <v>279</v>
      </c>
      <c r="D1412" s="2" t="s">
        <v>419</v>
      </c>
      <c r="E1412" s="2">
        <v>12217</v>
      </c>
      <c r="F1412" s="3">
        <v>46006</v>
      </c>
      <c r="G1412" s="4">
        <v>3182006000</v>
      </c>
      <c r="H1412">
        <f t="shared" si="66"/>
        <v>0</v>
      </c>
      <c r="I1412">
        <f t="shared" si="67"/>
        <v>3</v>
      </c>
      <c r="J1412">
        <f t="shared" si="68"/>
        <v>0</v>
      </c>
    </row>
    <row r="1413" spans="1:10" ht="26.1" customHeight="1" x14ac:dyDescent="0.2">
      <c r="A1413" s="4">
        <v>3516</v>
      </c>
      <c r="B1413" s="2" t="s">
        <v>13</v>
      </c>
      <c r="C1413" s="2" t="s">
        <v>226</v>
      </c>
      <c r="D1413" s="2" t="s">
        <v>282</v>
      </c>
      <c r="E1413" s="2" t="s">
        <v>549</v>
      </c>
      <c r="F1413" s="3">
        <v>46031</v>
      </c>
      <c r="G1413" s="4">
        <v>66011000</v>
      </c>
      <c r="H1413">
        <f t="shared" si="66"/>
        <v>1000</v>
      </c>
      <c r="I1413">
        <f t="shared" si="67"/>
        <v>0.42857142857142855</v>
      </c>
      <c r="J1413">
        <f t="shared" si="68"/>
        <v>428.57142857142856</v>
      </c>
    </row>
    <row r="1414" spans="1:10" ht="26.1" customHeight="1" x14ac:dyDescent="0.2">
      <c r="A1414" s="4">
        <v>3517</v>
      </c>
      <c r="B1414" s="2" t="s">
        <v>13</v>
      </c>
      <c r="C1414" s="2" t="s">
        <v>226</v>
      </c>
      <c r="D1414" s="2" t="s">
        <v>282</v>
      </c>
      <c r="E1414" s="2" t="s">
        <v>550</v>
      </c>
      <c r="F1414" s="3">
        <v>46031</v>
      </c>
      <c r="G1414" s="4">
        <v>66011000</v>
      </c>
      <c r="H1414">
        <f t="shared" si="66"/>
        <v>1000</v>
      </c>
      <c r="I1414">
        <f t="shared" si="67"/>
        <v>0.42857142857142855</v>
      </c>
      <c r="J1414">
        <f t="shared" si="68"/>
        <v>428.57142857142856</v>
      </c>
    </row>
    <row r="1415" spans="1:10" ht="15" customHeight="1" x14ac:dyDescent="0.2">
      <c r="A1415" s="4">
        <v>3518</v>
      </c>
      <c r="B1415" s="2" t="s">
        <v>146</v>
      </c>
      <c r="C1415" s="2" t="s">
        <v>246</v>
      </c>
      <c r="D1415" s="2" t="s">
        <v>523</v>
      </c>
      <c r="E1415" s="2">
        <v>3371</v>
      </c>
      <c r="F1415" s="3">
        <v>46044</v>
      </c>
      <c r="G1415" s="4">
        <v>3379001000</v>
      </c>
      <c r="H1415">
        <f t="shared" si="66"/>
        <v>1000</v>
      </c>
      <c r="I1415">
        <f t="shared" si="67"/>
        <v>0.2857142857142857</v>
      </c>
      <c r="J1415">
        <f t="shared" si="68"/>
        <v>285.71428571428572</v>
      </c>
    </row>
    <row r="1416" spans="1:10" ht="26.1" customHeight="1" x14ac:dyDescent="0.2">
      <c r="A1416" s="4">
        <v>3519</v>
      </c>
      <c r="B1416" s="2" t="s">
        <v>100</v>
      </c>
      <c r="C1416" s="2" t="s">
        <v>524</v>
      </c>
      <c r="D1416" s="2" t="s">
        <v>525</v>
      </c>
      <c r="E1416" s="2" t="s">
        <v>551</v>
      </c>
      <c r="F1416" s="3">
        <v>46044</v>
      </c>
      <c r="G1416" s="4">
        <v>3379001000</v>
      </c>
      <c r="H1416">
        <f t="shared" si="66"/>
        <v>24</v>
      </c>
      <c r="I1416">
        <f t="shared" si="67"/>
        <v>0.2857142857142857</v>
      </c>
      <c r="J1416">
        <f t="shared" si="68"/>
        <v>6.8571428571428568</v>
      </c>
    </row>
    <row r="1417" spans="1:10" ht="26.1" customHeight="1" x14ac:dyDescent="0.2">
      <c r="A1417" s="4">
        <v>3520</v>
      </c>
      <c r="B1417" s="2" t="s">
        <v>150</v>
      </c>
      <c r="C1417" s="2" t="s">
        <v>80</v>
      </c>
      <c r="D1417" s="2" t="s">
        <v>270</v>
      </c>
      <c r="E1417" s="2" t="s">
        <v>552</v>
      </c>
      <c r="F1417" s="3">
        <v>46044</v>
      </c>
      <c r="G1417" s="4">
        <v>1000002</v>
      </c>
      <c r="H1417">
        <f t="shared" si="66"/>
        <v>24</v>
      </c>
      <c r="I1417">
        <f t="shared" si="67"/>
        <v>0.2857142857142857</v>
      </c>
      <c r="J1417">
        <f t="shared" si="68"/>
        <v>6.8571428571428568</v>
      </c>
    </row>
    <row r="1418" spans="1:10" ht="15" customHeight="1" x14ac:dyDescent="0.2">
      <c r="A1418" s="4">
        <v>3521</v>
      </c>
      <c r="B1418" s="2" t="s">
        <v>146</v>
      </c>
      <c r="C1418" s="2" t="s">
        <v>246</v>
      </c>
      <c r="D1418" s="2" t="s">
        <v>523</v>
      </c>
      <c r="E1418" s="2">
        <v>3370</v>
      </c>
      <c r="F1418" s="3">
        <v>46049</v>
      </c>
      <c r="G1418" s="4">
        <v>3076003000</v>
      </c>
      <c r="H1418">
        <f t="shared" si="66"/>
        <v>24</v>
      </c>
      <c r="I1418">
        <f t="shared" si="67"/>
        <v>0.2857142857142857</v>
      </c>
      <c r="J1418">
        <f t="shared" si="68"/>
        <v>6.8571428571428568</v>
      </c>
    </row>
    <row r="1419" spans="1:10" ht="26.1" customHeight="1" x14ac:dyDescent="0.2">
      <c r="A1419" s="4">
        <v>3522</v>
      </c>
      <c r="B1419" s="2" t="s">
        <v>100</v>
      </c>
      <c r="C1419" s="2" t="s">
        <v>524</v>
      </c>
      <c r="D1419" s="2" t="s">
        <v>525</v>
      </c>
      <c r="E1419" s="2" t="s">
        <v>551</v>
      </c>
      <c r="F1419" s="3">
        <v>46049</v>
      </c>
      <c r="G1419" s="4">
        <v>3076003000</v>
      </c>
      <c r="H1419">
        <f t="shared" si="66"/>
        <v>24</v>
      </c>
      <c r="I1419">
        <f t="shared" si="67"/>
        <v>0.2857142857142857</v>
      </c>
      <c r="J1419">
        <f t="shared" si="68"/>
        <v>6.8571428571428568</v>
      </c>
    </row>
    <row r="1420" spans="1:10" ht="26.1" customHeight="1" x14ac:dyDescent="0.2">
      <c r="A1420" s="4">
        <v>3523</v>
      </c>
      <c r="B1420" s="2" t="s">
        <v>123</v>
      </c>
      <c r="C1420" s="2" t="s">
        <v>545</v>
      </c>
      <c r="D1420" s="2" t="s">
        <v>546</v>
      </c>
      <c r="E1420" s="2" t="s">
        <v>553</v>
      </c>
      <c r="F1420" s="3">
        <v>46052</v>
      </c>
      <c r="G1420" s="4">
        <v>3379001000</v>
      </c>
      <c r="H1420">
        <f t="shared" si="66"/>
        <v>2200</v>
      </c>
      <c r="I1420">
        <f t="shared" si="67"/>
        <v>0.2857142857142857</v>
      </c>
      <c r="J1420">
        <f t="shared" si="68"/>
        <v>628.57142857142856</v>
      </c>
    </row>
    <row r="1421" spans="1:10" ht="52.15" customHeight="1" x14ac:dyDescent="0.2">
      <c r="A1421" s="4">
        <v>3524</v>
      </c>
      <c r="B1421" s="2" t="s">
        <v>325</v>
      </c>
      <c r="C1421" s="2" t="s">
        <v>353</v>
      </c>
      <c r="D1421" s="2" t="s">
        <v>554</v>
      </c>
      <c r="E1421" s="2" t="s">
        <v>555</v>
      </c>
      <c r="F1421" s="3">
        <v>46059</v>
      </c>
      <c r="G1421" s="4">
        <v>66011000</v>
      </c>
      <c r="H1421">
        <f t="shared" si="66"/>
        <v>2200</v>
      </c>
      <c r="I1421">
        <f t="shared" si="67"/>
        <v>0.2857142857142857</v>
      </c>
      <c r="J1421">
        <f t="shared" si="68"/>
        <v>628.57142857142856</v>
      </c>
    </row>
    <row r="1422" spans="1:10" ht="26.1" customHeight="1" x14ac:dyDescent="0.2">
      <c r="A1422" s="4">
        <v>3525</v>
      </c>
      <c r="B1422" s="2" t="s">
        <v>522</v>
      </c>
      <c r="C1422" s="2" t="s">
        <v>69</v>
      </c>
      <c r="D1422" s="2" t="s">
        <v>10</v>
      </c>
      <c r="E1422" s="2">
        <v>1111111111</v>
      </c>
      <c r="F1422" s="3">
        <v>46059</v>
      </c>
      <c r="G1422" s="4">
        <v>165001000</v>
      </c>
      <c r="H1422">
        <f t="shared" si="66"/>
        <v>2200</v>
      </c>
      <c r="I1422">
        <f t="shared" si="67"/>
        <v>0.2857142857142857</v>
      </c>
      <c r="J1422">
        <f t="shared" si="68"/>
        <v>628.57142857142856</v>
      </c>
    </row>
    <row r="1423" spans="1:10" ht="26.1" customHeight="1" x14ac:dyDescent="0.2">
      <c r="A1423" s="4">
        <v>3526</v>
      </c>
      <c r="B1423" s="2" t="s">
        <v>522</v>
      </c>
      <c r="C1423" s="2" t="s">
        <v>69</v>
      </c>
      <c r="D1423" s="2" t="s">
        <v>10</v>
      </c>
      <c r="E1423" s="2">
        <v>111111111</v>
      </c>
      <c r="F1423" s="3">
        <v>46059</v>
      </c>
      <c r="G1423" s="4">
        <v>165001000</v>
      </c>
      <c r="H1423">
        <f t="shared" si="66"/>
        <v>2200</v>
      </c>
      <c r="I1423">
        <f t="shared" si="67"/>
        <v>0.2857142857142857</v>
      </c>
      <c r="J1423">
        <f t="shared" si="68"/>
        <v>628.57142857142856</v>
      </c>
    </row>
    <row r="1424" spans="1:10" ht="26.1" customHeight="1" x14ac:dyDescent="0.2">
      <c r="A1424" s="4">
        <v>3527</v>
      </c>
      <c r="B1424" s="2" t="s">
        <v>522</v>
      </c>
      <c r="C1424" s="2" t="s">
        <v>69</v>
      </c>
      <c r="D1424" s="2" t="s">
        <v>10</v>
      </c>
      <c r="E1424" s="2">
        <v>1111111111</v>
      </c>
      <c r="F1424" s="3">
        <v>46059</v>
      </c>
      <c r="G1424" s="4">
        <v>165001000</v>
      </c>
      <c r="H1424">
        <f t="shared" si="66"/>
        <v>2200</v>
      </c>
      <c r="I1424">
        <f t="shared" si="67"/>
        <v>0.2857142857142857</v>
      </c>
      <c r="J1424">
        <f t="shared" si="68"/>
        <v>628.57142857142856</v>
      </c>
    </row>
    <row r="1425" spans="1:10" ht="26.1" customHeight="1" x14ac:dyDescent="0.2">
      <c r="A1425" s="4">
        <v>3528</v>
      </c>
      <c r="B1425" s="2" t="s">
        <v>522</v>
      </c>
      <c r="C1425" s="2" t="s">
        <v>69</v>
      </c>
      <c r="D1425" s="2" t="s">
        <v>10</v>
      </c>
      <c r="E1425" s="2">
        <v>11111111111</v>
      </c>
      <c r="F1425" s="3">
        <v>46059</v>
      </c>
      <c r="G1425" s="4">
        <v>165001000</v>
      </c>
      <c r="H1425">
        <f t="shared" si="66"/>
        <v>2200</v>
      </c>
      <c r="I1425">
        <f t="shared" si="67"/>
        <v>0.2857142857142857</v>
      </c>
      <c r="J1425">
        <f t="shared" si="68"/>
        <v>628.57142857142856</v>
      </c>
    </row>
    <row r="1426" spans="1:10" ht="26.1" customHeight="1" x14ac:dyDescent="0.2">
      <c r="A1426" s="4">
        <v>3529</v>
      </c>
      <c r="B1426" s="2" t="s">
        <v>13</v>
      </c>
      <c r="C1426" s="2" t="s">
        <v>226</v>
      </c>
      <c r="D1426" s="2" t="s">
        <v>282</v>
      </c>
      <c r="E1426" s="2" t="s">
        <v>556</v>
      </c>
      <c r="F1426" s="3">
        <v>46071</v>
      </c>
      <c r="G1426" s="4">
        <v>3379001000</v>
      </c>
      <c r="H1426">
        <f t="shared" si="66"/>
        <v>0</v>
      </c>
      <c r="I1426">
        <f t="shared" si="67"/>
        <v>0.2857142857142857</v>
      </c>
      <c r="J1426">
        <f t="shared" si="68"/>
        <v>0</v>
      </c>
    </row>
    <row r="1427" spans="1:10" ht="39.200000000000003" customHeight="1" x14ac:dyDescent="0.2">
      <c r="A1427" s="4">
        <v>3530</v>
      </c>
      <c r="B1427" s="2" t="s">
        <v>496</v>
      </c>
      <c r="C1427" s="2" t="s">
        <v>226</v>
      </c>
      <c r="D1427" s="2" t="s">
        <v>502</v>
      </c>
      <c r="E1427" s="2">
        <v>5310252300004</v>
      </c>
      <c r="F1427" s="3">
        <v>46071</v>
      </c>
      <c r="G1427" s="4">
        <v>3042058001</v>
      </c>
      <c r="H1427">
        <f t="shared" si="66"/>
        <v>0</v>
      </c>
      <c r="I1427">
        <f t="shared" si="67"/>
        <v>0.2857142857142857</v>
      </c>
      <c r="J1427">
        <f t="shared" si="68"/>
        <v>0</v>
      </c>
    </row>
    <row r="1428" spans="1:10" ht="39.200000000000003" customHeight="1" x14ac:dyDescent="0.2">
      <c r="A1428" s="4">
        <v>3531</v>
      </c>
      <c r="B1428" s="2" t="s">
        <v>496</v>
      </c>
      <c r="C1428" s="2" t="s">
        <v>226</v>
      </c>
      <c r="D1428" s="2" t="s">
        <v>502</v>
      </c>
      <c r="E1428" s="2">
        <v>5310252300003</v>
      </c>
      <c r="F1428" s="3">
        <v>46071</v>
      </c>
      <c r="G1428" s="4">
        <v>3042058001</v>
      </c>
      <c r="H1428">
        <f t="shared" si="66"/>
        <v>0</v>
      </c>
      <c r="I1428">
        <f t="shared" si="67"/>
        <v>0.2857142857142857</v>
      </c>
      <c r="J1428">
        <f t="shared" si="68"/>
        <v>0</v>
      </c>
    </row>
    <row r="1429" spans="1:10" ht="26.1" customHeight="1" x14ac:dyDescent="0.2">
      <c r="A1429" s="4">
        <v>3532</v>
      </c>
      <c r="B1429" s="2" t="s">
        <v>522</v>
      </c>
      <c r="C1429" s="2" t="s">
        <v>69</v>
      </c>
      <c r="D1429" s="2" t="s">
        <v>10</v>
      </c>
      <c r="E1429" s="2">
        <v>1111111111</v>
      </c>
      <c r="F1429" s="3">
        <v>46071</v>
      </c>
      <c r="G1429" s="4">
        <v>1068013000</v>
      </c>
      <c r="H1429">
        <f t="shared" si="66"/>
        <v>0</v>
      </c>
      <c r="I1429">
        <f t="shared" si="67"/>
        <v>0.2857142857142857</v>
      </c>
      <c r="J1429">
        <f t="shared" si="68"/>
        <v>0</v>
      </c>
    </row>
    <row r="1430" spans="1:10" ht="26.1" customHeight="1" x14ac:dyDescent="0.2">
      <c r="A1430" s="4">
        <v>3533</v>
      </c>
      <c r="B1430" s="2" t="s">
        <v>522</v>
      </c>
      <c r="C1430" s="2" t="s">
        <v>69</v>
      </c>
      <c r="D1430" s="2" t="s">
        <v>10</v>
      </c>
      <c r="E1430" s="2">
        <v>1111111111</v>
      </c>
      <c r="F1430" s="3">
        <v>46071</v>
      </c>
      <c r="G1430" s="4">
        <v>1068013000</v>
      </c>
      <c r="H1430">
        <f t="shared" si="66"/>
        <v>0</v>
      </c>
      <c r="I1430">
        <f t="shared" si="67"/>
        <v>0.2857142857142857</v>
      </c>
      <c r="J1430">
        <f t="shared" si="68"/>
        <v>0</v>
      </c>
    </row>
    <row r="1431" spans="1:10" ht="26.1" customHeight="1" x14ac:dyDescent="0.2">
      <c r="A1431" s="4">
        <v>3534</v>
      </c>
      <c r="B1431" s="2" t="s">
        <v>522</v>
      </c>
      <c r="C1431" s="2" t="s">
        <v>69</v>
      </c>
      <c r="D1431" s="2" t="s">
        <v>10</v>
      </c>
      <c r="E1431" s="2">
        <v>111111111111</v>
      </c>
      <c r="F1431" s="3">
        <v>46071</v>
      </c>
      <c r="G1431" s="4">
        <v>1068013000</v>
      </c>
      <c r="H1431">
        <f t="shared" si="66"/>
        <v>0</v>
      </c>
      <c r="I1431">
        <f t="shared" si="67"/>
        <v>0.2857142857142857</v>
      </c>
      <c r="J1431">
        <f t="shared" si="68"/>
        <v>0</v>
      </c>
    </row>
    <row r="1432" spans="1:10" ht="26.1" customHeight="1" x14ac:dyDescent="0.2">
      <c r="A1432" s="4">
        <v>3535</v>
      </c>
      <c r="B1432" s="2" t="s">
        <v>128</v>
      </c>
      <c r="C1432" s="2" t="s">
        <v>69</v>
      </c>
      <c r="D1432" s="2" t="s">
        <v>10</v>
      </c>
      <c r="E1432" s="2">
        <v>1111111111</v>
      </c>
      <c r="F1432" s="3">
        <v>46072</v>
      </c>
      <c r="G1432" s="4">
        <v>1014001</v>
      </c>
      <c r="H1432">
        <f t="shared" si="66"/>
        <v>0</v>
      </c>
      <c r="I1432">
        <f t="shared" si="67"/>
        <v>0.2857142857142857</v>
      </c>
      <c r="J1432">
        <f t="shared" si="68"/>
        <v>0</v>
      </c>
    </row>
    <row r="1433" spans="1:10" ht="26.1" customHeight="1" x14ac:dyDescent="0.2">
      <c r="A1433" s="4">
        <v>3536</v>
      </c>
      <c r="B1433" s="2" t="s">
        <v>557</v>
      </c>
      <c r="C1433" s="2" t="s">
        <v>558</v>
      </c>
      <c r="D1433" s="2" t="s">
        <v>559</v>
      </c>
      <c r="E1433" s="2" t="s">
        <v>560</v>
      </c>
      <c r="F1433" s="3">
        <v>46072</v>
      </c>
      <c r="G1433" s="4">
        <v>66011000</v>
      </c>
      <c r="H1433">
        <f t="shared" si="66"/>
        <v>0</v>
      </c>
      <c r="I1433">
        <f t="shared" si="67"/>
        <v>0.2857142857142857</v>
      </c>
      <c r="J1433">
        <f t="shared" si="68"/>
        <v>0</v>
      </c>
    </row>
    <row r="1434" spans="1:10" ht="26.1" customHeight="1" x14ac:dyDescent="0.2">
      <c r="A1434" s="4">
        <v>3537</v>
      </c>
      <c r="B1434" s="2" t="s">
        <v>522</v>
      </c>
      <c r="C1434" s="2" t="s">
        <v>69</v>
      </c>
      <c r="D1434" s="2" t="s">
        <v>10</v>
      </c>
      <c r="E1434" s="2">
        <v>1111111111</v>
      </c>
      <c r="F1434" s="3">
        <v>46084</v>
      </c>
      <c r="G1434" s="4">
        <v>153002000</v>
      </c>
      <c r="H1434">
        <f t="shared" si="66"/>
        <v>0</v>
      </c>
      <c r="I1434">
        <f t="shared" si="67"/>
        <v>0.2857142857142857</v>
      </c>
      <c r="J1434">
        <f t="shared" si="68"/>
        <v>0</v>
      </c>
    </row>
    <row r="1435" spans="1:10" ht="26.1" customHeight="1" x14ac:dyDescent="0.2">
      <c r="A1435" s="4">
        <v>3538</v>
      </c>
      <c r="B1435" s="2" t="s">
        <v>522</v>
      </c>
      <c r="C1435" s="2" t="s">
        <v>69</v>
      </c>
      <c r="D1435" s="2" t="s">
        <v>10</v>
      </c>
      <c r="E1435" s="2">
        <v>1111111111</v>
      </c>
      <c r="F1435" s="3">
        <v>46084</v>
      </c>
      <c r="G1435" s="4">
        <v>153002000</v>
      </c>
      <c r="H1435">
        <f t="shared" si="66"/>
        <v>0</v>
      </c>
      <c r="I1435">
        <f t="shared" si="67"/>
        <v>0.2857142857142857</v>
      </c>
      <c r="J1435">
        <f t="shared" si="68"/>
        <v>0</v>
      </c>
    </row>
    <row r="1436" spans="1:10" ht="26.1" customHeight="1" x14ac:dyDescent="0.2">
      <c r="A1436" s="4">
        <v>3539</v>
      </c>
      <c r="B1436" s="2" t="s">
        <v>522</v>
      </c>
      <c r="C1436" s="2" t="s">
        <v>69</v>
      </c>
      <c r="D1436" s="2" t="s">
        <v>10</v>
      </c>
      <c r="E1436" s="2">
        <v>1111111111</v>
      </c>
      <c r="F1436" s="3">
        <v>46084</v>
      </c>
      <c r="G1436" s="4">
        <v>153002000</v>
      </c>
      <c r="H1436">
        <f t="shared" si="66"/>
        <v>0</v>
      </c>
      <c r="I1436">
        <f t="shared" si="67"/>
        <v>0.2857142857142857</v>
      </c>
      <c r="J1436">
        <f t="shared" si="68"/>
        <v>0</v>
      </c>
    </row>
    <row r="1437" spans="1:10" ht="26.1" customHeight="1" x14ac:dyDescent="0.2">
      <c r="A1437" s="4">
        <v>3540</v>
      </c>
      <c r="B1437" s="2" t="s">
        <v>522</v>
      </c>
      <c r="C1437" s="2" t="s">
        <v>69</v>
      </c>
      <c r="D1437" s="2" t="s">
        <v>10</v>
      </c>
      <c r="E1437" s="2">
        <v>1111111111</v>
      </c>
      <c r="F1437" s="3">
        <v>46079</v>
      </c>
      <c r="G1437" s="4">
        <v>2126013000</v>
      </c>
      <c r="H1437">
        <f t="shared" si="66"/>
        <v>0</v>
      </c>
      <c r="I1437">
        <f t="shared" si="67"/>
        <v>0.2857142857142857</v>
      </c>
      <c r="J1437">
        <f t="shared" si="68"/>
        <v>0</v>
      </c>
    </row>
    <row r="1438" spans="1:10" ht="26.1" customHeight="1" x14ac:dyDescent="0.2">
      <c r="A1438" s="4">
        <v>3541</v>
      </c>
      <c r="B1438" s="2" t="s">
        <v>522</v>
      </c>
      <c r="C1438" s="2" t="s">
        <v>69</v>
      </c>
      <c r="D1438" s="2" t="s">
        <v>10</v>
      </c>
      <c r="E1438" s="2">
        <v>1111111111</v>
      </c>
      <c r="F1438" s="3">
        <v>46098</v>
      </c>
      <c r="G1438" s="4">
        <v>2126001000</v>
      </c>
      <c r="H1438">
        <f t="shared" si="66"/>
        <v>0</v>
      </c>
      <c r="I1438">
        <f t="shared" si="67"/>
        <v>0.2857142857142857</v>
      </c>
      <c r="J1438">
        <f t="shared" si="68"/>
        <v>0</v>
      </c>
    </row>
    <row r="1439" spans="1:10" ht="26.1" customHeight="1" x14ac:dyDescent="0.2">
      <c r="A1439" s="4">
        <v>3542</v>
      </c>
      <c r="B1439" s="2" t="s">
        <v>522</v>
      </c>
      <c r="C1439" s="2" t="s">
        <v>69</v>
      </c>
      <c r="D1439" s="2" t="s">
        <v>10</v>
      </c>
      <c r="E1439" s="2">
        <v>1111111111</v>
      </c>
      <c r="F1439" s="3">
        <v>46098</v>
      </c>
      <c r="G1439" s="4">
        <v>2126001000</v>
      </c>
      <c r="H1439">
        <f t="shared" si="66"/>
        <v>0</v>
      </c>
      <c r="I1439">
        <f t="shared" si="67"/>
        <v>0.2857142857142857</v>
      </c>
      <c r="J1439">
        <f t="shared" si="68"/>
        <v>0</v>
      </c>
    </row>
    <row r="1440" spans="1:10" ht="26.1" customHeight="1" x14ac:dyDescent="0.2">
      <c r="A1440" s="4">
        <v>3543</v>
      </c>
      <c r="B1440" s="2" t="s">
        <v>522</v>
      </c>
      <c r="C1440" s="2" t="s">
        <v>69</v>
      </c>
      <c r="D1440" s="2" t="s">
        <v>10</v>
      </c>
      <c r="E1440" s="2">
        <v>1111111111</v>
      </c>
      <c r="F1440" s="3">
        <v>46098</v>
      </c>
      <c r="G1440" s="4">
        <v>2126001000</v>
      </c>
      <c r="H1440">
        <f t="shared" si="66"/>
        <v>0</v>
      </c>
      <c r="I1440">
        <f t="shared" si="67"/>
        <v>0.2857142857142857</v>
      </c>
      <c r="J1440">
        <f t="shared" si="68"/>
        <v>0</v>
      </c>
    </row>
    <row r="1441" spans="1:10" ht="26.1" customHeight="1" x14ac:dyDescent="0.2">
      <c r="A1441" s="4">
        <v>3544</v>
      </c>
      <c r="B1441" s="2" t="s">
        <v>522</v>
      </c>
      <c r="C1441" s="2" t="s">
        <v>69</v>
      </c>
      <c r="D1441" s="2" t="s">
        <v>10</v>
      </c>
      <c r="E1441" s="2">
        <v>1111111111</v>
      </c>
      <c r="F1441" s="3">
        <v>46098</v>
      </c>
      <c r="G1441" s="4">
        <v>2126001000</v>
      </c>
      <c r="H1441">
        <f t="shared" si="66"/>
        <v>0</v>
      </c>
      <c r="I1441">
        <f t="shared" si="67"/>
        <v>0.2857142857142857</v>
      </c>
      <c r="J1441">
        <f t="shared" si="68"/>
        <v>0</v>
      </c>
    </row>
    <row r="1442" spans="1:10" ht="26.1" customHeight="1" x14ac:dyDescent="0.2">
      <c r="A1442" s="4">
        <v>3545</v>
      </c>
      <c r="B1442" s="2" t="s">
        <v>522</v>
      </c>
      <c r="C1442" s="2" t="s">
        <v>69</v>
      </c>
      <c r="D1442" s="2" t="s">
        <v>10</v>
      </c>
      <c r="E1442" s="2">
        <v>1111111111</v>
      </c>
      <c r="F1442" s="3">
        <v>46098</v>
      </c>
      <c r="G1442" s="4">
        <v>2126001000</v>
      </c>
      <c r="H1442">
        <f t="shared" si="66"/>
        <v>0</v>
      </c>
      <c r="I1442">
        <f t="shared" si="67"/>
        <v>0.2857142857142857</v>
      </c>
      <c r="J1442">
        <f t="shared" si="68"/>
        <v>0</v>
      </c>
    </row>
    <row r="1443" spans="1:10" ht="39.200000000000003" customHeight="1" x14ac:dyDescent="0.2">
      <c r="A1443" s="4">
        <v>3546</v>
      </c>
      <c r="B1443" s="2" t="s">
        <v>146</v>
      </c>
      <c r="C1443" s="2" t="s">
        <v>246</v>
      </c>
      <c r="D1443" s="2" t="s">
        <v>523</v>
      </c>
      <c r="E1443" s="2" t="s">
        <v>561</v>
      </c>
      <c r="F1443" s="3">
        <v>46100</v>
      </c>
      <c r="G1443" s="4">
        <v>165001000</v>
      </c>
      <c r="H1443">
        <f t="shared" si="66"/>
        <v>0</v>
      </c>
      <c r="I1443">
        <f t="shared" si="67"/>
        <v>0.2857142857142857</v>
      </c>
      <c r="J1443">
        <f t="shared" si="68"/>
        <v>0</v>
      </c>
    </row>
    <row r="1444" spans="1:10" ht="39.200000000000003" customHeight="1" x14ac:dyDescent="0.2">
      <c r="A1444" s="4">
        <v>3547</v>
      </c>
      <c r="B1444" s="2" t="s">
        <v>100</v>
      </c>
      <c r="C1444" s="2" t="s">
        <v>524</v>
      </c>
      <c r="D1444" s="2" t="s">
        <v>525</v>
      </c>
      <c r="E1444" s="2" t="s">
        <v>561</v>
      </c>
      <c r="F1444" s="3">
        <v>46100</v>
      </c>
      <c r="G1444" s="4">
        <v>165001000</v>
      </c>
      <c r="H1444">
        <f t="shared" si="66"/>
        <v>0</v>
      </c>
      <c r="I1444">
        <f t="shared" si="67"/>
        <v>0.2857142857142857</v>
      </c>
      <c r="J1444">
        <f t="shared" si="68"/>
        <v>0</v>
      </c>
    </row>
    <row r="1445" spans="1:10" ht="26.1" customHeight="1" x14ac:dyDescent="0.2">
      <c r="A1445" s="4">
        <v>3548</v>
      </c>
      <c r="B1445" s="2" t="s">
        <v>562</v>
      </c>
      <c r="C1445" s="2" t="s">
        <v>563</v>
      </c>
      <c r="D1445" s="2" t="s">
        <v>564</v>
      </c>
      <c r="E1445" s="2" t="s">
        <v>565</v>
      </c>
      <c r="F1445" s="3">
        <v>46099</v>
      </c>
      <c r="G1445" s="4">
        <v>3034001000</v>
      </c>
      <c r="H1445">
        <f t="shared" si="66"/>
        <v>0</v>
      </c>
      <c r="I1445">
        <f t="shared" si="67"/>
        <v>0.2857142857142857</v>
      </c>
      <c r="J1445">
        <f t="shared" si="68"/>
        <v>0</v>
      </c>
    </row>
    <row r="1446" spans="1:10" ht="26.1" customHeight="1" x14ac:dyDescent="0.2">
      <c r="A1446" s="4">
        <v>3549</v>
      </c>
      <c r="B1446" s="2" t="s">
        <v>128</v>
      </c>
      <c r="C1446" s="2" t="s">
        <v>69</v>
      </c>
      <c r="D1446" s="2" t="s">
        <v>10</v>
      </c>
      <c r="E1446" s="2">
        <v>1111111111</v>
      </c>
      <c r="F1446" s="3">
        <v>46106</v>
      </c>
      <c r="G1446" s="4">
        <v>165001000</v>
      </c>
      <c r="H1446">
        <f t="shared" si="66"/>
        <v>0</v>
      </c>
      <c r="I1446">
        <f t="shared" si="67"/>
        <v>0.2857142857142857</v>
      </c>
      <c r="J1446">
        <f t="shared" si="68"/>
        <v>0</v>
      </c>
    </row>
    <row r="1447" spans="1:10" ht="26.1" customHeight="1" x14ac:dyDescent="0.2">
      <c r="A1447" s="4">
        <v>3550</v>
      </c>
      <c r="B1447" s="2" t="s">
        <v>128</v>
      </c>
      <c r="C1447" s="2" t="s">
        <v>69</v>
      </c>
      <c r="D1447" s="2" t="s">
        <v>10</v>
      </c>
      <c r="E1447" s="2">
        <v>1111111111</v>
      </c>
      <c r="F1447" s="3">
        <v>46106</v>
      </c>
      <c r="G1447" s="4">
        <v>165001000</v>
      </c>
      <c r="H1447">
        <f t="shared" si="66"/>
        <v>0</v>
      </c>
      <c r="I1447">
        <f t="shared" si="67"/>
        <v>0.2857142857142857</v>
      </c>
      <c r="J1447">
        <f t="shared" si="68"/>
        <v>0</v>
      </c>
    </row>
    <row r="1448" spans="1:10" ht="26.1" customHeight="1" x14ac:dyDescent="0.2">
      <c r="A1448" s="4">
        <v>3551</v>
      </c>
      <c r="B1448" s="2" t="s">
        <v>128</v>
      </c>
      <c r="C1448" s="2" t="s">
        <v>69</v>
      </c>
      <c r="D1448" s="2" t="s">
        <v>10</v>
      </c>
      <c r="E1448" s="2">
        <v>1111111111</v>
      </c>
      <c r="F1448" s="3">
        <v>46106</v>
      </c>
      <c r="G1448" s="4">
        <v>165001000</v>
      </c>
      <c r="H1448">
        <f t="shared" si="66"/>
        <v>0</v>
      </c>
      <c r="I1448">
        <f t="shared" si="67"/>
        <v>0.2857142857142857</v>
      </c>
      <c r="J1448">
        <f t="shared" si="68"/>
        <v>0</v>
      </c>
    </row>
    <row r="1449" spans="1:10" ht="26.1" customHeight="1" x14ac:dyDescent="0.2">
      <c r="A1449" s="4">
        <v>3552</v>
      </c>
      <c r="B1449" s="2" t="s">
        <v>128</v>
      </c>
      <c r="C1449" s="2" t="s">
        <v>69</v>
      </c>
      <c r="D1449" s="2" t="s">
        <v>10</v>
      </c>
      <c r="E1449" s="2">
        <v>1111111111</v>
      </c>
      <c r="F1449" s="3">
        <v>46106</v>
      </c>
      <c r="G1449" s="4">
        <v>165001000</v>
      </c>
      <c r="H1449">
        <f t="shared" si="66"/>
        <v>0</v>
      </c>
      <c r="I1449">
        <f t="shared" si="67"/>
        <v>0.2857142857142857</v>
      </c>
      <c r="J1449">
        <f t="shared" si="68"/>
        <v>0</v>
      </c>
    </row>
    <row r="1450" spans="1:10" ht="26.1" customHeight="1" x14ac:dyDescent="0.2">
      <c r="A1450" s="4">
        <v>3553</v>
      </c>
      <c r="B1450" s="2" t="s">
        <v>13</v>
      </c>
      <c r="C1450" s="2" t="s">
        <v>226</v>
      </c>
      <c r="D1450" s="2" t="s">
        <v>282</v>
      </c>
      <c r="E1450" s="2" t="s">
        <v>566</v>
      </c>
      <c r="F1450" s="3">
        <v>46106</v>
      </c>
      <c r="G1450" s="4">
        <v>3042131003</v>
      </c>
      <c r="H1450">
        <f t="shared" si="66"/>
        <v>0</v>
      </c>
      <c r="I1450">
        <f t="shared" si="67"/>
        <v>0.2857142857142857</v>
      </c>
      <c r="J1450">
        <f t="shared" si="68"/>
        <v>0</v>
      </c>
    </row>
    <row r="1451" spans="1:10" ht="26.1" customHeight="1" x14ac:dyDescent="0.2">
      <c r="A1451" s="4">
        <v>3554</v>
      </c>
      <c r="B1451" s="2" t="s">
        <v>13</v>
      </c>
      <c r="C1451" s="2" t="s">
        <v>226</v>
      </c>
      <c r="D1451" s="2" t="s">
        <v>282</v>
      </c>
      <c r="E1451" s="2" t="s">
        <v>567</v>
      </c>
      <c r="F1451" s="3">
        <v>46106</v>
      </c>
      <c r="G1451" s="4">
        <v>3042131003</v>
      </c>
      <c r="H1451">
        <f t="shared" si="66"/>
        <v>0</v>
      </c>
      <c r="I1451">
        <f t="shared" si="67"/>
        <v>0.2857142857142857</v>
      </c>
      <c r="J1451">
        <f t="shared" si="68"/>
        <v>0</v>
      </c>
    </row>
    <row r="1452" spans="1:10" ht="39.200000000000003" customHeight="1" x14ac:dyDescent="0.2">
      <c r="A1452" s="4">
        <v>3555</v>
      </c>
      <c r="B1452" s="2" t="s">
        <v>496</v>
      </c>
      <c r="C1452" s="2" t="s">
        <v>226</v>
      </c>
      <c r="D1452" s="2" t="s">
        <v>502</v>
      </c>
      <c r="E1452" s="2">
        <v>5310252300010</v>
      </c>
      <c r="F1452" s="3">
        <v>46112</v>
      </c>
      <c r="G1452" s="4">
        <v>153002000</v>
      </c>
      <c r="H1452">
        <f t="shared" si="66"/>
        <v>0</v>
      </c>
      <c r="I1452">
        <f t="shared" si="67"/>
        <v>0.2857142857142857</v>
      </c>
      <c r="J1452">
        <f t="shared" si="68"/>
        <v>0</v>
      </c>
    </row>
    <row r="1453" spans="1:10" ht="39.200000000000003" customHeight="1" x14ac:dyDescent="0.2">
      <c r="A1453" s="4">
        <v>3556</v>
      </c>
      <c r="B1453" s="2" t="s">
        <v>146</v>
      </c>
      <c r="C1453" s="2" t="s">
        <v>402</v>
      </c>
      <c r="D1453" s="2" t="s">
        <v>406</v>
      </c>
      <c r="E1453" s="2" t="s">
        <v>561</v>
      </c>
      <c r="F1453" s="3">
        <v>46113</v>
      </c>
      <c r="G1453" s="4">
        <v>3395001000</v>
      </c>
      <c r="H1453">
        <f t="shared" si="66"/>
        <v>0</v>
      </c>
      <c r="I1453">
        <f t="shared" si="67"/>
        <v>0.2857142857142857</v>
      </c>
      <c r="J1453">
        <f t="shared" si="68"/>
        <v>0</v>
      </c>
    </row>
    <row r="1454" spans="1:10" ht="26.1" customHeight="1" x14ac:dyDescent="0.2">
      <c r="A1454" s="4">
        <v>3557</v>
      </c>
      <c r="B1454" s="2" t="s">
        <v>361</v>
      </c>
      <c r="C1454" s="2" t="s">
        <v>382</v>
      </c>
      <c r="D1454" s="2" t="s">
        <v>431</v>
      </c>
      <c r="E1454" s="2" t="s">
        <v>347</v>
      </c>
      <c r="F1454" s="3">
        <v>46113</v>
      </c>
      <c r="G1454" s="4">
        <v>3395001000</v>
      </c>
      <c r="H1454">
        <f t="shared" si="66"/>
        <v>0</v>
      </c>
      <c r="I1454">
        <f t="shared" si="67"/>
        <v>0.2857142857142857</v>
      </c>
      <c r="J1454">
        <f t="shared" si="68"/>
        <v>0</v>
      </c>
    </row>
    <row r="1455" spans="1:10" ht="26.1" customHeight="1" x14ac:dyDescent="0.2">
      <c r="A1455" s="4">
        <v>3558</v>
      </c>
      <c r="B1455" s="2" t="s">
        <v>522</v>
      </c>
      <c r="C1455" s="2" t="s">
        <v>69</v>
      </c>
      <c r="D1455" s="2" t="s">
        <v>10</v>
      </c>
      <c r="E1455" s="2">
        <v>1111111111</v>
      </c>
      <c r="F1455" s="3">
        <v>46120</v>
      </c>
      <c r="G1455" s="4">
        <v>3042134001</v>
      </c>
      <c r="H1455">
        <f t="shared" si="66"/>
        <v>0</v>
      </c>
      <c r="I1455">
        <f t="shared" si="67"/>
        <v>0.2857142857142857</v>
      </c>
      <c r="J1455">
        <f t="shared" si="68"/>
        <v>0</v>
      </c>
    </row>
    <row r="1456" spans="1:10" ht="26.1" customHeight="1" x14ac:dyDescent="0.2">
      <c r="A1456" s="4">
        <v>3559</v>
      </c>
      <c r="B1456" s="2" t="s">
        <v>522</v>
      </c>
      <c r="C1456" s="2" t="s">
        <v>69</v>
      </c>
      <c r="D1456" s="2" t="s">
        <v>10</v>
      </c>
      <c r="E1456" s="2">
        <v>1111111111</v>
      </c>
      <c r="F1456" s="3">
        <v>46120</v>
      </c>
      <c r="G1456" s="4">
        <v>3042134001</v>
      </c>
      <c r="H1456">
        <f t="shared" si="66"/>
        <v>0</v>
      </c>
      <c r="I1456">
        <f t="shared" si="67"/>
        <v>0.2857142857142857</v>
      </c>
      <c r="J1456">
        <f t="shared" si="68"/>
        <v>0</v>
      </c>
    </row>
    <row r="1457" spans="1:10" ht="26.1" customHeight="1" x14ac:dyDescent="0.2">
      <c r="A1457" s="4">
        <v>3560</v>
      </c>
      <c r="B1457" s="2" t="s">
        <v>522</v>
      </c>
      <c r="C1457" s="2" t="s">
        <v>69</v>
      </c>
      <c r="D1457" s="2" t="s">
        <v>10</v>
      </c>
      <c r="E1457" s="2">
        <v>1111111111</v>
      </c>
      <c r="F1457" s="3">
        <v>46120</v>
      </c>
      <c r="G1457" s="4">
        <v>3042134001</v>
      </c>
      <c r="H1457">
        <f t="shared" si="66"/>
        <v>0</v>
      </c>
      <c r="I1457">
        <f t="shared" si="67"/>
        <v>0.2857142857142857</v>
      </c>
      <c r="J1457">
        <f t="shared" si="68"/>
        <v>0</v>
      </c>
    </row>
    <row r="1458" spans="1:10" ht="26.1" customHeight="1" x14ac:dyDescent="0.2">
      <c r="A1458" s="4">
        <v>3561</v>
      </c>
      <c r="B1458" s="2" t="s">
        <v>123</v>
      </c>
      <c r="C1458" s="2" t="s">
        <v>545</v>
      </c>
      <c r="D1458" s="2" t="s">
        <v>546</v>
      </c>
      <c r="E1458" s="2">
        <v>11111111111</v>
      </c>
      <c r="F1458" s="3">
        <v>46121</v>
      </c>
      <c r="G1458" s="4">
        <v>3042134001</v>
      </c>
      <c r="H1458">
        <f t="shared" si="66"/>
        <v>0</v>
      </c>
      <c r="I1458">
        <f t="shared" si="67"/>
        <v>0.2857142857142857</v>
      </c>
      <c r="J1458">
        <f t="shared" si="68"/>
        <v>0</v>
      </c>
    </row>
    <row r="1459" spans="1:10" ht="26.1" customHeight="1" x14ac:dyDescent="0.2">
      <c r="A1459" s="4">
        <v>3562</v>
      </c>
      <c r="B1459" s="2" t="s">
        <v>568</v>
      </c>
      <c r="C1459" s="2" t="s">
        <v>569</v>
      </c>
      <c r="D1459" s="2" t="s">
        <v>570</v>
      </c>
      <c r="E1459" s="2">
        <v>2531000228</v>
      </c>
      <c r="F1459" s="3">
        <v>46121</v>
      </c>
      <c r="G1459" s="4">
        <v>3265001000</v>
      </c>
      <c r="H1459">
        <f t="shared" si="66"/>
        <v>0</v>
      </c>
      <c r="I1459">
        <f t="shared" si="67"/>
        <v>0.2857142857142857</v>
      </c>
      <c r="J1459">
        <f t="shared" si="68"/>
        <v>0</v>
      </c>
    </row>
    <row r="1460" spans="1:10" ht="26.1" customHeight="1" x14ac:dyDescent="0.2">
      <c r="A1460" s="4">
        <v>3563</v>
      </c>
      <c r="B1460" s="2" t="s">
        <v>522</v>
      </c>
      <c r="C1460" s="2" t="s">
        <v>69</v>
      </c>
      <c r="D1460" s="2" t="s">
        <v>10</v>
      </c>
      <c r="E1460" s="2">
        <v>1111111111</v>
      </c>
      <c r="F1460" s="3">
        <v>46127</v>
      </c>
      <c r="G1460" s="4">
        <v>2994001000</v>
      </c>
      <c r="H1460">
        <f t="shared" si="66"/>
        <v>0</v>
      </c>
      <c r="I1460">
        <f t="shared" si="67"/>
        <v>0.2857142857142857</v>
      </c>
      <c r="J1460">
        <f t="shared" si="68"/>
        <v>0</v>
      </c>
    </row>
    <row r="1461" spans="1:10" ht="26.1" customHeight="1" x14ac:dyDescent="0.2">
      <c r="A1461" s="4">
        <v>3564</v>
      </c>
      <c r="B1461" s="2" t="s">
        <v>522</v>
      </c>
      <c r="C1461" s="2" t="s">
        <v>69</v>
      </c>
      <c r="D1461" s="2" t="s">
        <v>10</v>
      </c>
      <c r="E1461" s="2">
        <v>1111111111</v>
      </c>
      <c r="F1461" s="3">
        <v>46128</v>
      </c>
      <c r="G1461" s="4">
        <v>2548013000</v>
      </c>
      <c r="H1461">
        <f t="shared" si="66"/>
        <v>0</v>
      </c>
      <c r="I1461">
        <f t="shared" si="67"/>
        <v>0.2857142857142857</v>
      </c>
      <c r="J1461">
        <f t="shared" si="68"/>
        <v>0</v>
      </c>
    </row>
    <row r="1462" spans="1:10" ht="26.1" customHeight="1" x14ac:dyDescent="0.2">
      <c r="A1462" s="4">
        <v>3565</v>
      </c>
      <c r="B1462" s="2" t="s">
        <v>571</v>
      </c>
      <c r="C1462" s="2" t="s">
        <v>572</v>
      </c>
      <c r="D1462" s="2" t="s">
        <v>573</v>
      </c>
      <c r="E1462" s="2">
        <v>1111111111</v>
      </c>
      <c r="F1462" s="3">
        <v>46133</v>
      </c>
      <c r="G1462" s="4">
        <v>66011000</v>
      </c>
      <c r="H1462">
        <f t="shared" si="66"/>
        <v>0</v>
      </c>
      <c r="I1462">
        <f t="shared" si="67"/>
        <v>0.2857142857142857</v>
      </c>
      <c r="J1462">
        <f t="shared" si="68"/>
        <v>0</v>
      </c>
    </row>
    <row r="1463" spans="1:10" ht="26.1" customHeight="1" x14ac:dyDescent="0.2">
      <c r="A1463" s="4">
        <v>3566</v>
      </c>
      <c r="B1463" s="2" t="s">
        <v>571</v>
      </c>
      <c r="C1463" s="2" t="s">
        <v>572</v>
      </c>
      <c r="D1463" s="2" t="s">
        <v>573</v>
      </c>
      <c r="E1463" s="2">
        <v>1111111111</v>
      </c>
      <c r="F1463" s="3">
        <v>46133</v>
      </c>
      <c r="G1463" s="4">
        <v>1014001</v>
      </c>
      <c r="H1463">
        <f t="shared" si="66"/>
        <v>0</v>
      </c>
      <c r="I1463">
        <f t="shared" si="67"/>
        <v>0.2857142857142857</v>
      </c>
      <c r="J1463">
        <f t="shared" si="68"/>
        <v>0</v>
      </c>
    </row>
    <row r="1464" spans="1:10" ht="26.1" customHeight="1" x14ac:dyDescent="0.2">
      <c r="A1464" s="4">
        <v>3567</v>
      </c>
      <c r="B1464" s="2" t="s">
        <v>13</v>
      </c>
      <c r="C1464" s="2" t="s">
        <v>574</v>
      </c>
      <c r="D1464" s="2" t="s">
        <v>575</v>
      </c>
      <c r="E1464" s="2">
        <v>1111111111</v>
      </c>
      <c r="F1464" s="3">
        <v>46134</v>
      </c>
      <c r="G1464" s="4">
        <v>1014001</v>
      </c>
      <c r="H1464">
        <f t="shared" si="66"/>
        <v>0</v>
      </c>
      <c r="I1464">
        <f t="shared" si="67"/>
        <v>0.2857142857142857</v>
      </c>
      <c r="J1464">
        <f t="shared" si="68"/>
        <v>0</v>
      </c>
    </row>
    <row r="1465" spans="1:10" ht="26.1" customHeight="1" x14ac:dyDescent="0.2">
      <c r="A1465" s="4">
        <v>3568</v>
      </c>
      <c r="B1465" s="2" t="s">
        <v>522</v>
      </c>
      <c r="C1465" s="2" t="s">
        <v>69</v>
      </c>
      <c r="D1465" s="2" t="s">
        <v>10</v>
      </c>
      <c r="E1465" s="2">
        <v>1111111111</v>
      </c>
      <c r="F1465" s="3">
        <v>46140</v>
      </c>
      <c r="G1465" s="4">
        <v>3391005000</v>
      </c>
      <c r="H1465">
        <f t="shared" si="66"/>
        <v>0</v>
      </c>
      <c r="I1465">
        <f t="shared" si="67"/>
        <v>0.2857142857142857</v>
      </c>
      <c r="J1465">
        <f t="shared" si="68"/>
        <v>0</v>
      </c>
    </row>
    <row r="1466" spans="1:10" ht="26.1" customHeight="1" x14ac:dyDescent="0.2">
      <c r="A1466" s="4">
        <v>3569</v>
      </c>
      <c r="B1466" s="2" t="s">
        <v>222</v>
      </c>
      <c r="C1466" s="2" t="s">
        <v>545</v>
      </c>
      <c r="D1466" s="2" t="s">
        <v>546</v>
      </c>
      <c r="E1466" s="2">
        <v>-603775</v>
      </c>
      <c r="F1466" s="3">
        <v>46140</v>
      </c>
      <c r="G1466" s="4">
        <v>43001000</v>
      </c>
      <c r="H1466">
        <f t="shared" si="66"/>
        <v>0</v>
      </c>
      <c r="I1466">
        <f t="shared" si="67"/>
        <v>0.2857142857142857</v>
      </c>
      <c r="J1466">
        <f t="shared" si="68"/>
        <v>0</v>
      </c>
    </row>
    <row r="1467" spans="1:10" ht="26.1" customHeight="1" x14ac:dyDescent="0.2">
      <c r="A1467" s="4">
        <v>3570</v>
      </c>
      <c r="B1467" s="2" t="s">
        <v>576</v>
      </c>
      <c r="C1467" s="2" t="s">
        <v>577</v>
      </c>
      <c r="D1467" s="2">
        <v>8106</v>
      </c>
      <c r="E1467" s="2">
        <v>1111111111</v>
      </c>
      <c r="F1467" s="3">
        <v>46149</v>
      </c>
      <c r="G1467" s="4">
        <v>66011000</v>
      </c>
      <c r="H1467">
        <f t="shared" si="66"/>
        <v>0</v>
      </c>
      <c r="I1467">
        <f t="shared" si="67"/>
        <v>0.2857142857142857</v>
      </c>
      <c r="J1467">
        <f t="shared" si="68"/>
        <v>0</v>
      </c>
    </row>
    <row r="1468" spans="1:10" ht="26.1" customHeight="1" x14ac:dyDescent="0.2">
      <c r="A1468" s="4">
        <v>3571</v>
      </c>
      <c r="B1468" s="2" t="s">
        <v>150</v>
      </c>
      <c r="C1468" s="2" t="s">
        <v>80</v>
      </c>
      <c r="D1468" s="2" t="s">
        <v>488</v>
      </c>
      <c r="E1468" s="2">
        <v>841727732</v>
      </c>
      <c r="F1468" s="3">
        <v>46157</v>
      </c>
      <c r="G1468" s="4">
        <v>1176003000</v>
      </c>
      <c r="H1468">
        <f t="shared" si="66"/>
        <v>0</v>
      </c>
      <c r="I1468">
        <f t="shared" si="67"/>
        <v>0.2857142857142857</v>
      </c>
      <c r="J1468">
        <f t="shared" si="68"/>
        <v>0</v>
      </c>
    </row>
    <row r="1469" spans="1:10" ht="26.1" customHeight="1" x14ac:dyDescent="0.2">
      <c r="A1469" s="4">
        <v>3572</v>
      </c>
      <c r="B1469" s="2" t="s">
        <v>578</v>
      </c>
      <c r="C1469" s="2" t="s">
        <v>339</v>
      </c>
      <c r="D1469" s="2" t="s">
        <v>579</v>
      </c>
      <c r="E1469" s="2">
        <v>414963428</v>
      </c>
      <c r="F1469" s="3">
        <v>46162</v>
      </c>
      <c r="G1469" s="4">
        <v>3042135001</v>
      </c>
      <c r="H1469">
        <f t="shared" si="66"/>
        <v>0</v>
      </c>
      <c r="I1469">
        <f t="shared" si="67"/>
        <v>0.2857142857142857</v>
      </c>
      <c r="J1469">
        <f t="shared" si="68"/>
        <v>0</v>
      </c>
    </row>
    <row r="1470" spans="1:10" ht="26.1" customHeight="1" x14ac:dyDescent="0.2">
      <c r="A1470" s="4">
        <v>3573</v>
      </c>
      <c r="B1470" s="2" t="s">
        <v>146</v>
      </c>
      <c r="C1470" s="2" t="s">
        <v>402</v>
      </c>
      <c r="D1470" s="2" t="s">
        <v>518</v>
      </c>
      <c r="E1470" s="2">
        <v>100000006929</v>
      </c>
      <c r="F1470" s="3">
        <v>46162</v>
      </c>
      <c r="G1470" s="4">
        <v>3400002000</v>
      </c>
      <c r="H1470">
        <f t="shared" si="66"/>
        <v>0</v>
      </c>
      <c r="I1470">
        <f t="shared" si="67"/>
        <v>0.2857142857142857</v>
      </c>
      <c r="J1470">
        <f t="shared" si="68"/>
        <v>0</v>
      </c>
    </row>
    <row r="1471" spans="1:10" ht="26.1" customHeight="1" x14ac:dyDescent="0.2">
      <c r="A1471" s="4">
        <v>3574</v>
      </c>
      <c r="B1471" s="2" t="s">
        <v>100</v>
      </c>
      <c r="C1471" s="2" t="s">
        <v>447</v>
      </c>
      <c r="D1471" s="2" t="s">
        <v>519</v>
      </c>
      <c r="E1471" s="2" t="s">
        <v>580</v>
      </c>
      <c r="F1471" s="3">
        <v>46162</v>
      </c>
      <c r="G1471" s="4">
        <v>3400002000</v>
      </c>
      <c r="H1471">
        <f t="shared" si="66"/>
        <v>0</v>
      </c>
      <c r="I1471">
        <f t="shared" si="67"/>
        <v>0.2857142857142857</v>
      </c>
      <c r="J1471">
        <f t="shared" si="68"/>
        <v>0</v>
      </c>
    </row>
    <row r="1472" spans="1:10" ht="39.200000000000003" customHeight="1" x14ac:dyDescent="0.2">
      <c r="A1472" s="4">
        <v>3575</v>
      </c>
      <c r="B1472" s="2" t="s">
        <v>222</v>
      </c>
      <c r="C1472" s="2" t="s">
        <v>545</v>
      </c>
      <c r="D1472" s="2" t="s">
        <v>581</v>
      </c>
      <c r="E1472" s="2" t="s">
        <v>561</v>
      </c>
      <c r="F1472" s="3">
        <v>46162</v>
      </c>
      <c r="G1472" s="4">
        <v>2514001000</v>
      </c>
      <c r="H1472">
        <f t="shared" si="66"/>
        <v>0</v>
      </c>
      <c r="I1472">
        <f t="shared" si="67"/>
        <v>0.2857142857142857</v>
      </c>
      <c r="J1472">
        <f t="shared" si="68"/>
        <v>0</v>
      </c>
    </row>
    <row r="1473" spans="1:10" ht="26.1" customHeight="1" x14ac:dyDescent="0.2">
      <c r="A1473" s="4">
        <v>3576</v>
      </c>
      <c r="B1473" s="2" t="s">
        <v>582</v>
      </c>
      <c r="C1473" s="2" t="s">
        <v>353</v>
      </c>
      <c r="D1473" s="2" t="s">
        <v>583</v>
      </c>
      <c r="E1473" s="2">
        <v>20230700486</v>
      </c>
      <c r="F1473" s="3">
        <v>46169</v>
      </c>
      <c r="G1473" s="4">
        <v>3042135001</v>
      </c>
      <c r="H1473">
        <f t="shared" si="66"/>
        <v>0</v>
      </c>
      <c r="I1473">
        <f t="shared" si="67"/>
        <v>0.2857142857142857</v>
      </c>
      <c r="J1473">
        <f t="shared" si="68"/>
        <v>0</v>
      </c>
    </row>
    <row r="1474" spans="1:10" ht="39.200000000000003" customHeight="1" x14ac:dyDescent="0.2">
      <c r="A1474" s="4">
        <v>3577</v>
      </c>
      <c r="B1474" s="2" t="s">
        <v>477</v>
      </c>
      <c r="C1474" s="2" t="s">
        <v>353</v>
      </c>
      <c r="D1474" s="2" t="s">
        <v>478</v>
      </c>
      <c r="E1474" s="2" t="s">
        <v>584</v>
      </c>
      <c r="F1474" s="3">
        <v>46169</v>
      </c>
      <c r="G1474" s="4">
        <v>3042135001</v>
      </c>
      <c r="H1474">
        <f t="shared" ref="H1474:H1537" si="69">VLOOKUP(A1474,O:P,2)</f>
        <v>0</v>
      </c>
      <c r="I1474">
        <f t="shared" ref="I1474:I1537" si="70">VLOOKUP(A1474,R:S,2)</f>
        <v>0.2857142857142857</v>
      </c>
      <c r="J1474">
        <f t="shared" ref="J1474:J1537" si="71">H1474*I1474</f>
        <v>0</v>
      </c>
    </row>
    <row r="1475" spans="1:10" ht="26.1" customHeight="1" x14ac:dyDescent="0.2">
      <c r="A1475" s="4">
        <v>3578</v>
      </c>
      <c r="B1475" s="2" t="s">
        <v>582</v>
      </c>
      <c r="C1475" s="2" t="s">
        <v>353</v>
      </c>
      <c r="D1475" s="2" t="s">
        <v>583</v>
      </c>
      <c r="E1475" s="2">
        <v>20230700481</v>
      </c>
      <c r="F1475" s="3">
        <v>46169</v>
      </c>
      <c r="G1475" s="4">
        <v>1014001</v>
      </c>
      <c r="H1475">
        <f t="shared" si="69"/>
        <v>0</v>
      </c>
      <c r="I1475">
        <f t="shared" si="70"/>
        <v>0.2857142857142857</v>
      </c>
      <c r="J1475">
        <f t="shared" si="71"/>
        <v>0</v>
      </c>
    </row>
    <row r="1476" spans="1:10" ht="39.200000000000003" customHeight="1" x14ac:dyDescent="0.2">
      <c r="A1476" s="4">
        <v>3579</v>
      </c>
      <c r="B1476" s="2" t="s">
        <v>477</v>
      </c>
      <c r="C1476" s="2" t="s">
        <v>353</v>
      </c>
      <c r="D1476" s="2" t="s">
        <v>478</v>
      </c>
      <c r="E1476" s="2" t="s">
        <v>585</v>
      </c>
      <c r="F1476" s="3">
        <v>46169</v>
      </c>
      <c r="G1476" s="4">
        <v>1014001</v>
      </c>
      <c r="H1476">
        <f t="shared" si="69"/>
        <v>0</v>
      </c>
      <c r="I1476">
        <f t="shared" si="70"/>
        <v>0.2857142857142857</v>
      </c>
      <c r="J1476">
        <f t="shared" si="71"/>
        <v>0</v>
      </c>
    </row>
    <row r="1477" spans="1:10" ht="26.1" customHeight="1" x14ac:dyDescent="0.2">
      <c r="A1477" s="4">
        <v>3580</v>
      </c>
      <c r="B1477" s="2" t="s">
        <v>582</v>
      </c>
      <c r="C1477" s="2" t="s">
        <v>353</v>
      </c>
      <c r="D1477" s="2" t="s">
        <v>583</v>
      </c>
      <c r="E1477" s="2">
        <v>20230700474</v>
      </c>
      <c r="F1477" s="3">
        <v>46169</v>
      </c>
      <c r="G1477" s="4">
        <v>1014001</v>
      </c>
      <c r="H1477">
        <f t="shared" si="69"/>
        <v>0</v>
      </c>
      <c r="I1477">
        <f t="shared" si="70"/>
        <v>0.2857142857142857</v>
      </c>
      <c r="J1477">
        <f t="shared" si="71"/>
        <v>0</v>
      </c>
    </row>
    <row r="1478" spans="1:10" ht="26.1" customHeight="1" x14ac:dyDescent="0.2">
      <c r="A1478" s="4">
        <v>3581</v>
      </c>
      <c r="B1478" s="2" t="s">
        <v>477</v>
      </c>
      <c r="C1478" s="2" t="s">
        <v>353</v>
      </c>
      <c r="D1478" s="2" t="s">
        <v>478</v>
      </c>
      <c r="E1478" s="2">
        <v>20222901301</v>
      </c>
      <c r="F1478" s="3">
        <v>46169</v>
      </c>
      <c r="G1478" s="4">
        <v>3042135001</v>
      </c>
      <c r="H1478">
        <f t="shared" si="69"/>
        <v>0</v>
      </c>
      <c r="I1478">
        <f t="shared" si="70"/>
        <v>0.2857142857142857</v>
      </c>
      <c r="J1478">
        <f t="shared" si="71"/>
        <v>0</v>
      </c>
    </row>
    <row r="1479" spans="1:10" ht="26.1" customHeight="1" x14ac:dyDescent="0.2">
      <c r="A1479" s="4">
        <v>3582</v>
      </c>
      <c r="B1479" s="2" t="s">
        <v>586</v>
      </c>
      <c r="C1479" s="2" t="s">
        <v>80</v>
      </c>
      <c r="D1479" s="2" t="s">
        <v>587</v>
      </c>
      <c r="E1479" s="2">
        <v>956140235</v>
      </c>
      <c r="F1479" s="3">
        <v>46169</v>
      </c>
      <c r="G1479" s="4">
        <v>3042135001</v>
      </c>
      <c r="H1479">
        <f t="shared" si="69"/>
        <v>0</v>
      </c>
      <c r="I1479">
        <f t="shared" si="70"/>
        <v>0.2857142857142857</v>
      </c>
      <c r="J1479">
        <f t="shared" si="71"/>
        <v>0</v>
      </c>
    </row>
    <row r="1480" spans="1:10" ht="26.1" customHeight="1" x14ac:dyDescent="0.2">
      <c r="A1480" s="4">
        <v>3583</v>
      </c>
      <c r="B1480" s="2" t="s">
        <v>588</v>
      </c>
      <c r="C1480" s="2" t="s">
        <v>80</v>
      </c>
      <c r="D1480" s="2" t="s">
        <v>589</v>
      </c>
      <c r="E1480" s="2" t="s">
        <v>590</v>
      </c>
      <c r="F1480" s="3">
        <v>46169</v>
      </c>
      <c r="G1480" s="4">
        <v>3042135001</v>
      </c>
      <c r="H1480">
        <f t="shared" si="69"/>
        <v>0</v>
      </c>
      <c r="I1480">
        <f t="shared" si="70"/>
        <v>0.2857142857142857</v>
      </c>
      <c r="J1480">
        <f t="shared" si="71"/>
        <v>0</v>
      </c>
    </row>
    <row r="1481" spans="1:10" ht="26.1" customHeight="1" x14ac:dyDescent="0.2">
      <c r="A1481" s="4">
        <v>3584</v>
      </c>
      <c r="B1481" s="2" t="s">
        <v>522</v>
      </c>
      <c r="C1481" s="2" t="s">
        <v>69</v>
      </c>
      <c r="D1481" s="2" t="s">
        <v>10</v>
      </c>
      <c r="E1481" s="2">
        <v>1111111111</v>
      </c>
      <c r="F1481" s="3">
        <v>46170</v>
      </c>
      <c r="G1481" s="4">
        <v>3042058002</v>
      </c>
      <c r="H1481">
        <f t="shared" si="69"/>
        <v>0</v>
      </c>
      <c r="I1481">
        <f t="shared" si="70"/>
        <v>0.2857142857142857</v>
      </c>
      <c r="J1481">
        <f t="shared" si="71"/>
        <v>0</v>
      </c>
    </row>
    <row r="1482" spans="1:10" ht="15" customHeight="1" x14ac:dyDescent="0.2">
      <c r="A1482" s="4">
        <v>3585</v>
      </c>
      <c r="B1482" s="2" t="s">
        <v>222</v>
      </c>
      <c r="C1482" s="2" t="s">
        <v>545</v>
      </c>
      <c r="D1482" s="2" t="s">
        <v>546</v>
      </c>
      <c r="E1482" s="2" t="s">
        <v>591</v>
      </c>
      <c r="F1482" s="3">
        <v>46170</v>
      </c>
      <c r="G1482" s="4">
        <v>1165000000</v>
      </c>
      <c r="H1482">
        <f t="shared" si="69"/>
        <v>0</v>
      </c>
      <c r="I1482">
        <f t="shared" si="70"/>
        <v>0.2857142857142857</v>
      </c>
      <c r="J1482">
        <f t="shared" si="71"/>
        <v>0</v>
      </c>
    </row>
    <row r="1483" spans="1:10" ht="26.1" customHeight="1" x14ac:dyDescent="0.2">
      <c r="A1483" s="4">
        <v>3586</v>
      </c>
      <c r="B1483" s="2" t="s">
        <v>128</v>
      </c>
      <c r="C1483" s="2" t="s">
        <v>69</v>
      </c>
      <c r="D1483" s="2" t="s">
        <v>10</v>
      </c>
      <c r="E1483" s="2">
        <v>1111111111</v>
      </c>
      <c r="F1483" s="3">
        <v>46171</v>
      </c>
      <c r="G1483" s="4">
        <v>3042058002</v>
      </c>
      <c r="H1483">
        <f t="shared" si="69"/>
        <v>0</v>
      </c>
      <c r="I1483">
        <f t="shared" si="70"/>
        <v>0.2857142857142857</v>
      </c>
      <c r="J1483">
        <f t="shared" si="71"/>
        <v>0</v>
      </c>
    </row>
    <row r="1484" spans="1:10" ht="26.1" customHeight="1" x14ac:dyDescent="0.2">
      <c r="A1484" s="4">
        <v>3587</v>
      </c>
      <c r="B1484" s="2" t="s">
        <v>13</v>
      </c>
      <c r="C1484" s="2" t="s">
        <v>226</v>
      </c>
      <c r="D1484" s="2" t="s">
        <v>282</v>
      </c>
      <c r="E1484" s="2" t="s">
        <v>592</v>
      </c>
      <c r="F1484" s="3">
        <v>46171</v>
      </c>
      <c r="G1484" s="4">
        <v>3395001000</v>
      </c>
      <c r="H1484">
        <f t="shared" si="69"/>
        <v>0</v>
      </c>
      <c r="I1484">
        <f t="shared" si="70"/>
        <v>0.2857142857142857</v>
      </c>
      <c r="J1484">
        <f t="shared" si="71"/>
        <v>0</v>
      </c>
    </row>
    <row r="1485" spans="1:10" ht="26.1" customHeight="1" x14ac:dyDescent="0.2">
      <c r="A1485" s="4">
        <v>3588</v>
      </c>
      <c r="B1485" s="2" t="s">
        <v>13</v>
      </c>
      <c r="C1485" s="2" t="s">
        <v>226</v>
      </c>
      <c r="D1485" s="2" t="s">
        <v>282</v>
      </c>
      <c r="E1485" s="2" t="s">
        <v>593</v>
      </c>
      <c r="F1485" s="3">
        <v>46171</v>
      </c>
      <c r="G1485" s="4">
        <v>1014001</v>
      </c>
      <c r="H1485">
        <f t="shared" si="69"/>
        <v>0</v>
      </c>
      <c r="I1485">
        <f t="shared" si="70"/>
        <v>0.2857142857142857</v>
      </c>
      <c r="J1485">
        <f t="shared" si="71"/>
        <v>0</v>
      </c>
    </row>
    <row r="1486" spans="1:10" ht="26.1" customHeight="1" x14ac:dyDescent="0.2">
      <c r="A1486" s="4">
        <v>3589</v>
      </c>
      <c r="B1486" s="2" t="s">
        <v>522</v>
      </c>
      <c r="C1486" s="2" t="s">
        <v>69</v>
      </c>
      <c r="D1486" s="2" t="s">
        <v>10</v>
      </c>
      <c r="E1486" s="2">
        <v>1111111111</v>
      </c>
      <c r="F1486" s="3">
        <v>46175</v>
      </c>
      <c r="G1486" s="4">
        <v>3319002000</v>
      </c>
      <c r="H1486">
        <f t="shared" si="69"/>
        <v>0</v>
      </c>
      <c r="I1486">
        <f t="shared" si="70"/>
        <v>0.2857142857142857</v>
      </c>
      <c r="J1486">
        <f t="shared" si="71"/>
        <v>0</v>
      </c>
    </row>
    <row r="1487" spans="1:10" ht="26.1" customHeight="1" x14ac:dyDescent="0.2">
      <c r="A1487" s="4">
        <v>3590</v>
      </c>
      <c r="B1487" s="2" t="s">
        <v>522</v>
      </c>
      <c r="C1487" s="2" t="s">
        <v>69</v>
      </c>
      <c r="D1487" s="2" t="s">
        <v>10</v>
      </c>
      <c r="E1487" s="2">
        <v>1111111111</v>
      </c>
      <c r="F1487" s="3">
        <v>46175</v>
      </c>
      <c r="G1487" s="4">
        <v>3319002000</v>
      </c>
      <c r="H1487">
        <f t="shared" si="69"/>
        <v>0</v>
      </c>
      <c r="I1487">
        <f t="shared" si="70"/>
        <v>0.2857142857142857</v>
      </c>
      <c r="J1487">
        <f t="shared" si="71"/>
        <v>0</v>
      </c>
    </row>
    <row r="1488" spans="1:10" ht="26.1" customHeight="1" x14ac:dyDescent="0.2">
      <c r="A1488" s="4">
        <v>3591</v>
      </c>
      <c r="B1488" s="2" t="s">
        <v>571</v>
      </c>
      <c r="C1488" s="2" t="s">
        <v>572</v>
      </c>
      <c r="D1488" s="2" t="s">
        <v>573</v>
      </c>
      <c r="E1488" s="2">
        <v>11111111111</v>
      </c>
      <c r="F1488" s="3">
        <v>46175</v>
      </c>
      <c r="G1488" s="4">
        <v>3076001000</v>
      </c>
      <c r="H1488">
        <f t="shared" si="69"/>
        <v>0</v>
      </c>
      <c r="I1488">
        <f t="shared" si="70"/>
        <v>0.2857142857142857</v>
      </c>
      <c r="J1488">
        <f t="shared" si="71"/>
        <v>0</v>
      </c>
    </row>
    <row r="1489" spans="1:10" ht="26.1" customHeight="1" x14ac:dyDescent="0.2">
      <c r="A1489" s="4">
        <v>3592</v>
      </c>
      <c r="B1489" s="2" t="s">
        <v>522</v>
      </c>
      <c r="C1489" s="2" t="s">
        <v>69</v>
      </c>
      <c r="D1489" s="2" t="s">
        <v>10</v>
      </c>
      <c r="E1489" s="2">
        <v>1111111111</v>
      </c>
      <c r="F1489" s="3">
        <v>46183</v>
      </c>
      <c r="G1489" s="4">
        <v>3265001000</v>
      </c>
      <c r="H1489">
        <f t="shared" si="69"/>
        <v>0</v>
      </c>
      <c r="I1489">
        <f t="shared" si="70"/>
        <v>0.2857142857142857</v>
      </c>
      <c r="J1489">
        <f t="shared" si="71"/>
        <v>0</v>
      </c>
    </row>
    <row r="1490" spans="1:10" ht="26.1" customHeight="1" x14ac:dyDescent="0.2">
      <c r="A1490" s="4">
        <v>3593</v>
      </c>
      <c r="B1490" s="2" t="s">
        <v>522</v>
      </c>
      <c r="C1490" s="2" t="s">
        <v>69</v>
      </c>
      <c r="D1490" s="2" t="s">
        <v>10</v>
      </c>
      <c r="E1490" s="2">
        <v>1111111111</v>
      </c>
      <c r="F1490" s="3">
        <v>46183</v>
      </c>
      <c r="G1490" s="4">
        <v>3265001000</v>
      </c>
      <c r="H1490">
        <f t="shared" si="69"/>
        <v>0</v>
      </c>
      <c r="I1490">
        <f t="shared" si="70"/>
        <v>0.2857142857142857</v>
      </c>
      <c r="J1490">
        <f t="shared" si="71"/>
        <v>0</v>
      </c>
    </row>
    <row r="1491" spans="1:10" ht="26.1" customHeight="1" x14ac:dyDescent="0.2">
      <c r="A1491" s="4">
        <v>3594</v>
      </c>
      <c r="B1491" s="2" t="s">
        <v>522</v>
      </c>
      <c r="C1491" s="2" t="s">
        <v>69</v>
      </c>
      <c r="D1491" s="2" t="s">
        <v>10</v>
      </c>
      <c r="E1491" s="2">
        <v>1111111111</v>
      </c>
      <c r="F1491" s="3">
        <v>46183</v>
      </c>
      <c r="G1491" s="4">
        <v>3265001000</v>
      </c>
      <c r="H1491">
        <f t="shared" si="69"/>
        <v>0</v>
      </c>
      <c r="I1491">
        <f t="shared" si="70"/>
        <v>0.2857142857142857</v>
      </c>
      <c r="J1491">
        <f t="shared" si="71"/>
        <v>0</v>
      </c>
    </row>
    <row r="1492" spans="1:10" ht="26.1" customHeight="1" x14ac:dyDescent="0.2">
      <c r="A1492" s="4">
        <v>3595</v>
      </c>
      <c r="B1492" s="2" t="s">
        <v>522</v>
      </c>
      <c r="C1492" s="2" t="s">
        <v>69</v>
      </c>
      <c r="D1492" s="2" t="s">
        <v>10</v>
      </c>
      <c r="E1492" s="2">
        <v>1111111111</v>
      </c>
      <c r="F1492" s="3">
        <v>46183</v>
      </c>
      <c r="G1492" s="4">
        <v>3365001000</v>
      </c>
      <c r="H1492">
        <f t="shared" si="69"/>
        <v>0</v>
      </c>
      <c r="I1492">
        <f t="shared" si="70"/>
        <v>0.2857142857142857</v>
      </c>
      <c r="J1492">
        <f t="shared" si="71"/>
        <v>0</v>
      </c>
    </row>
    <row r="1493" spans="1:10" ht="26.1" customHeight="1" x14ac:dyDescent="0.2">
      <c r="A1493" s="4">
        <v>3596</v>
      </c>
      <c r="B1493" s="2" t="s">
        <v>522</v>
      </c>
      <c r="C1493" s="2" t="s">
        <v>69</v>
      </c>
      <c r="D1493" s="2" t="s">
        <v>10</v>
      </c>
      <c r="E1493" s="2">
        <v>1111111111</v>
      </c>
      <c r="F1493" s="3">
        <v>46195</v>
      </c>
      <c r="G1493" s="4">
        <v>2994001000</v>
      </c>
      <c r="H1493">
        <f t="shared" si="69"/>
        <v>0</v>
      </c>
      <c r="I1493">
        <f t="shared" si="70"/>
        <v>0.2857142857142857</v>
      </c>
      <c r="J1493">
        <f t="shared" si="71"/>
        <v>0</v>
      </c>
    </row>
    <row r="1494" spans="1:10" ht="26.1" customHeight="1" x14ac:dyDescent="0.2">
      <c r="A1494" s="4">
        <v>3597</v>
      </c>
      <c r="B1494" s="2" t="s">
        <v>522</v>
      </c>
      <c r="C1494" s="2" t="s">
        <v>69</v>
      </c>
      <c r="D1494" s="2" t="s">
        <v>10</v>
      </c>
      <c r="E1494" s="2">
        <v>1111111111</v>
      </c>
      <c r="F1494" s="3">
        <v>46195</v>
      </c>
      <c r="G1494" s="4">
        <v>2994001000</v>
      </c>
      <c r="H1494">
        <f t="shared" si="69"/>
        <v>0</v>
      </c>
      <c r="I1494">
        <f t="shared" si="70"/>
        <v>0.2857142857142857</v>
      </c>
      <c r="J1494">
        <f t="shared" si="71"/>
        <v>0</v>
      </c>
    </row>
    <row r="1495" spans="1:10" ht="26.1" customHeight="1" x14ac:dyDescent="0.2">
      <c r="A1495" s="4">
        <v>3598</v>
      </c>
      <c r="B1495" s="2" t="s">
        <v>571</v>
      </c>
      <c r="C1495" s="2" t="s">
        <v>572</v>
      </c>
      <c r="D1495" s="2" t="s">
        <v>573</v>
      </c>
      <c r="E1495" s="2">
        <v>1111111111</v>
      </c>
      <c r="F1495" s="3">
        <v>46196</v>
      </c>
      <c r="G1495" s="4">
        <v>3042058002</v>
      </c>
      <c r="H1495">
        <f t="shared" si="69"/>
        <v>0</v>
      </c>
      <c r="I1495">
        <f t="shared" si="70"/>
        <v>0.2857142857142857</v>
      </c>
      <c r="J1495">
        <f t="shared" si="71"/>
        <v>0</v>
      </c>
    </row>
    <row r="1496" spans="1:10" ht="26.1" customHeight="1" x14ac:dyDescent="0.2">
      <c r="A1496" s="4">
        <v>3599</v>
      </c>
      <c r="B1496" s="2" t="s">
        <v>82</v>
      </c>
      <c r="C1496" s="2" t="s">
        <v>80</v>
      </c>
      <c r="D1496" s="2" t="s">
        <v>83</v>
      </c>
      <c r="E1496" s="2">
        <v>372083877</v>
      </c>
      <c r="F1496" s="3">
        <v>46196</v>
      </c>
      <c r="G1496" s="4">
        <v>3042107001</v>
      </c>
      <c r="H1496">
        <f t="shared" si="69"/>
        <v>0</v>
      </c>
      <c r="I1496">
        <f t="shared" si="70"/>
        <v>0.2857142857142857</v>
      </c>
      <c r="J1496">
        <f t="shared" si="71"/>
        <v>0</v>
      </c>
    </row>
    <row r="1497" spans="1:10" ht="39.200000000000003" customHeight="1" x14ac:dyDescent="0.2">
      <c r="A1497" s="4">
        <v>3600</v>
      </c>
      <c r="B1497" s="2" t="s">
        <v>150</v>
      </c>
      <c r="C1497" s="2" t="s">
        <v>594</v>
      </c>
      <c r="D1497" s="2" t="s">
        <v>595</v>
      </c>
      <c r="E1497" s="2" t="s">
        <v>596</v>
      </c>
      <c r="F1497" s="3">
        <v>46196</v>
      </c>
      <c r="G1497" s="4">
        <v>1014002</v>
      </c>
      <c r="H1497">
        <f t="shared" si="69"/>
        <v>0</v>
      </c>
      <c r="I1497">
        <f t="shared" si="70"/>
        <v>0.2857142857142857</v>
      </c>
      <c r="J1497">
        <f t="shared" si="71"/>
        <v>0</v>
      </c>
    </row>
    <row r="1498" spans="1:10" ht="26.1" customHeight="1" x14ac:dyDescent="0.2">
      <c r="A1498" s="4">
        <v>3601</v>
      </c>
      <c r="B1498" s="2" t="s">
        <v>55</v>
      </c>
      <c r="C1498" s="2" t="s">
        <v>597</v>
      </c>
      <c r="D1498" s="2" t="s">
        <v>598</v>
      </c>
      <c r="E1498" s="2">
        <v>5024012658</v>
      </c>
      <c r="F1498" s="3">
        <v>46196</v>
      </c>
      <c r="G1498" s="4">
        <v>1014002</v>
      </c>
      <c r="H1498">
        <f t="shared" si="69"/>
        <v>0</v>
      </c>
      <c r="I1498">
        <f t="shared" si="70"/>
        <v>0.2857142857142857</v>
      </c>
      <c r="J1498">
        <f t="shared" si="71"/>
        <v>0</v>
      </c>
    </row>
    <row r="1499" spans="1:10" ht="26.1" customHeight="1" x14ac:dyDescent="0.2">
      <c r="A1499" s="4">
        <v>3602</v>
      </c>
      <c r="B1499" s="2" t="s">
        <v>522</v>
      </c>
      <c r="C1499" s="2" t="s">
        <v>69</v>
      </c>
      <c r="D1499" s="2" t="s">
        <v>10</v>
      </c>
      <c r="E1499" s="2">
        <v>1111111111</v>
      </c>
      <c r="F1499" s="3">
        <v>46204</v>
      </c>
      <c r="G1499" s="4">
        <v>3400002000</v>
      </c>
      <c r="H1499">
        <f t="shared" si="69"/>
        <v>0</v>
      </c>
      <c r="I1499">
        <f t="shared" si="70"/>
        <v>0.2857142857142857</v>
      </c>
      <c r="J1499">
        <f t="shared" si="71"/>
        <v>0</v>
      </c>
    </row>
    <row r="1500" spans="1:10" ht="26.1" customHeight="1" x14ac:dyDescent="0.2">
      <c r="A1500" s="4">
        <v>3603</v>
      </c>
      <c r="B1500" s="2" t="s">
        <v>522</v>
      </c>
      <c r="C1500" s="2" t="s">
        <v>69</v>
      </c>
      <c r="D1500" s="2" t="s">
        <v>10</v>
      </c>
      <c r="E1500" s="2">
        <v>1111111111</v>
      </c>
      <c r="F1500" s="3">
        <v>46204</v>
      </c>
      <c r="G1500" s="4">
        <v>3400002000</v>
      </c>
      <c r="H1500">
        <f t="shared" si="69"/>
        <v>0</v>
      </c>
      <c r="I1500">
        <f t="shared" si="70"/>
        <v>0.2857142857142857</v>
      </c>
      <c r="J1500">
        <f t="shared" si="71"/>
        <v>0</v>
      </c>
    </row>
    <row r="1501" spans="1:10" ht="26.1" customHeight="1" x14ac:dyDescent="0.2">
      <c r="A1501" s="4">
        <v>3604</v>
      </c>
      <c r="B1501" s="2" t="s">
        <v>522</v>
      </c>
      <c r="C1501" s="2" t="s">
        <v>69</v>
      </c>
      <c r="D1501" s="2" t="s">
        <v>10</v>
      </c>
      <c r="E1501" s="2">
        <v>1111111111</v>
      </c>
      <c r="F1501" s="3">
        <v>46204</v>
      </c>
      <c r="G1501" s="4">
        <v>3400002000</v>
      </c>
      <c r="H1501">
        <f t="shared" si="69"/>
        <v>0</v>
      </c>
      <c r="I1501">
        <f t="shared" si="70"/>
        <v>0.2857142857142857</v>
      </c>
      <c r="J1501">
        <f t="shared" si="71"/>
        <v>0</v>
      </c>
    </row>
    <row r="1502" spans="1:10" ht="26.1" customHeight="1" x14ac:dyDescent="0.2">
      <c r="A1502" s="4">
        <v>3605</v>
      </c>
      <c r="B1502" s="2" t="s">
        <v>128</v>
      </c>
      <c r="C1502" s="2" t="s">
        <v>69</v>
      </c>
      <c r="D1502" s="2" t="s">
        <v>10</v>
      </c>
      <c r="E1502" s="2">
        <v>1111111111</v>
      </c>
      <c r="F1502" s="3">
        <v>46204</v>
      </c>
      <c r="G1502" s="4">
        <v>3400002000</v>
      </c>
      <c r="H1502">
        <f t="shared" si="69"/>
        <v>0</v>
      </c>
      <c r="I1502">
        <f t="shared" si="70"/>
        <v>0.2857142857142857</v>
      </c>
      <c r="J1502">
        <f t="shared" si="71"/>
        <v>0</v>
      </c>
    </row>
    <row r="1503" spans="1:10" ht="26.1" customHeight="1" x14ac:dyDescent="0.2">
      <c r="A1503" s="4">
        <v>3606</v>
      </c>
      <c r="B1503" s="2" t="s">
        <v>213</v>
      </c>
      <c r="C1503" s="2" t="s">
        <v>545</v>
      </c>
      <c r="D1503" s="2" t="s">
        <v>599</v>
      </c>
      <c r="E1503" s="2">
        <v>2025072345</v>
      </c>
      <c r="F1503" s="3">
        <v>46204</v>
      </c>
      <c r="G1503" s="4">
        <v>3400002000</v>
      </c>
      <c r="H1503">
        <f t="shared" si="69"/>
        <v>0</v>
      </c>
      <c r="I1503">
        <f t="shared" si="70"/>
        <v>0.2857142857142857</v>
      </c>
      <c r="J1503">
        <f t="shared" si="71"/>
        <v>0</v>
      </c>
    </row>
    <row r="1504" spans="1:10" ht="26.1" customHeight="1" x14ac:dyDescent="0.2">
      <c r="A1504" s="4">
        <v>3607</v>
      </c>
      <c r="B1504" s="2" t="s">
        <v>79</v>
      </c>
      <c r="C1504" s="2" t="s">
        <v>80</v>
      </c>
      <c r="D1504" s="2" t="s">
        <v>484</v>
      </c>
      <c r="E1504" s="2">
        <v>375176443</v>
      </c>
      <c r="F1504" s="3">
        <v>46204</v>
      </c>
      <c r="G1504" s="4">
        <v>3400002000</v>
      </c>
      <c r="H1504">
        <f t="shared" si="69"/>
        <v>0</v>
      </c>
      <c r="I1504">
        <f t="shared" si="70"/>
        <v>0.2857142857142857</v>
      </c>
      <c r="J1504">
        <f t="shared" si="71"/>
        <v>0</v>
      </c>
    </row>
    <row r="1505" spans="1:10" ht="39.200000000000003" customHeight="1" x14ac:dyDescent="0.2">
      <c r="A1505" s="4">
        <v>3608</v>
      </c>
      <c r="B1505" s="2" t="s">
        <v>49</v>
      </c>
      <c r="C1505" s="2" t="s">
        <v>187</v>
      </c>
      <c r="D1505" s="2" t="s">
        <v>600</v>
      </c>
      <c r="E1505" s="2" t="s">
        <v>561</v>
      </c>
      <c r="F1505" s="3">
        <v>46204</v>
      </c>
      <c r="G1505" s="4">
        <v>3400002000</v>
      </c>
      <c r="H1505">
        <f t="shared" si="69"/>
        <v>0</v>
      </c>
      <c r="I1505">
        <f t="shared" si="70"/>
        <v>0.2857142857142857</v>
      </c>
      <c r="J1505">
        <f t="shared" si="71"/>
        <v>0</v>
      </c>
    </row>
    <row r="1506" spans="1:10" ht="39.200000000000003" customHeight="1" x14ac:dyDescent="0.2">
      <c r="A1506" s="4">
        <v>3609</v>
      </c>
      <c r="B1506" s="2" t="s">
        <v>13</v>
      </c>
      <c r="C1506" s="2" t="s">
        <v>574</v>
      </c>
      <c r="D1506" s="2" t="s">
        <v>601</v>
      </c>
      <c r="E1506" s="2" t="s">
        <v>561</v>
      </c>
      <c r="F1506" s="3">
        <v>46204</v>
      </c>
      <c r="G1506" s="4">
        <v>3400002000</v>
      </c>
      <c r="H1506">
        <f t="shared" si="69"/>
        <v>0</v>
      </c>
      <c r="I1506">
        <f t="shared" si="70"/>
        <v>0.2857142857142857</v>
      </c>
      <c r="J1506">
        <f t="shared" si="71"/>
        <v>0</v>
      </c>
    </row>
    <row r="1507" spans="1:10" ht="39.200000000000003" customHeight="1" x14ac:dyDescent="0.2">
      <c r="A1507" s="4">
        <v>3610</v>
      </c>
      <c r="B1507" s="2" t="s">
        <v>13</v>
      </c>
      <c r="C1507" s="2" t="s">
        <v>574</v>
      </c>
      <c r="D1507" s="2" t="s">
        <v>601</v>
      </c>
      <c r="E1507" s="2" t="s">
        <v>561</v>
      </c>
      <c r="F1507" s="3">
        <v>46204</v>
      </c>
      <c r="G1507" s="4">
        <v>3400002000</v>
      </c>
      <c r="H1507">
        <f t="shared" si="69"/>
        <v>0</v>
      </c>
      <c r="I1507">
        <f t="shared" si="70"/>
        <v>0.2857142857142857</v>
      </c>
      <c r="J1507">
        <f t="shared" si="71"/>
        <v>0</v>
      </c>
    </row>
    <row r="1508" spans="1:10" ht="39.200000000000003" customHeight="1" x14ac:dyDescent="0.2">
      <c r="A1508" s="4">
        <v>3611</v>
      </c>
      <c r="B1508" s="2" t="s">
        <v>13</v>
      </c>
      <c r="C1508" s="2" t="s">
        <v>574</v>
      </c>
      <c r="D1508" s="2" t="s">
        <v>601</v>
      </c>
      <c r="E1508" s="2" t="s">
        <v>561</v>
      </c>
      <c r="F1508" s="3">
        <v>46204</v>
      </c>
      <c r="G1508" s="4">
        <v>3400002000</v>
      </c>
      <c r="H1508">
        <f t="shared" si="69"/>
        <v>0</v>
      </c>
      <c r="I1508">
        <f t="shared" si="70"/>
        <v>0.2857142857142857</v>
      </c>
      <c r="J1508">
        <f t="shared" si="71"/>
        <v>0</v>
      </c>
    </row>
    <row r="1509" spans="1:10" ht="39.200000000000003" customHeight="1" x14ac:dyDescent="0.2">
      <c r="A1509" s="4">
        <v>3612</v>
      </c>
      <c r="B1509" s="2" t="s">
        <v>13</v>
      </c>
      <c r="C1509" s="2" t="s">
        <v>574</v>
      </c>
      <c r="D1509" s="2" t="s">
        <v>601</v>
      </c>
      <c r="E1509" s="2" t="s">
        <v>561</v>
      </c>
      <c r="F1509" s="3">
        <v>46204</v>
      </c>
      <c r="G1509" s="4">
        <v>3400002000</v>
      </c>
      <c r="H1509">
        <f t="shared" si="69"/>
        <v>0</v>
      </c>
      <c r="I1509">
        <f t="shared" si="70"/>
        <v>0.2857142857142857</v>
      </c>
      <c r="J1509">
        <f t="shared" si="71"/>
        <v>0</v>
      </c>
    </row>
    <row r="1510" spans="1:10" ht="39.200000000000003" customHeight="1" x14ac:dyDescent="0.2">
      <c r="A1510" s="4">
        <v>3613</v>
      </c>
      <c r="B1510" s="2" t="s">
        <v>13</v>
      </c>
      <c r="C1510" s="2" t="s">
        <v>574</v>
      </c>
      <c r="D1510" s="2" t="s">
        <v>601</v>
      </c>
      <c r="E1510" s="2" t="s">
        <v>561</v>
      </c>
      <c r="F1510" s="3">
        <v>46204</v>
      </c>
      <c r="G1510" s="4">
        <v>3400002000</v>
      </c>
      <c r="H1510">
        <f t="shared" si="69"/>
        <v>0</v>
      </c>
      <c r="I1510">
        <f t="shared" si="70"/>
        <v>0.2857142857142857</v>
      </c>
      <c r="J1510">
        <f t="shared" si="71"/>
        <v>0</v>
      </c>
    </row>
    <row r="1511" spans="1:10" ht="26.1" customHeight="1" x14ac:dyDescent="0.2">
      <c r="A1511" s="4">
        <v>3614</v>
      </c>
      <c r="B1511" s="2" t="s">
        <v>95</v>
      </c>
      <c r="C1511" s="2" t="s">
        <v>545</v>
      </c>
      <c r="D1511" s="2" t="s">
        <v>602</v>
      </c>
      <c r="E1511" s="2">
        <v>7668</v>
      </c>
      <c r="F1511" s="3">
        <v>46204</v>
      </c>
      <c r="G1511" s="4">
        <v>3400002000</v>
      </c>
      <c r="H1511">
        <f t="shared" si="69"/>
        <v>0</v>
      </c>
      <c r="I1511">
        <f t="shared" si="70"/>
        <v>0.2857142857142857</v>
      </c>
      <c r="J1511">
        <f t="shared" si="71"/>
        <v>0</v>
      </c>
    </row>
    <row r="1512" spans="1:10" ht="39.200000000000003" customHeight="1" x14ac:dyDescent="0.2">
      <c r="A1512" s="4">
        <v>3615</v>
      </c>
      <c r="B1512" s="2" t="s">
        <v>65</v>
      </c>
      <c r="C1512" s="2" t="s">
        <v>373</v>
      </c>
      <c r="D1512" s="2" t="s">
        <v>374</v>
      </c>
      <c r="E1512" s="2" t="s">
        <v>561</v>
      </c>
      <c r="F1512" s="3">
        <v>46204</v>
      </c>
      <c r="G1512" s="4">
        <v>3400002000</v>
      </c>
      <c r="H1512">
        <f t="shared" si="69"/>
        <v>0</v>
      </c>
      <c r="I1512">
        <f t="shared" si="70"/>
        <v>0.2857142857142857</v>
      </c>
      <c r="J1512">
        <f t="shared" si="71"/>
        <v>0</v>
      </c>
    </row>
    <row r="1513" spans="1:10" ht="26.1" customHeight="1" x14ac:dyDescent="0.2">
      <c r="A1513" s="4">
        <v>3616</v>
      </c>
      <c r="B1513" s="2" t="s">
        <v>68</v>
      </c>
      <c r="C1513" s="2" t="s">
        <v>471</v>
      </c>
      <c r="D1513" s="2" t="s">
        <v>603</v>
      </c>
      <c r="E1513" s="2" t="s">
        <v>604</v>
      </c>
      <c r="F1513" s="3">
        <v>46204</v>
      </c>
      <c r="G1513" s="4">
        <v>3400002000</v>
      </c>
      <c r="H1513">
        <f t="shared" si="69"/>
        <v>0</v>
      </c>
      <c r="I1513">
        <f t="shared" si="70"/>
        <v>0.2857142857142857</v>
      </c>
      <c r="J1513">
        <f t="shared" si="71"/>
        <v>0</v>
      </c>
    </row>
    <row r="1514" spans="1:10" ht="26.1" customHeight="1" x14ac:dyDescent="0.2">
      <c r="A1514" s="4">
        <v>3617</v>
      </c>
      <c r="B1514" s="2" t="s">
        <v>82</v>
      </c>
      <c r="C1514" s="2" t="s">
        <v>80</v>
      </c>
      <c r="D1514" s="2" t="s">
        <v>605</v>
      </c>
      <c r="E1514" s="2">
        <v>374984264</v>
      </c>
      <c r="F1514" s="3">
        <v>46204</v>
      </c>
      <c r="G1514" s="4">
        <v>3400002000</v>
      </c>
      <c r="H1514">
        <f t="shared" si="69"/>
        <v>0</v>
      </c>
      <c r="I1514">
        <f t="shared" si="70"/>
        <v>0.2857142857142857</v>
      </c>
      <c r="J1514">
        <f t="shared" si="71"/>
        <v>0</v>
      </c>
    </row>
    <row r="1515" spans="1:10" ht="26.1" customHeight="1" x14ac:dyDescent="0.2">
      <c r="A1515" s="4">
        <v>3618</v>
      </c>
      <c r="B1515" s="2" t="s">
        <v>82</v>
      </c>
      <c r="C1515" s="2" t="s">
        <v>80</v>
      </c>
      <c r="D1515" s="2" t="s">
        <v>605</v>
      </c>
      <c r="E1515" s="2">
        <v>374960983</v>
      </c>
      <c r="F1515" s="3">
        <v>46204</v>
      </c>
      <c r="G1515" s="4">
        <v>3400002000</v>
      </c>
      <c r="H1515">
        <f t="shared" si="69"/>
        <v>0</v>
      </c>
      <c r="I1515">
        <f t="shared" si="70"/>
        <v>0.2857142857142857</v>
      </c>
      <c r="J1515">
        <f t="shared" si="71"/>
        <v>0</v>
      </c>
    </row>
    <row r="1516" spans="1:10" ht="39.200000000000003" customHeight="1" x14ac:dyDescent="0.2">
      <c r="A1516" s="4">
        <v>3619</v>
      </c>
      <c r="B1516" s="2" t="s">
        <v>582</v>
      </c>
      <c r="C1516" s="2" t="s">
        <v>353</v>
      </c>
      <c r="D1516" s="2" t="s">
        <v>583</v>
      </c>
      <c r="E1516" s="2" t="s">
        <v>561</v>
      </c>
      <c r="F1516" s="3">
        <v>46204</v>
      </c>
      <c r="G1516" s="4">
        <v>3400002000</v>
      </c>
      <c r="H1516">
        <f t="shared" si="69"/>
        <v>0</v>
      </c>
      <c r="I1516">
        <f t="shared" si="70"/>
        <v>0.2857142857142857</v>
      </c>
      <c r="J1516">
        <f t="shared" si="71"/>
        <v>0</v>
      </c>
    </row>
    <row r="1517" spans="1:10" ht="39.200000000000003" customHeight="1" x14ac:dyDescent="0.2">
      <c r="A1517" s="4">
        <v>3620</v>
      </c>
      <c r="B1517" s="2" t="s">
        <v>477</v>
      </c>
      <c r="C1517" s="2" t="s">
        <v>353</v>
      </c>
      <c r="D1517" s="2" t="s">
        <v>606</v>
      </c>
      <c r="E1517" s="2" t="s">
        <v>561</v>
      </c>
      <c r="F1517" s="3">
        <v>46204</v>
      </c>
      <c r="G1517" s="4">
        <v>3400002000</v>
      </c>
      <c r="H1517">
        <f t="shared" si="69"/>
        <v>0</v>
      </c>
      <c r="I1517">
        <f t="shared" si="70"/>
        <v>0.2857142857142857</v>
      </c>
      <c r="J1517">
        <f t="shared" si="71"/>
        <v>0</v>
      </c>
    </row>
    <row r="1518" spans="1:10" ht="26.1" customHeight="1" x14ac:dyDescent="0.2">
      <c r="A1518" s="4">
        <v>3621</v>
      </c>
      <c r="B1518" s="2" t="s">
        <v>150</v>
      </c>
      <c r="C1518" s="2" t="s">
        <v>80</v>
      </c>
      <c r="D1518" s="2" t="s">
        <v>607</v>
      </c>
      <c r="E1518" s="2">
        <v>841995373</v>
      </c>
      <c r="F1518" s="3">
        <v>46204</v>
      </c>
      <c r="G1518" s="4">
        <v>3400002000</v>
      </c>
      <c r="H1518">
        <f t="shared" si="69"/>
        <v>0</v>
      </c>
      <c r="I1518">
        <f t="shared" si="70"/>
        <v>0.2857142857142857</v>
      </c>
      <c r="J1518">
        <f t="shared" si="71"/>
        <v>0</v>
      </c>
    </row>
    <row r="1519" spans="1:10" ht="26.1" customHeight="1" x14ac:dyDescent="0.2">
      <c r="A1519" s="4">
        <v>3622</v>
      </c>
      <c r="B1519" s="2" t="s">
        <v>325</v>
      </c>
      <c r="C1519" s="2" t="s">
        <v>80</v>
      </c>
      <c r="D1519" s="2" t="s">
        <v>608</v>
      </c>
      <c r="E1519" s="2">
        <v>449767292</v>
      </c>
      <c r="F1519" s="3">
        <v>46204</v>
      </c>
      <c r="G1519" s="4">
        <v>3400002000</v>
      </c>
      <c r="H1519">
        <f t="shared" si="69"/>
        <v>0</v>
      </c>
      <c r="I1519">
        <f t="shared" si="70"/>
        <v>0.2857142857142857</v>
      </c>
      <c r="J1519">
        <f t="shared" si="71"/>
        <v>0</v>
      </c>
    </row>
    <row r="1520" spans="1:10" ht="26.1" customHeight="1" x14ac:dyDescent="0.2">
      <c r="A1520" s="4">
        <v>3623</v>
      </c>
      <c r="B1520" s="2" t="s">
        <v>588</v>
      </c>
      <c r="C1520" s="2" t="s">
        <v>80</v>
      </c>
      <c r="D1520" s="2" t="s">
        <v>589</v>
      </c>
      <c r="E1520" s="2">
        <v>711517461</v>
      </c>
      <c r="F1520" s="3">
        <v>46204</v>
      </c>
      <c r="G1520" s="4">
        <v>3400002000</v>
      </c>
      <c r="H1520">
        <f t="shared" si="69"/>
        <v>0</v>
      </c>
      <c r="I1520">
        <f t="shared" si="70"/>
        <v>0.2857142857142857</v>
      </c>
      <c r="J1520">
        <f t="shared" si="71"/>
        <v>0</v>
      </c>
    </row>
    <row r="1521" spans="1:10" ht="26.1" customHeight="1" x14ac:dyDescent="0.2">
      <c r="A1521" s="4">
        <v>3628</v>
      </c>
      <c r="B1521" s="2" t="s">
        <v>391</v>
      </c>
      <c r="C1521" s="2" t="s">
        <v>489</v>
      </c>
      <c r="D1521" s="2" t="s">
        <v>609</v>
      </c>
      <c r="E1521" s="2" t="s">
        <v>610</v>
      </c>
      <c r="F1521" s="3">
        <v>46204</v>
      </c>
      <c r="G1521" s="4">
        <v>3400002000</v>
      </c>
      <c r="H1521">
        <f t="shared" si="69"/>
        <v>0</v>
      </c>
      <c r="I1521">
        <f t="shared" si="70"/>
        <v>0.2857142857142857</v>
      </c>
      <c r="J1521">
        <f t="shared" si="71"/>
        <v>0</v>
      </c>
    </row>
    <row r="1522" spans="1:10" ht="26.1" customHeight="1" x14ac:dyDescent="0.2">
      <c r="A1522" s="4">
        <v>3629</v>
      </c>
      <c r="B1522" s="2" t="s">
        <v>391</v>
      </c>
      <c r="C1522" s="2" t="s">
        <v>489</v>
      </c>
      <c r="D1522" s="2" t="s">
        <v>611</v>
      </c>
      <c r="E1522" s="2" t="s">
        <v>612</v>
      </c>
      <c r="F1522" s="3">
        <v>46204</v>
      </c>
      <c r="G1522" s="4">
        <v>3400002000</v>
      </c>
      <c r="H1522">
        <f t="shared" si="69"/>
        <v>0</v>
      </c>
      <c r="I1522">
        <f t="shared" si="70"/>
        <v>0.2857142857142857</v>
      </c>
      <c r="J1522">
        <f t="shared" si="71"/>
        <v>0</v>
      </c>
    </row>
    <row r="1523" spans="1:10" ht="39.200000000000003" customHeight="1" x14ac:dyDescent="0.2">
      <c r="A1523" s="4">
        <v>3630</v>
      </c>
      <c r="B1523" s="2" t="s">
        <v>222</v>
      </c>
      <c r="C1523" s="2" t="s">
        <v>613</v>
      </c>
      <c r="D1523" s="2" t="s">
        <v>614</v>
      </c>
      <c r="E1523" s="2" t="s">
        <v>615</v>
      </c>
      <c r="F1523" s="3">
        <v>46204</v>
      </c>
      <c r="G1523" s="4">
        <v>3400002000</v>
      </c>
      <c r="H1523">
        <f t="shared" si="69"/>
        <v>0</v>
      </c>
      <c r="I1523">
        <f t="shared" si="70"/>
        <v>0.2857142857142857</v>
      </c>
      <c r="J1523">
        <f t="shared" si="71"/>
        <v>0</v>
      </c>
    </row>
    <row r="1524" spans="1:10" ht="26.1" customHeight="1" x14ac:dyDescent="0.2">
      <c r="A1524" s="4">
        <v>3631</v>
      </c>
      <c r="B1524" s="2" t="s">
        <v>227</v>
      </c>
      <c r="C1524" s="2" t="s">
        <v>80</v>
      </c>
      <c r="D1524" s="2" t="s">
        <v>616</v>
      </c>
      <c r="E1524" s="2">
        <v>1111111111</v>
      </c>
      <c r="F1524" s="3">
        <v>46204</v>
      </c>
      <c r="G1524" s="4">
        <v>1925007000</v>
      </c>
      <c r="H1524">
        <f t="shared" si="69"/>
        <v>0</v>
      </c>
      <c r="I1524">
        <f t="shared" si="70"/>
        <v>0.2857142857142857</v>
      </c>
      <c r="J1524">
        <f t="shared" si="71"/>
        <v>0</v>
      </c>
    </row>
    <row r="1525" spans="1:10" ht="15" customHeight="1" x14ac:dyDescent="0.2">
      <c r="A1525" s="4">
        <v>10000</v>
      </c>
      <c r="B1525" s="2" t="s">
        <v>13</v>
      </c>
      <c r="C1525" s="2" t="s">
        <v>187</v>
      </c>
      <c r="D1525" s="2" t="s">
        <v>10</v>
      </c>
      <c r="F1525" s="3">
        <v>43584</v>
      </c>
      <c r="G1525" s="4">
        <v>1014001</v>
      </c>
      <c r="H1525">
        <f t="shared" si="69"/>
        <v>0</v>
      </c>
      <c r="I1525">
        <f t="shared" si="70"/>
        <v>0.2857142857142857</v>
      </c>
      <c r="J1525">
        <f t="shared" si="71"/>
        <v>0</v>
      </c>
    </row>
    <row r="1526" spans="1:10" ht="26.1" customHeight="1" x14ac:dyDescent="0.2">
      <c r="A1526" s="4">
        <v>20000</v>
      </c>
      <c r="B1526" s="2" t="s">
        <v>617</v>
      </c>
      <c r="C1526" s="2" t="s">
        <v>618</v>
      </c>
      <c r="D1526" s="2" t="s">
        <v>619</v>
      </c>
      <c r="E1526" s="2">
        <v>13003860</v>
      </c>
      <c r="F1526" s="3">
        <v>46011</v>
      </c>
      <c r="G1526" s="4">
        <v>1068013000</v>
      </c>
      <c r="H1526">
        <f t="shared" si="69"/>
        <v>0</v>
      </c>
      <c r="I1526">
        <f t="shared" si="70"/>
        <v>0.2857142857142857</v>
      </c>
      <c r="J1526">
        <f t="shared" si="71"/>
        <v>0</v>
      </c>
    </row>
    <row r="1527" spans="1:10" ht="26.1" customHeight="1" x14ac:dyDescent="0.2">
      <c r="A1527" s="4">
        <v>20001</v>
      </c>
      <c r="B1527" s="2" t="s">
        <v>620</v>
      </c>
      <c r="C1527" s="2" t="s">
        <v>618</v>
      </c>
      <c r="D1527" s="2" t="s">
        <v>621</v>
      </c>
      <c r="E1527" s="2">
        <v>13003870</v>
      </c>
      <c r="F1527" s="3">
        <v>46011</v>
      </c>
      <c r="G1527" s="4">
        <v>1014001</v>
      </c>
      <c r="H1527">
        <f t="shared" si="69"/>
        <v>0</v>
      </c>
      <c r="I1527">
        <f t="shared" si="70"/>
        <v>0.2857142857142857</v>
      </c>
      <c r="J1527">
        <f t="shared" si="71"/>
        <v>0</v>
      </c>
    </row>
    <row r="1528" spans="1:10" ht="26.1" customHeight="1" x14ac:dyDescent="0.2">
      <c r="A1528" s="4">
        <v>20002</v>
      </c>
      <c r="B1528" s="2" t="s">
        <v>622</v>
      </c>
      <c r="C1528" s="2" t="s">
        <v>618</v>
      </c>
      <c r="D1528" s="2" t="s">
        <v>623</v>
      </c>
      <c r="E1528" s="2">
        <v>1111111111</v>
      </c>
      <c r="F1528" s="3">
        <v>46011</v>
      </c>
      <c r="G1528" s="4">
        <v>1068013000</v>
      </c>
      <c r="H1528">
        <f t="shared" si="69"/>
        <v>20</v>
      </c>
      <c r="I1528">
        <f t="shared" si="70"/>
        <v>0.2857142857142857</v>
      </c>
      <c r="J1528">
        <f t="shared" si="71"/>
        <v>5.7142857142857135</v>
      </c>
    </row>
    <row r="1529" spans="1:10" ht="26.1" customHeight="1" x14ac:dyDescent="0.2">
      <c r="A1529" s="4">
        <v>20003</v>
      </c>
      <c r="B1529" s="2" t="s">
        <v>617</v>
      </c>
      <c r="C1529" s="2" t="s">
        <v>618</v>
      </c>
      <c r="D1529" s="2" t="s">
        <v>619</v>
      </c>
      <c r="E1529" s="2">
        <v>13003830</v>
      </c>
      <c r="F1529" s="3">
        <v>46011</v>
      </c>
      <c r="G1529" s="4">
        <v>3391006000</v>
      </c>
      <c r="H1529">
        <f t="shared" si="69"/>
        <v>20</v>
      </c>
      <c r="I1529">
        <f t="shared" si="70"/>
        <v>0.2857142857142857</v>
      </c>
      <c r="J1529">
        <f t="shared" si="71"/>
        <v>5.7142857142857135</v>
      </c>
    </row>
    <row r="1530" spans="1:10" ht="39.200000000000003" customHeight="1" x14ac:dyDescent="0.2">
      <c r="A1530" s="4">
        <v>20004</v>
      </c>
      <c r="B1530" s="2" t="s">
        <v>620</v>
      </c>
      <c r="C1530" s="2" t="s">
        <v>618</v>
      </c>
      <c r="D1530" s="2" t="s">
        <v>621</v>
      </c>
      <c r="E1530" s="2" t="s">
        <v>561</v>
      </c>
      <c r="F1530" s="3">
        <v>46011</v>
      </c>
      <c r="G1530" s="4">
        <v>1014001</v>
      </c>
      <c r="H1530">
        <f t="shared" si="69"/>
        <v>0</v>
      </c>
      <c r="I1530">
        <f t="shared" si="70"/>
        <v>0.2857142857142857</v>
      </c>
      <c r="J1530">
        <f t="shared" si="71"/>
        <v>0</v>
      </c>
    </row>
    <row r="1531" spans="1:10" ht="26.1" customHeight="1" x14ac:dyDescent="0.2">
      <c r="A1531" s="4">
        <v>20005</v>
      </c>
      <c r="B1531" s="2" t="s">
        <v>622</v>
      </c>
      <c r="C1531" s="2" t="s">
        <v>618</v>
      </c>
      <c r="D1531" s="2" t="s">
        <v>623</v>
      </c>
      <c r="E1531" s="2">
        <v>1111111111</v>
      </c>
      <c r="F1531" s="3">
        <v>46011</v>
      </c>
      <c r="G1531" s="4">
        <v>1014001</v>
      </c>
      <c r="H1531">
        <f t="shared" si="69"/>
        <v>20</v>
      </c>
      <c r="I1531">
        <f t="shared" si="70"/>
        <v>0.2857142857142857</v>
      </c>
      <c r="J1531">
        <f t="shared" si="71"/>
        <v>5.7142857142857135</v>
      </c>
    </row>
    <row r="1532" spans="1:10" ht="39.200000000000003" customHeight="1" x14ac:dyDescent="0.2">
      <c r="A1532" s="4">
        <v>20006</v>
      </c>
      <c r="B1532" s="2" t="s">
        <v>617</v>
      </c>
      <c r="C1532" s="2" t="s">
        <v>618</v>
      </c>
      <c r="D1532" s="2" t="s">
        <v>619</v>
      </c>
      <c r="E1532" s="2" t="s">
        <v>561</v>
      </c>
      <c r="F1532" s="3">
        <v>46011</v>
      </c>
      <c r="G1532" s="4">
        <v>1014001</v>
      </c>
      <c r="H1532">
        <f t="shared" si="69"/>
        <v>20</v>
      </c>
      <c r="I1532">
        <f t="shared" si="70"/>
        <v>0.2857142857142857</v>
      </c>
      <c r="J1532">
        <f t="shared" si="71"/>
        <v>5.7142857142857135</v>
      </c>
    </row>
    <row r="1533" spans="1:10" ht="39.200000000000003" customHeight="1" x14ac:dyDescent="0.2">
      <c r="A1533" s="4">
        <v>20007</v>
      </c>
      <c r="B1533" s="2" t="s">
        <v>620</v>
      </c>
      <c r="C1533" s="2" t="s">
        <v>618</v>
      </c>
      <c r="D1533" s="2" t="s">
        <v>621</v>
      </c>
      <c r="E1533" s="2" t="s">
        <v>561</v>
      </c>
      <c r="F1533" s="3">
        <v>46011</v>
      </c>
      <c r="G1533" s="4">
        <v>1014001</v>
      </c>
      <c r="H1533">
        <f t="shared" si="69"/>
        <v>0</v>
      </c>
      <c r="I1533">
        <f t="shared" si="70"/>
        <v>0.2857142857142857</v>
      </c>
      <c r="J1533">
        <f t="shared" si="71"/>
        <v>0</v>
      </c>
    </row>
    <row r="1534" spans="1:10" ht="26.1" customHeight="1" x14ac:dyDescent="0.2">
      <c r="A1534" s="4">
        <v>20008</v>
      </c>
      <c r="B1534" s="2" t="s">
        <v>622</v>
      </c>
      <c r="C1534" s="2" t="s">
        <v>618</v>
      </c>
      <c r="D1534" s="2" t="s">
        <v>623</v>
      </c>
      <c r="E1534" s="2">
        <v>1111111111</v>
      </c>
      <c r="F1534" s="3">
        <v>46011</v>
      </c>
      <c r="G1534" s="4">
        <v>1014001</v>
      </c>
      <c r="H1534">
        <f t="shared" si="69"/>
        <v>20</v>
      </c>
      <c r="I1534">
        <f t="shared" si="70"/>
        <v>0.2857142857142857</v>
      </c>
      <c r="J1534">
        <f t="shared" si="71"/>
        <v>5.7142857142857135</v>
      </c>
    </row>
    <row r="1535" spans="1:10" ht="26.1" customHeight="1" x14ac:dyDescent="0.2">
      <c r="A1535" s="4">
        <v>20009</v>
      </c>
      <c r="B1535" s="2" t="s">
        <v>617</v>
      </c>
      <c r="C1535" s="2" t="s">
        <v>618</v>
      </c>
      <c r="D1535" s="2" t="s">
        <v>619</v>
      </c>
      <c r="E1535" s="2">
        <v>13003831</v>
      </c>
      <c r="F1535" s="3">
        <v>46011</v>
      </c>
      <c r="G1535" s="4">
        <v>1014001</v>
      </c>
      <c r="H1535">
        <f t="shared" si="69"/>
        <v>20</v>
      </c>
      <c r="I1535">
        <f t="shared" si="70"/>
        <v>0.2857142857142857</v>
      </c>
      <c r="J1535">
        <f t="shared" si="71"/>
        <v>5.7142857142857135</v>
      </c>
    </row>
    <row r="1536" spans="1:10" ht="26.1" customHeight="1" x14ac:dyDescent="0.2">
      <c r="A1536" s="4">
        <v>20010</v>
      </c>
      <c r="B1536" s="2" t="s">
        <v>620</v>
      </c>
      <c r="C1536" s="2" t="s">
        <v>618</v>
      </c>
      <c r="D1536" s="2" t="s">
        <v>621</v>
      </c>
      <c r="E1536" s="2">
        <v>13103831</v>
      </c>
      <c r="F1536" s="3">
        <v>46011</v>
      </c>
      <c r="G1536" s="4">
        <v>3391006000</v>
      </c>
      <c r="H1536">
        <f t="shared" si="69"/>
        <v>0</v>
      </c>
      <c r="I1536">
        <f t="shared" si="70"/>
        <v>0.2857142857142857</v>
      </c>
      <c r="J1536">
        <f t="shared" si="71"/>
        <v>0</v>
      </c>
    </row>
    <row r="1537" spans="1:10" ht="26.1" customHeight="1" x14ac:dyDescent="0.2">
      <c r="A1537" s="4">
        <v>20011</v>
      </c>
      <c r="B1537" s="2" t="s">
        <v>622</v>
      </c>
      <c r="C1537" s="2" t="s">
        <v>618</v>
      </c>
      <c r="D1537" s="2" t="s">
        <v>623</v>
      </c>
      <c r="E1537" s="2">
        <v>1111111111</v>
      </c>
      <c r="F1537" s="3">
        <v>46011</v>
      </c>
      <c r="G1537" s="4">
        <v>1014001</v>
      </c>
      <c r="H1537">
        <f t="shared" si="69"/>
        <v>20</v>
      </c>
      <c r="I1537">
        <f t="shared" si="70"/>
        <v>0.2857142857142857</v>
      </c>
      <c r="J1537">
        <f t="shared" si="71"/>
        <v>5.7142857142857135</v>
      </c>
    </row>
    <row r="1538" spans="1:10" ht="26.1" customHeight="1" x14ac:dyDescent="0.2">
      <c r="A1538" s="4">
        <v>20012</v>
      </c>
      <c r="B1538" s="2" t="s">
        <v>617</v>
      </c>
      <c r="C1538" s="2" t="s">
        <v>618</v>
      </c>
      <c r="D1538" s="2" t="s">
        <v>624</v>
      </c>
      <c r="E1538" s="2" t="s">
        <v>625</v>
      </c>
      <c r="F1538" s="3">
        <v>46011</v>
      </c>
      <c r="G1538" s="4">
        <v>2905001000</v>
      </c>
      <c r="H1538">
        <f t="shared" ref="H1538:H1550" si="72">VLOOKUP(A1538,O:P,2)</f>
        <v>20</v>
      </c>
      <c r="I1538">
        <f t="shared" ref="I1538:I1550" si="73">VLOOKUP(A1538,R:S,2)</f>
        <v>0.2857142857142857</v>
      </c>
      <c r="J1538">
        <f t="shared" ref="J1538:J1601" si="74">H1538*I1538</f>
        <v>5.7142857142857135</v>
      </c>
    </row>
    <row r="1539" spans="1:10" ht="26.1" customHeight="1" x14ac:dyDescent="0.2">
      <c r="A1539" s="4">
        <v>20013</v>
      </c>
      <c r="B1539" s="2" t="s">
        <v>620</v>
      </c>
      <c r="C1539" s="2" t="s">
        <v>618</v>
      </c>
      <c r="D1539" s="2" t="s">
        <v>626</v>
      </c>
      <c r="E1539" s="2" t="s">
        <v>625</v>
      </c>
      <c r="F1539" s="3">
        <v>46011</v>
      </c>
      <c r="G1539" s="4">
        <v>3395001000</v>
      </c>
      <c r="H1539">
        <f t="shared" si="72"/>
        <v>0</v>
      </c>
      <c r="I1539">
        <f t="shared" si="73"/>
        <v>0.2857142857142857</v>
      </c>
      <c r="J1539">
        <f t="shared" si="74"/>
        <v>0</v>
      </c>
    </row>
    <row r="1540" spans="1:10" ht="26.1" customHeight="1" x14ac:dyDescent="0.2">
      <c r="A1540" s="4">
        <v>20014</v>
      </c>
      <c r="B1540" s="2" t="s">
        <v>627</v>
      </c>
      <c r="C1540" s="2" t="s">
        <v>618</v>
      </c>
      <c r="D1540" s="2" t="s">
        <v>628</v>
      </c>
      <c r="E1540" s="2">
        <v>1111111111</v>
      </c>
      <c r="F1540" s="3">
        <v>46011</v>
      </c>
      <c r="G1540" s="4">
        <v>3395001000</v>
      </c>
      <c r="H1540">
        <f t="shared" si="72"/>
        <v>43</v>
      </c>
      <c r="I1540">
        <f t="shared" si="73"/>
        <v>0.2857142857142857</v>
      </c>
      <c r="J1540">
        <f t="shared" si="74"/>
        <v>12.285714285714285</v>
      </c>
    </row>
    <row r="1541" spans="1:10" ht="26.1" customHeight="1" x14ac:dyDescent="0.2">
      <c r="A1541" s="4">
        <v>20015</v>
      </c>
      <c r="B1541" s="2" t="s">
        <v>617</v>
      </c>
      <c r="C1541" s="2" t="s">
        <v>618</v>
      </c>
      <c r="D1541" s="2" t="s">
        <v>624</v>
      </c>
      <c r="E1541" s="2" t="s">
        <v>629</v>
      </c>
      <c r="F1541" s="3">
        <v>46011</v>
      </c>
      <c r="G1541" s="4">
        <v>3395001000</v>
      </c>
      <c r="H1541">
        <f t="shared" si="72"/>
        <v>43</v>
      </c>
      <c r="I1541">
        <f t="shared" si="73"/>
        <v>0.2857142857142857</v>
      </c>
      <c r="J1541">
        <f t="shared" si="74"/>
        <v>12.285714285714285</v>
      </c>
    </row>
    <row r="1542" spans="1:10" ht="39.200000000000003" customHeight="1" x14ac:dyDescent="0.2">
      <c r="A1542" s="4">
        <v>20016</v>
      </c>
      <c r="B1542" s="2" t="s">
        <v>620</v>
      </c>
      <c r="C1542" s="2" t="s">
        <v>618</v>
      </c>
      <c r="D1542" s="2" t="s">
        <v>626</v>
      </c>
      <c r="E1542" s="2" t="s">
        <v>561</v>
      </c>
      <c r="F1542" s="3">
        <v>46011</v>
      </c>
      <c r="G1542" s="4">
        <v>1014001</v>
      </c>
      <c r="H1542">
        <f t="shared" si="72"/>
        <v>0</v>
      </c>
      <c r="I1542">
        <f t="shared" si="73"/>
        <v>0.2857142857142857</v>
      </c>
      <c r="J1542">
        <f t="shared" si="74"/>
        <v>0</v>
      </c>
    </row>
    <row r="1543" spans="1:10" ht="26.1" customHeight="1" x14ac:dyDescent="0.2">
      <c r="A1543" s="4">
        <v>20017</v>
      </c>
      <c r="B1543" s="2" t="s">
        <v>627</v>
      </c>
      <c r="C1543" s="2" t="s">
        <v>618</v>
      </c>
      <c r="D1543" s="2" t="s">
        <v>628</v>
      </c>
      <c r="E1543" s="2">
        <v>1111111111</v>
      </c>
      <c r="F1543" s="3">
        <v>46011</v>
      </c>
      <c r="G1543" s="4">
        <v>2905001000</v>
      </c>
      <c r="H1543">
        <f t="shared" si="72"/>
        <v>43</v>
      </c>
      <c r="I1543">
        <f t="shared" si="73"/>
        <v>0.2857142857142857</v>
      </c>
      <c r="J1543">
        <f t="shared" si="74"/>
        <v>12.285714285714285</v>
      </c>
    </row>
    <row r="1544" spans="1:10" ht="39.200000000000003" customHeight="1" x14ac:dyDescent="0.2">
      <c r="A1544" s="4">
        <v>20018</v>
      </c>
      <c r="B1544" s="2" t="s">
        <v>617</v>
      </c>
      <c r="C1544" s="2" t="s">
        <v>618</v>
      </c>
      <c r="D1544" s="2" t="s">
        <v>624</v>
      </c>
      <c r="E1544" s="2" t="s">
        <v>561</v>
      </c>
      <c r="F1544" s="3">
        <v>46011</v>
      </c>
      <c r="G1544" s="4">
        <v>165001000</v>
      </c>
      <c r="H1544">
        <f t="shared" si="72"/>
        <v>43</v>
      </c>
      <c r="I1544">
        <f t="shared" si="73"/>
        <v>0.2857142857142857</v>
      </c>
      <c r="J1544">
        <f t="shared" si="74"/>
        <v>12.285714285714285</v>
      </c>
    </row>
    <row r="1545" spans="1:10" ht="39.200000000000003" customHeight="1" x14ac:dyDescent="0.2">
      <c r="A1545" s="4">
        <v>20019</v>
      </c>
      <c r="B1545" s="2" t="s">
        <v>620</v>
      </c>
      <c r="C1545" s="2" t="s">
        <v>618</v>
      </c>
      <c r="D1545" s="2" t="s">
        <v>626</v>
      </c>
      <c r="E1545" s="2" t="s">
        <v>561</v>
      </c>
      <c r="F1545" s="3">
        <v>46011</v>
      </c>
      <c r="G1545" s="4">
        <v>1014001</v>
      </c>
      <c r="H1545">
        <f t="shared" si="72"/>
        <v>0</v>
      </c>
      <c r="I1545">
        <f t="shared" si="73"/>
        <v>0.2857142857142857</v>
      </c>
      <c r="J1545">
        <f t="shared" si="74"/>
        <v>0</v>
      </c>
    </row>
    <row r="1546" spans="1:10" ht="26.1" customHeight="1" x14ac:dyDescent="0.2">
      <c r="A1546" s="4">
        <v>20020</v>
      </c>
      <c r="B1546" s="2" t="s">
        <v>627</v>
      </c>
      <c r="C1546" s="2" t="s">
        <v>618</v>
      </c>
      <c r="D1546" s="2" t="s">
        <v>628</v>
      </c>
      <c r="E1546" s="2">
        <v>1111111111</v>
      </c>
      <c r="F1546" s="3">
        <v>46011</v>
      </c>
      <c r="G1546" s="4">
        <v>165001000</v>
      </c>
      <c r="H1546">
        <f t="shared" si="72"/>
        <v>43</v>
      </c>
      <c r="I1546">
        <f t="shared" si="73"/>
        <v>0.2857142857142857</v>
      </c>
      <c r="J1546">
        <f t="shared" si="74"/>
        <v>12.285714285714285</v>
      </c>
    </row>
    <row r="1547" spans="1:10" ht="26.1" customHeight="1" x14ac:dyDescent="0.2">
      <c r="A1547" s="4">
        <v>973408</v>
      </c>
      <c r="B1547" s="2" t="s">
        <v>79</v>
      </c>
      <c r="C1547" s="2" t="s">
        <v>80</v>
      </c>
      <c r="D1547" s="2" t="s">
        <v>484</v>
      </c>
      <c r="E1547" s="2" t="s">
        <v>630</v>
      </c>
      <c r="F1547" s="3">
        <v>45477</v>
      </c>
      <c r="G1547" s="4">
        <v>989003001</v>
      </c>
      <c r="H1547">
        <f t="shared" si="72"/>
        <v>43</v>
      </c>
      <c r="I1547">
        <f t="shared" si="73"/>
        <v>0.2857142857142857</v>
      </c>
      <c r="J1547">
        <f t="shared" si="74"/>
        <v>12.285714285714285</v>
      </c>
    </row>
    <row r="1548" spans="1:10" ht="26.1" customHeight="1" x14ac:dyDescent="0.2">
      <c r="A1548" s="4">
        <v>2508973408</v>
      </c>
      <c r="B1548" s="2" t="s">
        <v>150</v>
      </c>
      <c r="C1548" s="2" t="s">
        <v>80</v>
      </c>
      <c r="D1548" s="2" t="s">
        <v>151</v>
      </c>
      <c r="E1548" s="2" t="s">
        <v>631</v>
      </c>
      <c r="F1548" s="3">
        <v>40141</v>
      </c>
      <c r="G1548" s="4">
        <v>989003001</v>
      </c>
      <c r="H1548">
        <f t="shared" si="72"/>
        <v>43</v>
      </c>
      <c r="I1548">
        <f t="shared" si="73"/>
        <v>0.2857142857142857</v>
      </c>
      <c r="J1548">
        <f t="shared" si="74"/>
        <v>12.285714285714285</v>
      </c>
    </row>
    <row r="1549" spans="1:10" ht="26.1" customHeight="1" x14ac:dyDescent="0.2">
      <c r="A1549" s="4">
        <v>3244001000</v>
      </c>
      <c r="B1549" s="2" t="s">
        <v>7</v>
      </c>
      <c r="C1549" s="2" t="s">
        <v>8</v>
      </c>
      <c r="E1549" s="2">
        <v>12345567</v>
      </c>
      <c r="F1549" s="3">
        <v>25688</v>
      </c>
      <c r="G1549" s="4">
        <v>989003001</v>
      </c>
      <c r="H1549">
        <f t="shared" si="72"/>
        <v>1212</v>
      </c>
      <c r="I1549">
        <f t="shared" si="73"/>
        <v>0.2857142857142857</v>
      </c>
      <c r="J1549">
        <f t="shared" si="74"/>
        <v>346.28571428571428</v>
      </c>
    </row>
    <row r="1550" spans="1:10" ht="15" hidden="1" customHeight="1" x14ac:dyDescent="0.2">
      <c r="A1550" s="5" t="s">
        <v>632</v>
      </c>
      <c r="H1550" t="e">
        <f t="shared" si="72"/>
        <v>#N/A</v>
      </c>
      <c r="I1550" t="e">
        <f t="shared" si="73"/>
        <v>#N/A</v>
      </c>
      <c r="J1550" t="e">
        <f t="shared" si="74"/>
        <v>#N/A</v>
      </c>
    </row>
  </sheetData>
  <sheetCalcPr fullCalcOnLoad="1"/>
  <phoneticPr fontId="0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Maquinarias por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Ayala</cp:lastModifiedBy>
  <dcterms:created xsi:type="dcterms:W3CDTF">2026-07-13T12:54:50Z</dcterms:created>
  <dcterms:modified xsi:type="dcterms:W3CDTF">2026-07-13T14:16:25Z</dcterms:modified>
</cp:coreProperties>
</file>