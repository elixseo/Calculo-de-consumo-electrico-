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Nuevo Calculo de Consumo electrico\RE_ Horas de uso de máquinas - pendientes\"/>
    </mc:Choice>
  </mc:AlternateContent>
  <xr:revisionPtr revIDLastSave="0" documentId="8_{7DA34AD2-B423-4F01-B8DE-07564E9BA6EC}" xr6:coauthVersionLast="47" xr6:coauthVersionMax="47" xr10:uidLastSave="{00000000-0000-0000-0000-000000000000}"/>
  <bookViews>
    <workbookView xWindow="20370" yWindow="-120" windowWidth="20730" windowHeight="11040" firstSheet="1" activeTab="2" xr2:uid="{00000000-000D-0000-FFFF-FFFF00000000}"/>
  </bookViews>
  <sheets>
    <sheet name="Faltantes febrero" sheetId="5" state="hidden" r:id="rId1"/>
    <sheet name="Inventario ENE 30-1-26" sheetId="3" r:id="rId2"/>
    <sheet name="Inventario FEB 4-3-26" sheetId="4" r:id="rId3"/>
  </sheets>
  <definedNames>
    <definedName name="_xlnm._FilterDatabase" localSheetId="1" hidden="1">'Inventario ENE 30-1-26'!$A$1:$J$1103</definedName>
    <definedName name="_xlnm._FilterDatabase" localSheetId="2" hidden="1">'Inventario FEB 4-3-26'!$A$1:$B$1129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99" i="4" l="1"/>
  <c r="B643" i="4"/>
  <c r="B834" i="4"/>
  <c r="B838" i="4"/>
  <c r="B118" i="4"/>
  <c r="B874" i="4"/>
  <c r="B304" i="4"/>
  <c r="B458" i="4"/>
  <c r="B346" i="4"/>
  <c r="B470" i="4"/>
  <c r="B75" i="4"/>
  <c r="B807" i="4"/>
  <c r="B40" i="4"/>
  <c r="B265" i="4"/>
  <c r="B411" i="4"/>
  <c r="B415" i="4"/>
  <c r="B416" i="4"/>
  <c r="B20" i="4"/>
  <c r="B21" i="4"/>
  <c r="B417" i="4"/>
  <c r="B439" i="4"/>
  <c r="B465" i="4"/>
  <c r="B467" i="4"/>
  <c r="B775" i="4"/>
  <c r="B30" i="4"/>
  <c r="B31" i="4"/>
  <c r="B33" i="4"/>
  <c r="B34" i="4"/>
  <c r="B56" i="4"/>
  <c r="B92" i="4"/>
  <c r="B104" i="4"/>
  <c r="B105" i="4"/>
  <c r="B115" i="4"/>
  <c r="B119" i="4"/>
  <c r="B129" i="4"/>
  <c r="B133" i="4"/>
  <c r="B138" i="4"/>
  <c r="B144" i="4"/>
  <c r="B177" i="4"/>
  <c r="B186" i="4"/>
  <c r="B203" i="4"/>
  <c r="B211" i="4"/>
  <c r="B224" i="4"/>
  <c r="B227" i="4"/>
  <c r="B230" i="4"/>
  <c r="B233" i="4"/>
  <c r="B245" i="4"/>
  <c r="B50" i="4"/>
  <c r="B250" i="4"/>
  <c r="B251" i="4"/>
  <c r="B258" i="4"/>
  <c r="B262" i="4"/>
  <c r="B272" i="4"/>
  <c r="B276" i="4"/>
  <c r="B283" i="4"/>
  <c r="B286" i="4"/>
  <c r="B295" i="4"/>
  <c r="B301" i="4"/>
  <c r="B312" i="4"/>
  <c r="B313" i="4"/>
  <c r="B316" i="4"/>
  <c r="B330" i="4"/>
  <c r="B331" i="4"/>
  <c r="B345" i="4"/>
  <c r="B347" i="4"/>
  <c r="B349" i="4"/>
  <c r="B365" i="4"/>
  <c r="B369" i="4"/>
  <c r="B376" i="4"/>
  <c r="B377" i="4"/>
  <c r="B387" i="4"/>
  <c r="B389" i="4"/>
  <c r="B402" i="4"/>
  <c r="B426" i="4"/>
  <c r="B437" i="4"/>
  <c r="B78" i="4"/>
  <c r="B444" i="4"/>
  <c r="B461" i="4"/>
  <c r="B495" i="4"/>
  <c r="B521" i="4"/>
  <c r="B564" i="4"/>
  <c r="B588" i="4"/>
  <c r="B616" i="4"/>
  <c r="B656" i="4"/>
  <c r="B692" i="4"/>
  <c r="B89" i="4"/>
  <c r="B707" i="4"/>
  <c r="B733" i="4"/>
  <c r="B756" i="4"/>
  <c r="B811" i="4"/>
  <c r="B850" i="4"/>
  <c r="B864" i="4"/>
  <c r="B920" i="4"/>
  <c r="B101" i="4"/>
  <c r="B922" i="4"/>
  <c r="B1001" i="4"/>
  <c r="B1003" i="4"/>
  <c r="B1022" i="4"/>
  <c r="B1026" i="4"/>
  <c r="B1029" i="4"/>
  <c r="B1046" i="4"/>
  <c r="B1054" i="4"/>
  <c r="B1070" i="4"/>
  <c r="B1096" i="4"/>
  <c r="B117" i="4"/>
  <c r="B26" i="4"/>
  <c r="B51" i="4"/>
  <c r="B60" i="4"/>
  <c r="B82" i="4"/>
  <c r="B123" i="4"/>
  <c r="B155" i="4"/>
  <c r="B198" i="4"/>
  <c r="B303" i="4"/>
  <c r="B362" i="4"/>
  <c r="B435" i="4"/>
  <c r="B131" i="4"/>
  <c r="B500" i="4"/>
  <c r="B760" i="4"/>
  <c r="B890" i="4"/>
  <c r="B963" i="4"/>
  <c r="B137" i="4"/>
  <c r="B971" i="4"/>
  <c r="B992" i="4"/>
  <c r="B598" i="4"/>
  <c r="B684" i="4"/>
  <c r="B255" i="4"/>
  <c r="B344" i="4"/>
  <c r="B375" i="4"/>
  <c r="B731" i="4"/>
  <c r="B103" i="4"/>
  <c r="B147" i="4"/>
  <c r="B205" i="4"/>
  <c r="B209" i="4"/>
  <c r="B226" i="4"/>
  <c r="B281" i="4"/>
  <c r="B367" i="4"/>
  <c r="B545" i="4"/>
  <c r="B632" i="4"/>
  <c r="B645" i="4"/>
  <c r="B666" i="4"/>
  <c r="B677" i="4"/>
  <c r="B736" i="4"/>
  <c r="B757" i="4"/>
  <c r="B160" i="4"/>
  <c r="B769" i="4"/>
  <c r="B796" i="4"/>
  <c r="B901" i="4"/>
  <c r="B904" i="4"/>
  <c r="B954" i="4"/>
  <c r="B955" i="4"/>
  <c r="B956" i="4"/>
  <c r="B960" i="4"/>
  <c r="B1051" i="4"/>
  <c r="B372" i="4"/>
  <c r="B758" i="4"/>
  <c r="B797" i="4"/>
  <c r="B1104" i="4"/>
  <c r="B90" i="4"/>
  <c r="B96" i="4"/>
  <c r="B29" i="4"/>
  <c r="B47" i="4"/>
  <c r="B53" i="4"/>
  <c r="B181" i="4"/>
  <c r="B374" i="4"/>
  <c r="B408" i="4"/>
  <c r="B441" i="4"/>
  <c r="B648" i="4"/>
  <c r="B650" i="4"/>
  <c r="B777" i="4"/>
  <c r="B778" i="4"/>
  <c r="B931" i="4"/>
  <c r="B4" i="4"/>
  <c r="B57" i="4"/>
  <c r="B171" i="4"/>
  <c r="B197" i="4"/>
  <c r="B391" i="4"/>
  <c r="B454" i="4"/>
  <c r="B457" i="4"/>
  <c r="B547" i="4"/>
  <c r="B591" i="4"/>
  <c r="B822" i="4"/>
  <c r="B249" i="4"/>
  <c r="B652" i="4"/>
  <c r="B673" i="4"/>
  <c r="B443" i="4"/>
  <c r="B451" i="4"/>
  <c r="B586" i="4"/>
  <c r="B206" i="4"/>
  <c r="B9" i="4"/>
  <c r="B11" i="4"/>
  <c r="B46" i="4"/>
  <c r="B210" i="4"/>
  <c r="B67" i="4"/>
  <c r="B107" i="4"/>
  <c r="B326" i="4"/>
  <c r="B333" i="4"/>
  <c r="B215" i="4"/>
  <c r="B483" i="4"/>
  <c r="B534" i="4"/>
  <c r="B662" i="4"/>
  <c r="B828" i="4"/>
  <c r="B830" i="4"/>
  <c r="B195" i="4"/>
  <c r="B214" i="4"/>
  <c r="B527" i="4"/>
  <c r="B550" i="4"/>
  <c r="B6" i="4"/>
  <c r="B14" i="4"/>
  <c r="B63" i="4"/>
  <c r="B111" i="4"/>
  <c r="B166" i="4"/>
  <c r="B232" i="4"/>
  <c r="B291" i="4"/>
  <c r="B318" i="4"/>
  <c r="B328" i="4"/>
  <c r="B343" i="4"/>
  <c r="B359" i="4"/>
  <c r="B404" i="4"/>
  <c r="B468" i="4"/>
  <c r="B240" i="4"/>
  <c r="B501" i="4"/>
  <c r="B506" i="4"/>
  <c r="B585" i="4"/>
  <c r="B594" i="4"/>
  <c r="B595" i="4"/>
  <c r="B613" i="4"/>
  <c r="B640" i="4"/>
  <c r="B678" i="4"/>
  <c r="B739" i="4"/>
  <c r="B742" i="4"/>
  <c r="B766" i="4"/>
  <c r="B782" i="4"/>
  <c r="B786" i="4"/>
  <c r="B821" i="4"/>
  <c r="B825" i="4"/>
  <c r="B875" i="4"/>
  <c r="B876" i="4"/>
  <c r="B885" i="4"/>
  <c r="B935" i="4"/>
  <c r="B1076" i="4"/>
  <c r="B1083" i="4"/>
  <c r="B19" i="4"/>
  <c r="B36" i="4"/>
  <c r="B150" i="4"/>
  <c r="B161" i="4"/>
  <c r="B172" i="4"/>
  <c r="B482" i="4"/>
  <c r="B559" i="4"/>
  <c r="B273" i="4"/>
  <c r="B578" i="4"/>
  <c r="B946" i="4"/>
  <c r="B25" i="4"/>
  <c r="B356" i="4"/>
  <c r="B278" i="4"/>
  <c r="B413" i="4"/>
  <c r="B523" i="4"/>
  <c r="B282" i="4"/>
  <c r="B842" i="4"/>
  <c r="B1007" i="4"/>
  <c r="B109" i="4"/>
  <c r="B189" i="4"/>
  <c r="B242" i="4"/>
  <c r="B914" i="4"/>
  <c r="B69" i="4"/>
  <c r="B71" i="4"/>
  <c r="B609" i="4"/>
  <c r="B635" i="4"/>
  <c r="B24" i="4"/>
  <c r="B85" i="4"/>
  <c r="B126" i="4"/>
  <c r="B176" i="4"/>
  <c r="B371" i="4"/>
  <c r="B427" i="4"/>
  <c r="B463" i="4"/>
  <c r="B479" i="4"/>
  <c r="B540" i="4"/>
  <c r="B567" i="4"/>
  <c r="B829" i="4"/>
  <c r="B894" i="4"/>
  <c r="B646" i="4"/>
  <c r="B447" i="4"/>
  <c r="B464" i="4"/>
  <c r="B308" i="4"/>
  <c r="B839" i="4"/>
  <c r="B42" i="4"/>
  <c r="B459" i="4"/>
  <c r="B837" i="4"/>
  <c r="B196" i="4"/>
  <c r="B1036" i="4"/>
  <c r="B158" i="4"/>
  <c r="B541" i="4"/>
  <c r="B848" i="4"/>
  <c r="B39" i="4"/>
  <c r="B73" i="4"/>
  <c r="B180" i="4"/>
  <c r="B270" i="4"/>
  <c r="B288" i="4"/>
  <c r="B300" i="4"/>
  <c r="B320" i="4"/>
  <c r="B321" i="4"/>
  <c r="B324" i="4"/>
  <c r="B350" i="4"/>
  <c r="B363" i="4"/>
  <c r="B368" i="4"/>
  <c r="B421" i="4"/>
  <c r="B462" i="4"/>
  <c r="B494" i="4"/>
  <c r="B600" i="4"/>
  <c r="B626" i="4"/>
  <c r="B629" i="4"/>
  <c r="B663" i="4"/>
  <c r="B683" i="4"/>
  <c r="B724" i="4"/>
  <c r="B740" i="4"/>
  <c r="B746" i="4"/>
  <c r="B768" i="4"/>
  <c r="B770" i="4"/>
  <c r="B771" i="4"/>
  <c r="B788" i="4"/>
  <c r="B809" i="4"/>
  <c r="B810" i="4"/>
  <c r="B824" i="4"/>
  <c r="B826" i="4"/>
  <c r="B849" i="4"/>
  <c r="B851" i="4"/>
  <c r="B893" i="4"/>
  <c r="B913" i="4"/>
  <c r="B354" i="4"/>
  <c r="B970" i="4"/>
  <c r="B1010" i="4"/>
  <c r="B357" i="4"/>
  <c r="B1058" i="4"/>
  <c r="B1059" i="4"/>
  <c r="B1060" i="4"/>
  <c r="B1080" i="4"/>
  <c r="B5" i="4"/>
  <c r="B499" i="4"/>
  <c r="B364" i="4"/>
  <c r="B44" i="4"/>
  <c r="B378" i="4"/>
  <c r="B385" i="4"/>
  <c r="B749" i="4"/>
  <c r="B889" i="4"/>
  <c r="B898" i="4"/>
  <c r="B41" i="4"/>
  <c r="B95" i="4"/>
  <c r="B151" i="4"/>
  <c r="B165" i="4"/>
  <c r="B174" i="4"/>
  <c r="B220" i="4"/>
  <c r="B221" i="4"/>
  <c r="B254" i="4"/>
  <c r="B259" i="4"/>
  <c r="B360" i="4"/>
  <c r="B502" i="4"/>
  <c r="B382" i="4"/>
  <c r="B563" i="4"/>
  <c r="B620" i="4"/>
  <c r="B669" i="4"/>
  <c r="B887" i="4"/>
  <c r="B134" i="4"/>
  <c r="B86" i="4"/>
  <c r="B88" i="4"/>
  <c r="B315" i="4"/>
  <c r="B478" i="4"/>
  <c r="B7" i="4"/>
  <c r="B395" i="4"/>
  <c r="B518" i="4"/>
  <c r="B682" i="4"/>
  <c r="B143" i="4"/>
  <c r="B91" i="4"/>
  <c r="B388" i="4"/>
  <c r="B401" i="4"/>
  <c r="B576" i="4"/>
  <c r="B679" i="4"/>
  <c r="B406" i="4"/>
  <c r="B605" i="4"/>
  <c r="B606" i="4"/>
  <c r="B163" i="4"/>
  <c r="B231" i="4"/>
  <c r="B539" i="4"/>
  <c r="B714" i="4"/>
  <c r="B855" i="4"/>
  <c r="B886" i="4"/>
  <c r="B519" i="4"/>
  <c r="B936" i="4"/>
  <c r="B1129" i="4"/>
  <c r="B43" i="4"/>
  <c r="B708" i="4"/>
  <c r="B836" i="4"/>
  <c r="B216" i="4"/>
  <c r="B168" i="4"/>
  <c r="B102" i="4"/>
  <c r="B412" i="4"/>
  <c r="B148" i="4"/>
  <c r="B266" i="4"/>
  <c r="B542" i="4"/>
  <c r="B710" i="4"/>
  <c r="B752" i="4"/>
  <c r="B142" i="4"/>
  <c r="B219" i="4"/>
  <c r="B762" i="4"/>
  <c r="B405" i="4"/>
  <c r="B529" i="4"/>
  <c r="B690" i="4"/>
  <c r="B212" i="4"/>
  <c r="B10" i="4"/>
  <c r="B428" i="4"/>
  <c r="B450" i="4"/>
  <c r="B610" i="4"/>
  <c r="B672" i="4"/>
  <c r="B1041" i="4"/>
  <c r="B1061" i="4"/>
  <c r="B1069" i="4"/>
  <c r="B902" i="4"/>
  <c r="B18" i="4"/>
  <c r="B23" i="4"/>
  <c r="B45" i="4"/>
  <c r="B64" i="4"/>
  <c r="B70" i="4"/>
  <c r="B87" i="4"/>
  <c r="B106" i="4"/>
  <c r="B113" i="4"/>
  <c r="B120" i="4"/>
  <c r="B122" i="4"/>
  <c r="B149" i="4"/>
  <c r="B154" i="4"/>
  <c r="B218" i="4"/>
  <c r="B234" i="4"/>
  <c r="B236" i="4"/>
  <c r="B241" i="4"/>
  <c r="B243" i="4"/>
  <c r="B246" i="4"/>
  <c r="B294" i="4"/>
  <c r="B327" i="4"/>
  <c r="B334" i="4"/>
  <c r="B353" i="4"/>
  <c r="B379" i="4"/>
  <c r="B380" i="4"/>
  <c r="B409" i="4"/>
  <c r="B419" i="4"/>
  <c r="B422" i="4"/>
  <c r="B446" i="4"/>
  <c r="B487" i="4"/>
  <c r="B607" i="4"/>
  <c r="B617" i="4"/>
  <c r="B619" i="4"/>
  <c r="B622" i="4"/>
  <c r="B628" i="4"/>
  <c r="B644" i="4"/>
  <c r="B712" i="4"/>
  <c r="B772" i="4"/>
  <c r="B791" i="4"/>
  <c r="B865" i="4"/>
  <c r="B485" i="4"/>
  <c r="B903" i="4"/>
  <c r="B961" i="4"/>
  <c r="B1020" i="4"/>
  <c r="B1044" i="4"/>
  <c r="B317" i="4"/>
  <c r="B98" i="4"/>
  <c r="B492" i="4"/>
  <c r="B493" i="4"/>
  <c r="B124" i="4"/>
  <c r="B37" i="4"/>
  <c r="B112" i="4"/>
  <c r="B170" i="4"/>
  <c r="B132" i="4"/>
  <c r="B268" i="4"/>
  <c r="B257" i="4"/>
  <c r="B647" i="4"/>
  <c r="B695" i="4"/>
  <c r="B776" i="4"/>
  <c r="B814" i="4"/>
  <c r="B815" i="4"/>
  <c r="B816" i="4"/>
  <c r="B817" i="4"/>
  <c r="B831" i="4"/>
  <c r="B979" i="4"/>
  <c r="B510" i="4"/>
  <c r="B386" i="4"/>
  <c r="B665" i="4"/>
  <c r="B65" i="4"/>
  <c r="B263" i="4"/>
  <c r="B325" i="4"/>
  <c r="B570" i="4"/>
  <c r="B307" i="4"/>
  <c r="B469" i="4"/>
  <c r="B592" i="4"/>
  <c r="B627" i="4"/>
  <c r="B38" i="4"/>
  <c r="B239" i="4"/>
  <c r="B490" i="4"/>
  <c r="B225" i="4"/>
  <c r="B228" i="4"/>
  <c r="B503" i="4"/>
  <c r="B532" i="4"/>
  <c r="B743" i="4"/>
  <c r="B229" i="4"/>
  <c r="B989" i="4"/>
  <c r="B747" i="4"/>
  <c r="B841" i="4"/>
  <c r="B537" i="4"/>
  <c r="B725" i="4"/>
  <c r="B732" i="4"/>
  <c r="B116" i="4"/>
  <c r="B222" i="4"/>
  <c r="B296" i="4"/>
  <c r="B162" i="4"/>
  <c r="B275" i="4"/>
  <c r="B361" i="4"/>
  <c r="B393" i="4"/>
  <c r="B793" i="4"/>
  <c r="B55" i="4"/>
  <c r="B577" i="4"/>
  <c r="B546" i="4"/>
  <c r="B631" i="4"/>
  <c r="B194" i="4"/>
  <c r="B424" i="4"/>
  <c r="B525" i="4"/>
  <c r="B680" i="4"/>
  <c r="B552" i="4"/>
  <c r="B553" i="4"/>
  <c r="B1066" i="4"/>
  <c r="B906" i="4"/>
  <c r="B915" i="4"/>
  <c r="B919" i="4"/>
  <c r="B1100" i="4"/>
  <c r="B649" i="4"/>
  <c r="B121" i="4"/>
  <c r="B947" i="4"/>
  <c r="B93" i="4"/>
  <c r="B125" i="4"/>
  <c r="B279" i="4"/>
  <c r="B184" i="4"/>
  <c r="B323" i="4"/>
  <c r="B332" i="4"/>
  <c r="B513" i="4"/>
  <c r="B579" i="4"/>
  <c r="B589" i="4"/>
  <c r="B881" i="4"/>
  <c r="B882" i="4"/>
  <c r="B167" i="4"/>
  <c r="B178" i="4"/>
  <c r="B565" i="4"/>
  <c r="B753" i="4"/>
  <c r="B858" i="4"/>
  <c r="B879" i="4"/>
  <c r="B1064" i="4"/>
  <c r="B284" i="4"/>
  <c r="B859" i="4"/>
  <c r="B765" i="4"/>
  <c r="B217" i="4"/>
  <c r="B475" i="4"/>
  <c r="B907" i="4"/>
  <c r="B923" i="4"/>
  <c r="B366" i="4"/>
  <c r="B653" i="4"/>
  <c r="B13" i="4"/>
  <c r="B27" i="4"/>
  <c r="B62" i="4"/>
  <c r="B97" i="4"/>
  <c r="B164" i="4"/>
  <c r="B208" i="4"/>
  <c r="B269" i="4"/>
  <c r="B285" i="4"/>
  <c r="B298" i="4"/>
  <c r="B306" i="4"/>
  <c r="B322" i="4"/>
  <c r="B370" i="4"/>
  <c r="B384" i="4"/>
  <c r="B403" i="4"/>
  <c r="B410" i="4"/>
  <c r="B431" i="4"/>
  <c r="B442" i="4"/>
  <c r="B449" i="4"/>
  <c r="B486" i="4"/>
  <c r="B504" i="4"/>
  <c r="B508" i="4"/>
  <c r="B509" i="4"/>
  <c r="B512" i="4"/>
  <c r="B528" i="4"/>
  <c r="B530" i="4"/>
  <c r="B531" i="4"/>
  <c r="B535" i="4"/>
  <c r="B538" i="4"/>
  <c r="B548" i="4"/>
  <c r="B568" i="4"/>
  <c r="B575" i="4"/>
  <c r="B630" i="4"/>
  <c r="B641" i="4"/>
  <c r="B651" i="4"/>
  <c r="B625" i="4"/>
  <c r="B659" i="4"/>
  <c r="B668" i="4"/>
  <c r="B670" i="4"/>
  <c r="B686" i="4"/>
  <c r="B689" i="4"/>
  <c r="B691" i="4"/>
  <c r="B693" i="4"/>
  <c r="B709" i="4"/>
  <c r="B722" i="4"/>
  <c r="B730" i="4"/>
  <c r="B638" i="4"/>
  <c r="B792" i="4"/>
  <c r="B808" i="4"/>
  <c r="B892" i="4"/>
  <c r="B964" i="4"/>
  <c r="B965" i="4"/>
  <c r="B966" i="4"/>
  <c r="B974" i="4"/>
  <c r="B975" i="4"/>
  <c r="B654" i="4"/>
  <c r="B655" i="4"/>
  <c r="B1103" i="4"/>
  <c r="B657" i="4"/>
  <c r="B383" i="4"/>
  <c r="B687" i="4"/>
  <c r="B660" i="4"/>
  <c r="B694" i="4"/>
  <c r="B754" i="4"/>
  <c r="B784" i="4"/>
  <c r="B336" i="4"/>
  <c r="B522" i="4"/>
  <c r="B833" i="4"/>
  <c r="B188" i="4"/>
  <c r="B83" i="4"/>
  <c r="B392" i="4"/>
  <c r="B448" i="4"/>
  <c r="B456" i="4"/>
  <c r="B688" i="4"/>
  <c r="B977" i="4"/>
  <c r="B558" i="4"/>
  <c r="B566" i="4"/>
  <c r="B917" i="4"/>
  <c r="B157" i="4"/>
  <c r="B309" i="4"/>
  <c r="B587" i="4"/>
  <c r="B615" i="4"/>
  <c r="B681" i="4"/>
  <c r="B352" i="4"/>
  <c r="B639" i="4"/>
  <c r="B930" i="4"/>
  <c r="B1021" i="4"/>
  <c r="B49" i="4"/>
  <c r="B507" i="4"/>
  <c r="B870" i="4"/>
  <c r="B193" i="4"/>
  <c r="B201" i="4"/>
  <c r="B432" i="4"/>
  <c r="B445" i="4"/>
  <c r="B544" i="4"/>
  <c r="B713" i="4"/>
  <c r="B764" i="4"/>
  <c r="B779" i="4"/>
  <c r="B877" i="4"/>
  <c r="B68" i="4"/>
  <c r="B271" i="4"/>
  <c r="B852" i="4"/>
  <c r="B192" i="4"/>
  <c r="B253" i="4"/>
  <c r="B400" i="4"/>
  <c r="B597" i="4"/>
  <c r="B612" i="4"/>
  <c r="B667" i="4"/>
  <c r="B895" i="4"/>
  <c r="B953" i="4"/>
  <c r="B477" i="4"/>
  <c r="B685" i="4"/>
  <c r="B77" i="4"/>
  <c r="B1034" i="4"/>
  <c r="B425" i="4"/>
  <c r="B636" i="4"/>
  <c r="B737" i="4"/>
  <c r="B720" i="4"/>
  <c r="B721" i="4"/>
  <c r="B289" i="4"/>
  <c r="B723" i="4"/>
  <c r="B618" i="4"/>
  <c r="B329" i="4"/>
  <c r="B611" i="4"/>
  <c r="B213" i="4"/>
  <c r="B795" i="4"/>
  <c r="B729" i="4"/>
  <c r="B190" i="4"/>
  <c r="B420" i="4"/>
  <c r="B787" i="4"/>
  <c r="B280" i="4"/>
  <c r="B515" i="4"/>
  <c r="B735" i="4"/>
  <c r="B603" i="4"/>
  <c r="B54" i="4"/>
  <c r="B16" i="4"/>
  <c r="B139" i="4"/>
  <c r="B264" i="4"/>
  <c r="B398" i="4"/>
  <c r="B436" i="4"/>
  <c r="B310" i="4"/>
  <c r="B557" i="4"/>
  <c r="B191" i="4"/>
  <c r="B35" i="4"/>
  <c r="B136" i="4"/>
  <c r="B204" i="4"/>
  <c r="B474" i="4"/>
  <c r="B727" i="4"/>
  <c r="B202" i="4"/>
  <c r="B100" i="4"/>
  <c r="B561" i="4"/>
  <c r="B302" i="4"/>
  <c r="B556" i="4"/>
  <c r="B61" i="4"/>
  <c r="B339" i="4"/>
  <c r="B596" i="4"/>
  <c r="B835" i="4"/>
  <c r="B311" i="4"/>
  <c r="B497" i="4"/>
  <c r="B260" i="4"/>
  <c r="B869" i="4"/>
  <c r="B1030" i="4"/>
  <c r="B128" i="4"/>
  <c r="B15" i="4"/>
  <c r="B429" i="4"/>
  <c r="B773" i="4"/>
  <c r="B175" i="4"/>
  <c r="B505" i="4"/>
  <c r="B555" i="4"/>
  <c r="B623" i="4"/>
  <c r="B774" i="4"/>
  <c r="B52" i="4"/>
  <c r="B74" i="4"/>
  <c r="B287" i="4"/>
  <c r="B554" i="4"/>
  <c r="B583" i="4"/>
  <c r="B608" i="4"/>
  <c r="B169" i="4"/>
  <c r="B671" i="4"/>
  <c r="B783" i="4"/>
  <c r="B12" i="4"/>
  <c r="B785" i="4"/>
  <c r="B763" i="4"/>
  <c r="B520" i="4"/>
  <c r="B738" i="4"/>
  <c r="B728" i="4"/>
  <c r="B108" i="4"/>
  <c r="B274" i="4"/>
  <c r="B488" i="4"/>
  <c r="B820" i="4"/>
  <c r="B152" i="4"/>
  <c r="B794" i="4"/>
  <c r="B261" i="4"/>
  <c r="B358" i="4"/>
  <c r="B394" i="4"/>
  <c r="B584" i="4"/>
  <c r="B94" i="4"/>
  <c r="B453" i="4"/>
  <c r="B199" i="4"/>
  <c r="B290" i="4"/>
  <c r="B396" i="4"/>
  <c r="B514" i="4"/>
  <c r="B562" i="4"/>
  <c r="B32" i="4"/>
  <c r="B633" i="4"/>
  <c r="B1065" i="4"/>
  <c r="B187" i="4"/>
  <c r="B207" i="4"/>
  <c r="B571" i="4"/>
  <c r="B664" i="4"/>
  <c r="B751" i="4"/>
  <c r="B856" i="4"/>
  <c r="B857" i="4"/>
  <c r="B860" i="4"/>
  <c r="B863" i="4"/>
  <c r="B818" i="4"/>
  <c r="B819" i="4"/>
  <c r="B883" i="4"/>
  <c r="B182" i="4"/>
  <c r="B248" i="4"/>
  <c r="B767" i="4"/>
  <c r="B861" i="4"/>
  <c r="B621" i="4"/>
  <c r="B466" i="4"/>
  <c r="B340" i="4"/>
  <c r="B414" i="4"/>
  <c r="B962" i="4"/>
  <c r="B299" i="4"/>
  <c r="B601" i="4"/>
  <c r="B832" i="4"/>
  <c r="B599" i="4"/>
  <c r="B397" i="4"/>
  <c r="B407" i="4"/>
  <c r="B433" i="4"/>
  <c r="B642" i="4"/>
  <c r="B675" i="4"/>
  <c r="B854" i="4"/>
  <c r="B22" i="4"/>
  <c r="B141" i="4"/>
  <c r="B533" i="4"/>
  <c r="B843" i="4"/>
  <c r="B844" i="4"/>
  <c r="B845" i="4"/>
  <c r="B846" i="4"/>
  <c r="B551" i="4"/>
  <c r="B593" i="4"/>
  <c r="B634" i="4"/>
  <c r="B900" i="4"/>
  <c r="B179" i="4"/>
  <c r="B536" i="4"/>
  <c r="B59" i="4"/>
  <c r="B110" i="4"/>
  <c r="B247" i="4"/>
  <c r="B549" i="4"/>
  <c r="B676" i="4"/>
  <c r="B244" i="4"/>
  <c r="B572" i="4"/>
  <c r="B580" i="4"/>
  <c r="B916" i="4"/>
  <c r="B862" i="4"/>
  <c r="B918" i="4"/>
  <c r="B927" i="4"/>
  <c r="B76" i="4"/>
  <c r="B827" i="4"/>
  <c r="B911" i="4"/>
  <c r="B925" i="4"/>
  <c r="B942" i="4"/>
  <c r="B871" i="4"/>
  <c r="B872" i="4"/>
  <c r="B873" i="4"/>
  <c r="B921" i="4"/>
  <c r="B235" i="4"/>
  <c r="B897" i="4"/>
  <c r="B926" i="4"/>
  <c r="B878" i="4"/>
  <c r="B430" i="4"/>
  <c r="B661" i="4"/>
  <c r="B924" i="4"/>
  <c r="B573" i="4"/>
  <c r="B880" i="4"/>
  <c r="B884" i="4"/>
  <c r="B524" i="4"/>
  <c r="B781" i="4"/>
  <c r="B314" i="4"/>
  <c r="B256" i="4"/>
  <c r="B581" i="4"/>
  <c r="B891" i="4"/>
  <c r="B813" i="4"/>
  <c r="B1098" i="4"/>
  <c r="B185" i="4"/>
  <c r="B988" i="4"/>
  <c r="B238" i="4"/>
  <c r="B434" i="4"/>
  <c r="B223" i="4"/>
  <c r="B899" i="4"/>
  <c r="B381" i="4"/>
  <c r="B711" i="4"/>
  <c r="B798" i="4"/>
  <c r="B1107" i="4"/>
  <c r="B135" i="4"/>
  <c r="B8" i="4"/>
  <c r="B156" i="4"/>
  <c r="B355" i="4"/>
  <c r="B390" i="4"/>
  <c r="B958" i="4"/>
  <c r="B127" i="4"/>
  <c r="B498" i="4"/>
  <c r="B305" i="4"/>
  <c r="B480" i="4"/>
  <c r="B543" i="4"/>
  <c r="B624" i="4"/>
  <c r="B252" i="4"/>
  <c r="B674" i="4"/>
  <c r="B173" i="4"/>
  <c r="B761" i="4"/>
  <c r="B476" i="4"/>
  <c r="B560" i="4"/>
  <c r="B590" i="4"/>
  <c r="B153" i="4"/>
  <c r="B982" i="4"/>
  <c r="B373" i="4"/>
  <c r="B28" i="4"/>
  <c r="B342" i="4"/>
  <c r="B928" i="4"/>
  <c r="B929" i="4"/>
  <c r="B423" i="4"/>
  <c r="B1108" i="4"/>
  <c r="B932" i="4"/>
  <c r="B933" i="4"/>
  <c r="B934" i="4"/>
  <c r="B1109" i="4"/>
  <c r="B1035" i="4"/>
  <c r="B937" i="4"/>
  <c r="B159" i="4"/>
  <c r="B939" i="4"/>
  <c r="B940" i="4"/>
  <c r="B941" i="4"/>
  <c r="B99" i="4"/>
  <c r="B943" i="4"/>
  <c r="B944" i="4"/>
  <c r="B945" i="4"/>
  <c r="B516" i="4"/>
  <c r="B80" i="4"/>
  <c r="B948" i="4"/>
  <c r="B949" i="4"/>
  <c r="B950" i="4"/>
  <c r="B951" i="4"/>
  <c r="B952" i="4"/>
  <c r="B130" i="4"/>
  <c r="B471" i="4"/>
  <c r="B472" i="4"/>
  <c r="B489" i="4"/>
  <c r="B957" i="4"/>
  <c r="B1006" i="4"/>
  <c r="B959" i="4"/>
  <c r="B780" i="4"/>
  <c r="B847" i="4"/>
  <c r="B938" i="4"/>
  <c r="B994" i="4"/>
  <c r="B997" i="4"/>
  <c r="B998" i="4"/>
  <c r="B999" i="4"/>
  <c r="B967" i="4"/>
  <c r="B968" i="4"/>
  <c r="B969" i="4"/>
  <c r="B1000" i="4"/>
  <c r="B1002" i="4"/>
  <c r="B972" i="4"/>
  <c r="B973" i="4"/>
  <c r="B1004" i="4"/>
  <c r="B1005" i="4"/>
  <c r="B114" i="4"/>
  <c r="B748" i="4"/>
  <c r="B978" i="4"/>
  <c r="B759" i="4"/>
  <c r="B980" i="4"/>
  <c r="B981" i="4"/>
  <c r="B853" i="4"/>
  <c r="B983" i="4"/>
  <c r="B984" i="4"/>
  <c r="B985" i="4"/>
  <c r="B986" i="4"/>
  <c r="B987" i="4"/>
  <c r="B990" i="4"/>
  <c r="B991" i="4"/>
  <c r="B993" i="4"/>
  <c r="B1047" i="4"/>
  <c r="B574" i="4"/>
  <c r="B1009" i="4"/>
  <c r="B338" i="4"/>
  <c r="B995" i="4"/>
  <c r="B996" i="4"/>
  <c r="B614" i="4"/>
  <c r="B17" i="4"/>
  <c r="B140" i="4"/>
  <c r="B145" i="4"/>
  <c r="B237" i="4"/>
  <c r="B481" i="4"/>
  <c r="B741" i="4"/>
  <c r="B1024" i="4"/>
  <c r="B1025" i="4"/>
  <c r="B1027" i="4"/>
  <c r="B1052" i="4"/>
  <c r="B58" i="4"/>
  <c r="B491" i="4"/>
  <c r="B789" i="4"/>
  <c r="B1011" i="4"/>
  <c r="B1012" i="4"/>
  <c r="B1013" i="4"/>
  <c r="B1014" i="4"/>
  <c r="B1015" i="4"/>
  <c r="B1016" i="4"/>
  <c r="B1017" i="4"/>
  <c r="B1018" i="4"/>
  <c r="B1019" i="4"/>
  <c r="B1068" i="4"/>
  <c r="B72" i="4"/>
  <c r="B267" i="4"/>
  <c r="B1023" i="4"/>
  <c r="B337" i="4"/>
  <c r="B438" i="4"/>
  <c r="B452" i="4"/>
  <c r="B455" i="4"/>
  <c r="B1028" i="4"/>
  <c r="B460" i="4"/>
  <c r="B866" i="4"/>
  <c r="B1032" i="4"/>
  <c r="B1033" i="4"/>
  <c r="B146" i="4"/>
  <c r="B517" i="4"/>
  <c r="B1037" i="4"/>
  <c r="B1038" i="4"/>
  <c r="B1039" i="4"/>
  <c r="B604" i="4"/>
  <c r="B755" i="4"/>
  <c r="B1043" i="4"/>
  <c r="B1042" i="4"/>
  <c r="B1045" i="4"/>
  <c r="B1062" i="4"/>
  <c r="B1048" i="4"/>
  <c r="B1049" i="4"/>
  <c r="B1050" i="4"/>
  <c r="B473" i="4"/>
  <c r="B569" i="4"/>
  <c r="B1053" i="4"/>
  <c r="B750" i="4"/>
  <c r="B1055" i="4"/>
  <c r="B1056" i="4"/>
  <c r="B1057" i="4"/>
  <c r="B79" i="4"/>
  <c r="B84" i="4"/>
  <c r="B183" i="4"/>
  <c r="B200" i="4"/>
  <c r="B277" i="4"/>
  <c r="B1063" i="4"/>
  <c r="B335" i="4"/>
  <c r="B348" i="4"/>
  <c r="B351" i="4"/>
  <c r="B1067" i="4"/>
  <c r="B440" i="4"/>
  <c r="B526" i="4"/>
  <c r="B637" i="4"/>
  <c r="B896" i="4"/>
  <c r="B1071" i="4"/>
  <c r="B1072" i="4"/>
  <c r="B1073" i="4"/>
  <c r="B1074" i="4"/>
  <c r="B66" i="4"/>
  <c r="B341" i="4"/>
  <c r="B1077" i="4"/>
  <c r="B1078" i="4"/>
  <c r="B1079" i="4"/>
  <c r="B81" i="4"/>
  <c r="B1081" i="4"/>
  <c r="B1082" i="4"/>
  <c r="B912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418" i="4"/>
  <c r="B1097" i="4"/>
  <c r="B867" i="4"/>
  <c r="B1099" i="4"/>
  <c r="B297" i="4"/>
  <c r="B1102" i="4"/>
  <c r="B582" i="4"/>
  <c r="B3" i="4"/>
  <c r="B1105" i="4"/>
  <c r="B1106" i="4"/>
  <c r="B293" i="4"/>
  <c r="B319" i="4"/>
  <c r="B1008" i="4"/>
  <c r="B1110" i="4"/>
  <c r="B1111" i="4"/>
  <c r="B602" i="4"/>
  <c r="B868" i="4"/>
  <c r="B1114" i="4"/>
  <c r="B511" i="4"/>
  <c r="B905" i="4"/>
  <c r="B496" i="4"/>
  <c r="B484" i="4"/>
  <c r="B726" i="4"/>
  <c r="B292" i="4"/>
  <c r="B48" i="4"/>
  <c r="J720" i="3" l="1"/>
  <c r="B719" i="4" s="1"/>
  <c r="J718" i="3"/>
  <c r="B717" i="4" s="1"/>
  <c r="J1022" i="3"/>
  <c r="B1031" i="4" s="1"/>
  <c r="J747" i="3"/>
  <c r="B745" i="4" s="1"/>
  <c r="J746" i="3"/>
  <c r="B744" i="4" s="1"/>
  <c r="J735" i="3"/>
  <c r="B734" i="4" s="1"/>
  <c r="J719" i="3"/>
  <c r="B718" i="4" s="1"/>
  <c r="J716" i="3"/>
  <c r="B715" i="4" s="1"/>
  <c r="J707" i="3"/>
  <c r="B706" i="4" s="1"/>
  <c r="J706" i="3"/>
  <c r="B705" i="4" s="1"/>
  <c r="J705" i="3"/>
  <c r="B704" i="4" s="1"/>
  <c r="J704" i="3"/>
  <c r="B703" i="4" s="1"/>
  <c r="J702" i="3"/>
  <c r="B701" i="4" s="1"/>
  <c r="J700" i="3"/>
  <c r="B699" i="4" s="1"/>
  <c r="J699" i="3"/>
  <c r="B698" i="4" s="1"/>
  <c r="J698" i="3"/>
  <c r="B697" i="4" s="1"/>
  <c r="J697" i="3"/>
  <c r="B696" i="4" s="1"/>
  <c r="J717" i="3"/>
  <c r="B716" i="4" s="1"/>
  <c r="J703" i="3"/>
  <c r="B702" i="4" s="1"/>
  <c r="J701" i="3"/>
  <c r="B700" i="4" s="1"/>
  <c r="J1066" i="3"/>
  <c r="B1075" i="4" s="1"/>
  <c r="J1031" i="3"/>
  <c r="B1040" i="4" s="1"/>
  <c r="J902" i="3"/>
  <c r="B910" i="4" s="1"/>
  <c r="J901" i="3"/>
  <c r="B909" i="4" s="1"/>
  <c r="J900" i="3"/>
  <c r="B908" i="4" s="1"/>
  <c r="J801" i="3"/>
  <c r="B80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tc={23094430-6CA4-4DAD-BB5C-E3D8C41DE1F4}</author>
    <author>tc={50FC73DC-3786-4B8A-BA91-F126CFACA5D8}</author>
    <author>tc={B15DB4E0-803C-43C6-8681-8DD5316455AB}</author>
    <author>tc={EABFD712-2DD7-4608-8C82-C21085DEC37A}</author>
    <author>tc={D69FFC8F-93E7-4BE4-A390-3B21DA882DE2}</author>
    <author>tc={FDFBFBCB-D4F7-400B-BCCD-80F988380FE2}</author>
    <author>tc={DE33E11B-E310-4EC7-A083-B8EE69D74F69}</author>
    <author>tc={CD14031E-CCBA-4F23-AA5F-5E338786961B}</author>
    <author>tc={B04C12DE-DF14-4D79-BC1D-A21A6155084C}</author>
    <author>tc={893621D8-1956-457F-9673-711568F5B0F9}</author>
    <author>tc={A0A66A37-1343-4E95-A074-C1860FD398F8}</author>
    <author>tc={5E9F26E1-5938-413B-93BC-1CC59CD226BE}</author>
    <author>tc={1A7B4B1A-9262-4120-BAE1-2CC983034684}</author>
    <author>tc={1965D015-702E-4CA3-9E1B-88C1CAC89608}</author>
    <author>tc={9ED1457A-D426-4F70-916C-96F831F68B0F}</author>
    <author>tc={BEAF35EA-4F58-46D6-8EEA-67CA099AB6F9}</author>
    <author>tc={0D400B48-CE98-4E18-9011-BCED48A456BB}</author>
    <author>tc={EBFD5A42-87A9-4D60-A7CF-7399EE6C5031}</author>
  </authors>
  <commentList>
    <comment ref="J2" authorId="0" shapeId="0" xr:uid="{23094430-6CA4-4DAD-BB5C-E3D8C41DE1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J6" authorId="1" shapeId="0" xr:uid="{50FC73DC-3786-4B8A-BA91-F126CFACA5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14" authorId="2" shapeId="0" xr:uid="{B15DB4E0-803C-43C6-8681-8DD5316455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18" authorId="3" shapeId="0" xr:uid="{EABFD712-2DD7-4608-8C82-C21085DEC3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20" authorId="4" shapeId="0" xr:uid="{D69FFC8F-93E7-4BE4-A390-3B21DA882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servicio esta dado de baja, en inventario sigue figurando la máquina ahí</t>
      </text>
    </comment>
    <comment ref="J22" authorId="5" shapeId="0" xr:uid="{FDFBFBCB-D4F7-400B-BCCD-80F988380F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G23" authorId="6" shapeId="0" xr:uid="{DE33E11B-E310-4EC7-A083-B8EE69D74F6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Inventario figura en LOMASER, leo dice que no es´ta
</t>
      </text>
    </comment>
    <comment ref="J23" authorId="7" shapeId="0" xr:uid="{CD14031E-CCBA-4F23-AA5F-5E33878696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27" authorId="8" shapeId="0" xr:uid="{B04C12DE-DF14-4D79-BC1D-A21A615508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28" authorId="9" shapeId="0" xr:uid="{893621D8-1956-457F-9673-711568F5B0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30" authorId="10" shapeId="0" xr:uid="{A0A66A37-1343-4E95-A074-C1860FD398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31" authorId="11" shapeId="0" xr:uid="{5E9F26E1-5938-413B-93BC-1CC59CD226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36" authorId="12" shapeId="0" xr:uid="{1A7B4B1A-9262-4120-BAE1-2CC9830346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39" authorId="13" shapeId="0" xr:uid="{1965D015-702E-4CA3-9E1B-88C1CAC896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40" authorId="14" shapeId="0" xr:uid="{9ED1457A-D426-4F70-916C-96F831F68B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reparación</t>
      </text>
    </comment>
    <comment ref="J41" authorId="15" shapeId="0" xr:uid="{BEAF35EA-4F58-46D6-8EEA-67CA099AB6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43" authorId="16" shapeId="0" xr:uid="{0D400B48-CE98-4E18-9011-BCED48A456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G48" authorId="17" shapeId="0" xr:uid="{EBFD5A42-87A9-4D60-A7CF-7399EE6C50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servicio está dado de baja y sigue figurando allí en el inventario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tc={493D9FB9-19AD-45C0-B5CA-D85449F272B2}</author>
    <author>tc={5FCDBA84-7C2A-44B2-9350-CE05F6DD94A7}</author>
    <author>tc={45078F8F-4970-4C35-AB5C-1D7369BBE238}</author>
    <author>tc={DD9E52AE-D3B3-496A-B40B-533F8D7980EB}</author>
    <author>tc={0F6F89B9-604E-4357-A36E-C71E3768ABCD}</author>
    <author>tc={BFB93D10-4164-4E71-881B-7314EDE604DF}</author>
    <author>tc={80991FAE-8018-4346-BE49-ADC6EE4DF512}</author>
    <author>tc={5CC140C1-2F72-4888-B396-1C43CCA38D44}</author>
    <author>tc={42C8C000-C1EA-43A3-92D3-6ECE8E1F432F}</author>
    <author>tc={8525810A-468A-4D0C-BEDB-5069C02989A0}</author>
    <author>tc={C98154E5-4134-47B5-B871-17667ABC1843}</author>
    <author>tc={C72E9A89-FC48-47A4-B0F2-C56CC7286678}</author>
    <author>tc={43F88F78-FA51-4480-9D92-7089767A77D7}</author>
    <author>tc={6306DB68-F1E9-4ACD-BD7D-E3C3FAE9C17E}</author>
    <author>tc={CFB9E3AF-A0B5-43E2-8E04-A2DA71D90628}</author>
    <author>tc={B5895719-6515-472E-BAAC-49D7542177C0}</author>
    <author>tc={5B6D6D46-6E38-41DB-B53E-CAFB77664BB4}</author>
    <author>tc={1E286DB3-DF28-4004-A6BD-A835E8C7E3C6}</author>
    <author>tc={6F93F0DE-B926-4CDC-9518-55D3784A39F6}</author>
    <author>tc={20E82B3D-C7FB-41C0-8701-BE3D7C3CD7F0}</author>
    <author>tc={9D7E55B5-71D5-4640-B2A8-891560059DC3}</author>
    <author>tc={6D3EB77E-DC07-47EB-9966-0C0B5E1C10D8}</author>
    <author>tc={B9C5F170-1107-4F8C-9D6D-4FB9978C19CF}</author>
    <author>tc={3EF73087-647B-4953-B263-6BE700BFE72D}</author>
    <author>tc={FB687FBB-C577-46EA-B54C-9932459CC2B2}</author>
    <author>tc={EB38E4F2-D860-4A5A-898E-3E48E247BBDB}</author>
  </authors>
  <commentList>
    <comment ref="H130" authorId="0" shapeId="0" xr:uid="{493D9FB9-19AD-45C0-B5CA-D85449F272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relev operaciones esta en Telecentro Figueroa 254</t>
      </text>
    </comment>
    <comment ref="G135" authorId="1" shapeId="0" xr:uid="{5FCDBA84-7C2A-44B2-9350-CE05F6DD94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CC del inventario estaba mal</t>
      </text>
    </comment>
    <comment ref="H158" authorId="2" shapeId="0" xr:uid="{45078F8F-4970-4C35-AB5C-1D7369BBE2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desactualizado en base del cimm: BACO VALORES EDIF SALGUERO</t>
      </text>
    </comment>
    <comment ref="H279" authorId="3" shapeId="0" xr:uid="{DD9E52AE-D3B3-496A-B40B-533F8D7980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supuestamente estaba en Stilo wg..</t>
      </text>
    </comment>
    <comment ref="G283" authorId="4" shapeId="0" xr:uid="{0F6F89B9-604E-4357-A36E-C71E3768AB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Codigo de casa distinto en base cimm</t>
      </text>
    </comment>
    <comment ref="G402" authorId="5" shapeId="0" xr:uid="{BFB93D10-4164-4E71-881B-7314EDE604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Codigo de casa distinto en base cimm</t>
      </text>
    </comment>
    <comment ref="H543" authorId="6" shapeId="0" xr:uid="{80991FAE-8018-4346-BE49-ADC6EE4DF5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desactualizado en base del cimm: BACO VALORES EDIF SALGUERO</t>
      </text>
    </comment>
    <comment ref="J546" authorId="7" shapeId="0" xr:uid="{5CC140C1-2F72-4888-B396-1C43CCA38D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658" authorId="8" shapeId="0" xr:uid="{42C8C000-C1EA-43A3-92D3-6ECE8E1F43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733" authorId="9" shapeId="0" xr:uid="{8525810A-468A-4D0C-BEDB-5069C02989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742" authorId="10" shapeId="0" xr:uid="{C98154E5-4134-47B5-B871-17667ABC18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777" authorId="11" shapeId="0" xr:uid="{C72E9A89-FC48-47A4-B0F2-C56CC72866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785" authorId="12" shapeId="0" xr:uid="{43F88F78-FA51-4480-9D92-7089767A77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contabiliza</t>
      </text>
    </comment>
    <comment ref="J802" authorId="13" shapeId="0" xr:uid="{6306DB68-F1E9-4ACD-BD7D-E3C3FAE9C1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contabiliza</t>
      </text>
    </comment>
    <comment ref="J803" authorId="14" shapeId="0" xr:uid="{CFB9E3AF-A0B5-43E2-8E04-A2DA71D906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823" authorId="15" shapeId="0" xr:uid="{B5895719-6515-472E-BAAC-49D7542177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H840" authorId="16" shapeId="0" xr:uid="{5B6D6D46-6E38-41DB-B53E-CAFB77664B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desactualizado en base del cimm: BACO VALORES EDIF SALGUERO</t>
      </text>
    </comment>
    <comment ref="J866" authorId="17" shapeId="0" xr:uid="{1E286DB3-DF28-4004-A6BD-A835E8C7E3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907" authorId="18" shapeId="0" xr:uid="{6F93F0DE-B926-4CDC-9518-55D3784A39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914" authorId="19" shapeId="0" xr:uid="{20E82B3D-C7FB-41C0-8701-BE3D7C3CD7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919" authorId="20" shapeId="0" xr:uid="{9D7E55B5-71D5-4640-B2A8-891560059D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996" authorId="21" shapeId="0" xr:uid="{6D3EB77E-DC07-47EB-9966-0C0B5E1C10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1003" authorId="22" shapeId="0" xr:uid="{B9C5F170-1107-4F8C-9D6D-4FB9978C19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H1072" authorId="23" shapeId="0" xr:uid="{3EF73087-647B-4953-B263-6BE700BFE7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 rio sport club (dato operaciones)</t>
      </text>
    </comment>
    <comment ref="J1072" authorId="24" shapeId="0" xr:uid="{FB687FBB-C577-46EA-B54C-9932459CC2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1089" authorId="25" shapeId="0" xr:uid="{EB38E4F2-D860-4A5A-898E-3E48E247BB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</commentList>
</comments>
</file>

<file path=xl/sharedStrings.xml><?xml version="1.0" encoding="utf-8"?>
<sst xmlns="http://schemas.openxmlformats.org/spreadsheetml/2006/main" count="5698" uniqueCount="645">
  <si>
    <t>Nro Inventario</t>
  </si>
  <si>
    <t>Inventario de Maquinarias por Nro.Descripción</t>
  </si>
  <si>
    <t>Marcas.Descripción</t>
  </si>
  <si>
    <t>Modelos.Descripción</t>
  </si>
  <si>
    <t>Casa</t>
  </si>
  <si>
    <t>Nombre de casa</t>
  </si>
  <si>
    <t>ASPIRADORA</t>
  </si>
  <si>
    <t>SUPER SPEED</t>
  </si>
  <si>
    <t>101-P/A</t>
  </si>
  <si>
    <t>ELECTRICA</t>
  </si>
  <si>
    <t>LUSTRADORA</t>
  </si>
  <si>
    <t>P-39</t>
  </si>
  <si>
    <t>CLARKE</t>
  </si>
  <si>
    <t>600 A</t>
  </si>
  <si>
    <t>101-P</t>
  </si>
  <si>
    <t>HIDROLAVADORA A.FRIA ELECTRICA</t>
  </si>
  <si>
    <t>KARCHER</t>
  </si>
  <si>
    <t>HD 5/11C</t>
  </si>
  <si>
    <t>DIXTER</t>
  </si>
  <si>
    <t>Sin Modelo</t>
  </si>
  <si>
    <t>P-28</t>
  </si>
  <si>
    <t>S.T.V. 20</t>
  </si>
  <si>
    <t>LUSTRADORA A.VELOC.ELECTRICA</t>
  </si>
  <si>
    <t>US-2000</t>
  </si>
  <si>
    <t>HD 5/11 P</t>
  </si>
  <si>
    <t>VIPER</t>
  </si>
  <si>
    <t>S.KLINER</t>
  </si>
  <si>
    <t>A.18</t>
  </si>
  <si>
    <t>FORZA</t>
  </si>
  <si>
    <t>303 WD</t>
  </si>
  <si>
    <t>Telecentro Luis Guillon</t>
  </si>
  <si>
    <t>MITOLO</t>
  </si>
  <si>
    <t>SIRIO</t>
  </si>
  <si>
    <t>YES 215</t>
  </si>
  <si>
    <t>LAVADORA DE ALFOMBRA ROTATIVA</t>
  </si>
  <si>
    <t>FORZA 304</t>
  </si>
  <si>
    <t>TURBION</t>
  </si>
  <si>
    <t>T/66</t>
  </si>
  <si>
    <t>MP-18</t>
  </si>
  <si>
    <t>P-30</t>
  </si>
  <si>
    <t>POWR FLYTE</t>
  </si>
  <si>
    <t>M2000</t>
  </si>
  <si>
    <t>LSU 275-ARG</t>
  </si>
  <si>
    <t>T/67</t>
  </si>
  <si>
    <t>STIHL</t>
  </si>
  <si>
    <t>RE 109</t>
  </si>
  <si>
    <t>SAMP 202</t>
  </si>
  <si>
    <t>e series</t>
  </si>
  <si>
    <t>HD 585</t>
  </si>
  <si>
    <t>102-P/A</t>
  </si>
  <si>
    <t>LAVADORA INYECCION-EXTRACCION</t>
  </si>
  <si>
    <t>ELSEA</t>
  </si>
  <si>
    <t>PHILCO</t>
  </si>
  <si>
    <t>PHAST 1833</t>
  </si>
  <si>
    <t>HIDROLIMP</t>
  </si>
  <si>
    <t>LSU 135</t>
  </si>
  <si>
    <t>HIDROLAVADORA</t>
  </si>
  <si>
    <t>NILFISK</t>
  </si>
  <si>
    <t>HIDRO JET</t>
  </si>
  <si>
    <t>180 BAR</t>
  </si>
  <si>
    <t>NT 38/1</t>
  </si>
  <si>
    <t>RPE</t>
  </si>
  <si>
    <t>PFX1350</t>
  </si>
  <si>
    <t>Vento</t>
  </si>
  <si>
    <t>ERGODISC</t>
  </si>
  <si>
    <t>COMPRESOR</t>
  </si>
  <si>
    <t>BLACK &amp; DECKER</t>
  </si>
  <si>
    <t>FORZA 303 WD</t>
  </si>
  <si>
    <t>FREGADORA</t>
  </si>
  <si>
    <t>HOOVER</t>
  </si>
  <si>
    <t>S/M</t>
  </si>
  <si>
    <t>LIMKIT</t>
  </si>
  <si>
    <t>BOMBA SUMERGIBLE</t>
  </si>
  <si>
    <t>RW (ROWA)</t>
  </si>
  <si>
    <t>DRAIN M 750 INQX F</t>
  </si>
  <si>
    <t>Sin Marca</t>
  </si>
  <si>
    <t>P.T.V. 10</t>
  </si>
  <si>
    <t>HD 6/15 C</t>
  </si>
  <si>
    <t xml:space="preserve">LUCIO RAMOS </t>
  </si>
  <si>
    <t>Banco Santa Fe Casa Central Rosario</t>
  </si>
  <si>
    <t>LAVADORA DE ALF.TRANSVERSAL</t>
  </si>
  <si>
    <t>CM-12</t>
  </si>
  <si>
    <t xml:space="preserve">NO ESTA EN EL SERVICIO </t>
  </si>
  <si>
    <t>ASPIRADORA MOCHILA</t>
  </si>
  <si>
    <t>NAPSAC 420</t>
  </si>
  <si>
    <t>FM 1500</t>
  </si>
  <si>
    <t>ALTO POSEIDON 3</t>
  </si>
  <si>
    <t xml:space="preserve">ALE GAONA </t>
  </si>
  <si>
    <t>MC 2C-120/520</t>
  </si>
  <si>
    <t>Embajada EE UU</t>
  </si>
  <si>
    <t>FM 1700</t>
  </si>
  <si>
    <t>TM 65</t>
  </si>
  <si>
    <t>300-P</t>
  </si>
  <si>
    <t>E-39</t>
  </si>
  <si>
    <t>D-43 HD</t>
  </si>
  <si>
    <t>2000 PV</t>
  </si>
  <si>
    <t>NAPSAC</t>
  </si>
  <si>
    <t>TMB</t>
  </si>
  <si>
    <t>RAINDROP M.</t>
  </si>
  <si>
    <t>K2 GARDEN</t>
  </si>
  <si>
    <t>FREGADORA ELECTRICA</t>
  </si>
  <si>
    <t>DSU 15-ARG</t>
  </si>
  <si>
    <t>Limpiolux Maq. Córdoba</t>
  </si>
  <si>
    <t>AIR FORCE X 1</t>
  </si>
  <si>
    <t>BORDEADORA ELECTRICA</t>
  </si>
  <si>
    <t>Prisma Medios de pagos</t>
  </si>
  <si>
    <t>Toyota Planta Zarate</t>
  </si>
  <si>
    <t>P-33</t>
  </si>
  <si>
    <t>NO ESTA EN EL SERVICIO</t>
  </si>
  <si>
    <t>FORZA 403 WD</t>
  </si>
  <si>
    <t>P.T.V. 15</t>
  </si>
  <si>
    <t>CATANESE</t>
  </si>
  <si>
    <t>NC3M</t>
  </si>
  <si>
    <t>PASAC</t>
  </si>
  <si>
    <t>FC 100</t>
  </si>
  <si>
    <t>JEREMIAS</t>
  </si>
  <si>
    <t>BANEGA</t>
  </si>
  <si>
    <t>ASPIRADORA INDUSTRIAL TRIFASICA</t>
  </si>
  <si>
    <t>TX 5</t>
  </si>
  <si>
    <t>ASPIRADORA  20 VOLT</t>
  </si>
  <si>
    <t>TOTAL</t>
  </si>
  <si>
    <t>LITHIUM-ION VACUUM CLEANER</t>
  </si>
  <si>
    <t>WINNER MACHINES</t>
  </si>
  <si>
    <t>Beéma 429</t>
  </si>
  <si>
    <t>FARIAS</t>
  </si>
  <si>
    <t>ADIDAS CUYO</t>
  </si>
  <si>
    <t>SUPER SCRUBBER</t>
  </si>
  <si>
    <t>NT 35/1 Eco</t>
  </si>
  <si>
    <t>S-10</t>
  </si>
  <si>
    <t>TASKI</t>
  </si>
  <si>
    <t>NAPSAC 424</t>
  </si>
  <si>
    <t>GMRA/ MIRGOR</t>
  </si>
  <si>
    <t>AIR FORCE X 2</t>
  </si>
  <si>
    <t>HIDROLAVADORA AF/AC</t>
  </si>
  <si>
    <t>LAVA FREGADORA</t>
  </si>
  <si>
    <t>BR 40</t>
  </si>
  <si>
    <t>LSU 35</t>
  </si>
  <si>
    <t>GHIBLI</t>
  </si>
  <si>
    <t>KT200/15</t>
  </si>
  <si>
    <t>S-32</t>
  </si>
  <si>
    <t>ERGODISC 2000-01449</t>
  </si>
  <si>
    <t>IMAGE 16IX</t>
  </si>
  <si>
    <t>DULEVO</t>
  </si>
  <si>
    <t>SOPLADORA ELECTRICA</t>
  </si>
  <si>
    <t>LAVADORA A VAPOR</t>
  </si>
  <si>
    <t>HD 10/21 4S</t>
  </si>
  <si>
    <t>400 W IPX4</t>
  </si>
  <si>
    <t>HD 5/11 C</t>
  </si>
  <si>
    <t>P-45</t>
  </si>
  <si>
    <t>PULVERIZADOR ELECTRICO</t>
  </si>
  <si>
    <t>SONIK TECH</t>
  </si>
  <si>
    <t>Jones Lang Google Ali</t>
  </si>
  <si>
    <t>SABINA LEIVA</t>
  </si>
  <si>
    <t>ERGODISC 165</t>
  </si>
  <si>
    <t>AIR FORCE S 202</t>
  </si>
  <si>
    <t>Gamma</t>
  </si>
  <si>
    <t xml:space="preserve">Leo Baez </t>
  </si>
  <si>
    <t>Loma Negra Vicente Casares</t>
  </si>
  <si>
    <t>SAMBA</t>
  </si>
  <si>
    <t>ANDRADA</t>
  </si>
  <si>
    <t>no está en el servicio</t>
  </si>
  <si>
    <t>Donada a cliente (Eduardo Souza año 2003)</t>
  </si>
  <si>
    <t>en reparación</t>
  </si>
  <si>
    <t>LIMPIOLUX S. A. - C. I. M. STOCK</t>
  </si>
  <si>
    <t>DE BAJA</t>
  </si>
  <si>
    <t>Distribuidora Cañon</t>
  </si>
  <si>
    <t>CENCOSUD S.A., - UNICENTER SHOPPING</t>
  </si>
  <si>
    <t>EVELYN</t>
  </si>
  <si>
    <t>DADA DE BAJA</t>
  </si>
  <si>
    <t>Serie</t>
  </si>
  <si>
    <t>Fecha de Incorporación</t>
  </si>
  <si>
    <t>CELSUR - GRAL RODRIGUEZ</t>
  </si>
  <si>
    <t>ANAC - EZEIZA  Centro de Instrucción, perfeccionamiento y experimentación CIPE Aerop. M. Pistarini</t>
  </si>
  <si>
    <t>QUIMICA MONTPELLIER S.A, - EDIF VIRREY LINIERS 667</t>
  </si>
  <si>
    <t>TOYOTA ARGENTINA S.A.. - OF MARTINEZ</t>
  </si>
  <si>
    <t>A.T.I.L.R.A. - EDIFICIO BOATTI 140 - MORON</t>
  </si>
  <si>
    <t>DIRECCION NACIONAL DE VIALIDAD - REGION 1 - BUENOS AIRES CABA</t>
  </si>
  <si>
    <t>QUIMICA MONTPELLIER S.A, - POLO FARMACEUTICO</t>
  </si>
  <si>
    <t>SOUTHBAY SRL-Alto Avellaneda Shopping</t>
  </si>
  <si>
    <t>CRANE WORLDWIDE LOGISTICS ARGENTINA S.A. - OF. ESTADOS UNIDOS 20 - Piso 3°</t>
  </si>
  <si>
    <t>MINISTERIO DE HACIENDA - CASA CENTRAL -  YRIGOYEN 250</t>
  </si>
  <si>
    <t>SINERGIUM BIOTECH S.A. - PLANTA GARIN</t>
  </si>
  <si>
    <t>TELECENTRO S.A. - MALVINAS - FELIX DE OLAZABAL 150</t>
  </si>
  <si>
    <t>LX ARGENTINA</t>
  </si>
  <si>
    <t>NUEVO BANCO DE SANTA FE S.A. - CASA CENTRAL ROSARIO</t>
  </si>
  <si>
    <t>CENCOSUD S.A., - CENTRO DE DISTRIBUCION EZEIZA</t>
  </si>
  <si>
    <t xml:space="preserve">CEILING SOLUTIONS S.A. - FRIGORIFICO RIOSMA SOCIEDAD ANONIMA - EDIF. MATADEROS </t>
  </si>
  <si>
    <t>AL RIO SPORT CLUB SAN ISIDRO</t>
  </si>
  <si>
    <t>GIRE - AV CASEROS</t>
  </si>
  <si>
    <t>ABBOTT LABORATORIES ARGENTINA S.A.. - ABBOTT PLANTA</t>
  </si>
  <si>
    <t>CENCOSUD S.A., - PLANTA DE CARNES - EZEIZA</t>
  </si>
  <si>
    <t>LIMPIOLUX S. A. - C. I. M. REPARACIONES</t>
  </si>
  <si>
    <t>CUSHMAN &amp; WAKEFIELD ARGENTINA SRL - ADIDAS CUYO - SAN ISIDRO</t>
  </si>
  <si>
    <t>BOLSA DE COMERCIO DE BUENOS AIRES - EDIF SARMIENTO 299</t>
  </si>
  <si>
    <t>METAGAL ARGENTINA S.A. - EDIFICIO VILLA DE MAYO</t>
  </si>
  <si>
    <t>FIDEISALUD S.A. - Bartolome Mitre 1375</t>
  </si>
  <si>
    <t>NUEVO BANCO DE SANTA FE S.A. - AGENCIA AYACUCHO</t>
  </si>
  <si>
    <t>AGROFARM S.A. - EDIF MORENO 957 - PISO 10º</t>
  </si>
  <si>
    <t>TOYOTA ARGENTINA S.A.. - PLANTA ZARATE</t>
  </si>
  <si>
    <t>LIMPIOLUX S. A. - LIMPIOLUX S. A. - GERENCIA (PEÑA)</t>
  </si>
  <si>
    <t>LABORATORIOS BAGO S.A.. - EDIF LA PLATA - CALLE 4</t>
  </si>
  <si>
    <t>BANCO DE VALORES. - SUC 25 DE MAYO 311</t>
  </si>
  <si>
    <t>NIKE ARGENTINA S.A. - EDIF LIBERTADOR 2442</t>
  </si>
  <si>
    <t>TOYOTA ARGENTINA S.A.. - AGENCIA LEXUS - LIBERTADOR 860</t>
  </si>
  <si>
    <t>SUPERSONIC</t>
  </si>
  <si>
    <t>LIMPIOLUX S. A. - GERENCIA (EL CAPRICHO)</t>
  </si>
  <si>
    <t>PEPSICO DE ARGENTINA S.R.L. - MUNRO</t>
  </si>
  <si>
    <t>CEILING SOLUTIONS S.A. - JOFRE &amp; CIA S.A COMERCIO EXTERIOR Y LOGISTICA</t>
  </si>
  <si>
    <t>ATLAS COPCO ARGENTINA S.A.C.I. - EDIF. ESTADOS UNIDOS 5335</t>
  </si>
  <si>
    <t>SA-0911</t>
  </si>
  <si>
    <t>TELECENTRO S.A. - LAFERRERE - DEL TEJAR 5298</t>
  </si>
  <si>
    <t>DVS S.R.L. - VILLA LINCH</t>
  </si>
  <si>
    <t>C-15</t>
  </si>
  <si>
    <t>ELHYMEC SACIF - ELHYMEC- GENERAL PACHECO</t>
  </si>
  <si>
    <t>METALURGICASIAM S.A. - CORDOBA 2156</t>
  </si>
  <si>
    <t>FINNING ARGENTINA S.A. - VENEZUELA 4021 - TORTUGUITAS</t>
  </si>
  <si>
    <t>DALFILM S.A.</t>
  </si>
  <si>
    <t>JOCKEY CLUB A.C. - HOSPITAL VETERINARIO HIPODROMO DE SAN ISODRO</t>
  </si>
  <si>
    <t>EGGER ARGENTINA S.A. - 25 DE MAYO 359- PISO 15°</t>
  </si>
  <si>
    <t>ABBOTT LABORATORIES ARGENTINA S.A.. - ABBOTT CENTRO</t>
  </si>
  <si>
    <t>CASA DE MONEDA - Ruta Panamericana KM. 25,800</t>
  </si>
  <si>
    <t>LIMPIOLUX S. A. - LIMPIOLUX S. A. - GERENCIA (SAN DIEGO)</t>
  </si>
  <si>
    <t>TELECENTRO S.A. - HIPOLITO YRIGOYEN 7501 - LOMAS DE ZAMORA</t>
  </si>
  <si>
    <t>CEILING SOLUTIONS S.A. - CEILING - Ricardo Nini   (Gral Rodriguez)</t>
  </si>
  <si>
    <t>BANCO DE LA PROVINCIA DE BUENOS AIRES-BANCO PROVINCIA-SAN MARTIN 108</t>
  </si>
  <si>
    <t>A 117427</t>
  </si>
  <si>
    <t>CUSHMAN &amp; WAKEFIELD ARGENTINA SRL - ADIDAS - LOCAL SOLEIL FACTORY</t>
  </si>
  <si>
    <t>INSTITUTO MASSONE S.A. - Pilar</t>
  </si>
  <si>
    <t>MINISTERIO DE HACIENDA - EDIF. AGAN  EDISON Y R. OBLIGADO</t>
  </si>
  <si>
    <t>A.T.I.L.R.A. - EDIF. YRIGOYEN 4054</t>
  </si>
  <si>
    <t>12CM-14276</t>
  </si>
  <si>
    <t>LIMPIOLUX S. A. - OFICINA SR. PELUSO BOLSA DE COMERCIO</t>
  </si>
  <si>
    <t>MOTOMECANICA ARG. S.A.. - MOTOMECANICA ARG. S.A.</t>
  </si>
  <si>
    <t>JONES LANG LASALLE S.R.L. - DELL - JUANA MANSO 1069 4º Y 5-º p</t>
  </si>
  <si>
    <t>MABXIENCE SAU - LABORATORIO PHARMADN - EDIFICIO MUNRO</t>
  </si>
  <si>
    <t>LIMPIOLUX S. A. - LIMPIOLUX - FRERS 1</t>
  </si>
  <si>
    <t xml:space="preserve">NUEVO BANCO DE SANTA FE S.A. - AGENCIA LISANDRO DE LA TORRE </t>
  </si>
  <si>
    <t>CUSHMAN &amp; WAKEFIELD ARGENTINA SRL - Adidas La plata</t>
  </si>
  <si>
    <t>TUTEUR S.A.C.I.F.I.A. - ENCARNACIÓN EZCURRA 365 - C.A.B.A.</t>
  </si>
  <si>
    <t>NIKE ARGENTINA S.A. - LOCAL AV. RIVADAVIA 8961 - C.A.B.A.</t>
  </si>
  <si>
    <t>LIMPIOLUX S. A. - SUC. CÓRDOBA</t>
  </si>
  <si>
    <t>MS SYNTHON BAGO S.A. - LIMA 369 PISO 5 - C.A.B.A.</t>
  </si>
  <si>
    <t>CENCOSUD S.A., - CENTRO DE DISTRIBUCIÓN - MENDOZA</t>
  </si>
  <si>
    <t>114374W</t>
  </si>
  <si>
    <t>NUEVO BANCO DE SANTA FE S.A. - AGENCIA TRIBUNALES ROSARIO</t>
  </si>
  <si>
    <t>IRSA Inversiones y Representaciones S.A - ABASTO SHOPPING</t>
  </si>
  <si>
    <t>CAUTELA S.A. - EDIF. PTE. PERON 537</t>
  </si>
  <si>
    <t>CEILING SOLUTIONS S.A. - BROUWER PATERNAL</t>
  </si>
  <si>
    <t>LIMPIOLUX S. A. - GERENCIA (HARAS)</t>
  </si>
  <si>
    <t>LOMA NEGRA CIASA - PLANTA SAN JUAN - LIMPIEZA INDUSTRIAL</t>
  </si>
  <si>
    <t>NUEVO BANCO DE SANTA FE S.A. - AGENCIA SAN MARTÍN</t>
  </si>
  <si>
    <t>DIRECCION NACIONAL DE VIALIDAD - REGION 3 - MZA - Molina</t>
  </si>
  <si>
    <t>IGARRETA MAQUINAS S.A. - PANAMERICANA 28800 - DON TORCUATO</t>
  </si>
  <si>
    <t>CUSHMAN &amp; WAKEFIELD ARGENTINA SRL-CUSHMAN- ViILLA URQUIZA</t>
  </si>
  <si>
    <t>CEILING SOLUTIONS S.A. - LAS MARGARITAS</t>
  </si>
  <si>
    <t>NUEVO BANCO DE SANTA FE S.A. - AGENCIA CAFERATTA</t>
  </si>
  <si>
    <t>O.S.P.I.L. - CASTRO 1471</t>
  </si>
  <si>
    <t>OCSA S.R.L. - QUINTANA 4456 - C.A.B.A.</t>
  </si>
  <si>
    <t>CEILING SOLUTIONS S.A. - BOSCH REXROTH SAIC</t>
  </si>
  <si>
    <t>110439W</t>
  </si>
  <si>
    <t>NIKE ARGENTINA S.A. - LOCAL LOS ARCOS - PARAGUAY 4979 - C.A.B.A.</t>
  </si>
  <si>
    <t>LESTAR QUIMICA S.A.. - LESTAR QUIMICA S.A.</t>
  </si>
  <si>
    <t>VICENTE TAMARIT SOCIEDAD ANONIMA-CABILDO 1451 - VILLA MADERO</t>
  </si>
  <si>
    <t>CEILING SOLUTIONS S.A. -- CONSORCIO 3 DE FEBRERO</t>
  </si>
  <si>
    <t>NIKE ARGENTINA S.A. - LOCAL SANTA FE 3253 - CABA</t>
  </si>
  <si>
    <t>PARKER HANNIFIN ARGENTINA SAIC - EDIF. STEPHENSON 2711 - TORTUGUITAS</t>
  </si>
  <si>
    <t>PANALPINA - EZEIZA</t>
  </si>
  <si>
    <t>INTELIGENCIA Y TECNOLOGIA S.A. - MONTEVIDEO 770</t>
  </si>
  <si>
    <t>BANCO DE VALORES  - Aguero 3350</t>
  </si>
  <si>
    <t>CUSHMAN &amp; WAKEFIELD ARGENTINA SRL - ADIDAS - Lomas de Zamora</t>
  </si>
  <si>
    <t>GALILEO TECH - Vicente Lopez</t>
  </si>
  <si>
    <t>BANCO DE LA PAMPA - SUC RECONQUISTA 319/327</t>
  </si>
  <si>
    <t>ALLIANZ ARGENTINA CIA DE SEGUROS S.A. - EDIF AV. CORRIENTES 299</t>
  </si>
  <si>
    <t>JONES LANG LASALLE S.R.L. - USPALLATA</t>
  </si>
  <si>
    <t>NIKE ARGENTINA S.A. - EDIF. CALIFORNIA 2098</t>
  </si>
  <si>
    <t>CRANE WORLDWIDE LOGISTICS ARGENTINA S.A. - EDIFICIO ZARATE</t>
  </si>
  <si>
    <t>NUEVO BANCO DE SANTA FE S.A. - AGENCIA OVIDIO LAGOS</t>
  </si>
  <si>
    <t>A 115340</t>
  </si>
  <si>
    <t>TEXAMERI S.A. - EDIF. Marcelo T de Alvear 1787 (ruta 202)-Don Torcuato</t>
  </si>
  <si>
    <t>YAMAHA MOTOR ARGENTINA S.A. - PLANTA III - GRAL RODRIGUEZ - RUTA 24 KM 20,500</t>
  </si>
  <si>
    <t>AHITACHI BARRACAS</t>
  </si>
  <si>
    <t>UNIDAD DE INFORMACION FINANCIERA - EDIF. AV. DE MAYO 761</t>
  </si>
  <si>
    <t>JONES LANG LASALLE S.R.L. - GOOGLE - ALI I Y ALI II - A.- Moreau de Justo 350 y 500</t>
  </si>
  <si>
    <t>INTI - CORDOBA</t>
  </si>
  <si>
    <t>IMAGEN SATELITAL S.A. - EDIFICIO DEFENSA 599</t>
  </si>
  <si>
    <t>MINISTERIO DE HACIENDA - EDIF. GRAL. M. DE GUEMES Y EL PAYADOR</t>
  </si>
  <si>
    <t>TELECENTRO S.A. - AV. DE LOS CONSTITUYENTES 2000 (HUB)</t>
  </si>
  <si>
    <t>UNIONPEL S.A. - PLANTA I - SAN JUSTO</t>
  </si>
  <si>
    <t>TELECENTRO S.A. - ROQUE PEREZ 945 - D. F. SARMIENTO</t>
  </si>
  <si>
    <t>JOCKEY CLUB A.C. - HIPODROMO DE SAN ISIDRO</t>
  </si>
  <si>
    <t>LOMA NEGRA CIASA - PLANTA VICENTE CASARES - LIMPIEZA INDUSTRIAL</t>
  </si>
  <si>
    <t>S. A. LA NACION - EDIF ZEPITA - PLANTA</t>
  </si>
  <si>
    <t>BANCO DE VALORES S.A. - DEPOSITO POMPEYA</t>
  </si>
  <si>
    <t>TUTEUR S.A.C.I.F.I.A. - EDIF. JUAN DE GARAY</t>
  </si>
  <si>
    <t>COMISION NACIONAL DE ACTIVIDADES ESPACIALES - LIMPIEZA PLANTA C.O.N.A.E.</t>
  </si>
  <si>
    <t>CEILING SOLUTIONS S.A. - Unibroker</t>
  </si>
  <si>
    <t>SOUTHBAY SRL - UNICENTER</t>
  </si>
  <si>
    <t>TELECENTRO S.A. - ALVEAR 2550 - SAN MARTÍN</t>
  </si>
  <si>
    <t>NIKE ARGENTINA S.A. - CAMINO CENTENARIO 2565 - LA PLATA</t>
  </si>
  <si>
    <t>TM 50</t>
  </si>
  <si>
    <t>HAVANNA S.A,. - SALTA 368 - MAR DEL PLATA</t>
  </si>
  <si>
    <t>INTI - OFICINA - TUCUMAN</t>
  </si>
  <si>
    <t>ELECTROLUX</t>
  </si>
  <si>
    <t>FAMILIAR</t>
  </si>
  <si>
    <t>FIRMENICH SAIC Y F - EDIF PANAMERICANA KM 24.5</t>
  </si>
  <si>
    <t>RICHARDS, CARDINAL, TUTZER, ZABALA &amp; ZAEFFERER S.C. - AV. LEANDRO N. ALEM 1050 - PISO 13</t>
  </si>
  <si>
    <t>CLEANFIX</t>
  </si>
  <si>
    <t>CELSUR LOGISTICA S.A. - TORTUGUITAS</t>
  </si>
  <si>
    <t>INTI - PLANTA - MAR DEL PLATA</t>
  </si>
  <si>
    <t>ARMADA ARGENTINA - HOSPITAL NAVAL BUENOS AIRES - HOSPITAL NAVAL</t>
  </si>
  <si>
    <t>GALILEO TECH - Saenz Peña</t>
  </si>
  <si>
    <t>507841-5</t>
  </si>
  <si>
    <t>IRAM - CABA</t>
  </si>
  <si>
    <t>113185 W</t>
  </si>
  <si>
    <t>FAMAR FUEGUINA S.A. - RODNEY</t>
  </si>
  <si>
    <t>A 115312</t>
  </si>
  <si>
    <t>QUIMICA MONTPELLIER S.A, - EDIF PUAN 715</t>
  </si>
  <si>
    <t>TM 25</t>
  </si>
  <si>
    <t>DIRECCION NACIONAL DE VIALIDAD - REGION 16 - SANTA CRUZ  Errázuriz</t>
  </si>
  <si>
    <t>TELECENTRO S.A. - J. M. DE ROSAS 2860 - PLANTA TELECENTRO - SAN JUSTO</t>
  </si>
  <si>
    <t>LIMPIOLUX S. A. - SUC. MAR DEL PLATA</t>
  </si>
  <si>
    <t>INTI - HURLINGHAM</t>
  </si>
  <si>
    <t>NUEVO BANCO DE SANTA FE S.A. - EDIF SANTA FE 940</t>
  </si>
  <si>
    <t>IGARRETA MAQUINAS S.A. - PANAMERICANA 28500 - DON TORCUATO</t>
  </si>
  <si>
    <t>CABANELLAS ETCHEBARNE KELLY SOCIEDAD CIVIL - ING. ENRIQUE BUTTY 220 PISO 16 - C.A.B.A.</t>
  </si>
  <si>
    <t>TELECENTRO S.A. - TINOGASTA 4851 CABA</t>
  </si>
  <si>
    <t>NUEVO BANCO DE SANTA FE S.A. - EDIF SARGENTO CABRAL 156</t>
  </si>
  <si>
    <t>FRATELLI BRANCA DESTILERIAS SOCIEDAD ANONIMA - EDIFICIOS COSTA RICA 4451 - TORTUGUITAS</t>
  </si>
  <si>
    <t>PULLMAN HOLT</t>
  </si>
  <si>
    <t>E 51488</t>
  </si>
  <si>
    <t>CEILING SOLUTIONS S.A. - DISTRIBUIDORA CAÑON SRL.</t>
  </si>
  <si>
    <t>TELECENTRO S.A. - RINCON 3470 SAN JUSTO</t>
  </si>
  <si>
    <t>GALILEO TECH -San Martín</t>
  </si>
  <si>
    <t>FM 2000</t>
  </si>
  <si>
    <t>TOYOTA MATERIAL HANDLING MERCOSUR COM.DE EQUIP. LTDA. - EDIF. PARIS 165 - DON TORCUATO</t>
  </si>
  <si>
    <t>TELECENTRO S.A. - SUC GÛEMES 550 - MORENO</t>
  </si>
  <si>
    <t xml:space="preserve">LABORATORIOS LOVE SUDAMERICANA </t>
  </si>
  <si>
    <t>SUCESORES S.A. - EDIF TTE. GRAL. J. D. PERÓN 555</t>
  </si>
  <si>
    <t>ADMINISTRACION NACIONAL DE AVIACION CIVIL (ANAC) -caba</t>
  </si>
  <si>
    <t>OIL  TANKING EBYTEM - OFICINAS SAN ISIDRO</t>
  </si>
  <si>
    <t>AKZO NOBEL ARGENTINA S.A. - AV. MITRE 815 - VILLA MARTELLI</t>
  </si>
  <si>
    <t>LIMPIOLUX S. A. - GERENCIA (ROSITA)</t>
  </si>
  <si>
    <t>DIRECCION NACIONAL DE VIALIDAD - REGION 12 - Buenos Aires Bahía Blanca</t>
  </si>
  <si>
    <t>FINNING ARGENTINA S.A. - FINNING RENTAL - RUTA 8 KM. 24 - TORTUGUITAS</t>
  </si>
  <si>
    <t>CEILING SOLUTIONS S.A. - CEILING - LINDAL ARGENTINA SA</t>
  </si>
  <si>
    <t>VUTEQ ARGENTINA S.R.L. - VUTEQ ZARATE</t>
  </si>
  <si>
    <t>TELECENTRO S.A. - CATAMARCA 2026</t>
  </si>
  <si>
    <t>CURCIJA SOCIEDAD ANONIMA - EDIF AV. LEANDRO N. ALEM 1050 PISO 8º "B"</t>
  </si>
  <si>
    <t>INTI - RETIRO</t>
  </si>
  <si>
    <t>A.T.I.L.R.A. - EDIF. SAN MARTIN 226 - LONGCHAMPS</t>
  </si>
  <si>
    <t>NUEVO BANCO DE SANTA FE S.A. - AGENCIA ECHESORTU</t>
  </si>
  <si>
    <t>TELECENTRO S.A. -  JUAN MANUEL DE ROSAS 3556 - SAN JUSTO</t>
  </si>
  <si>
    <t>ADVANCE</t>
  </si>
  <si>
    <t>MINISTERIO DE HACIENDA - EDIF. AV. PASEO COLON 275 O. 4º Y 12</t>
  </si>
  <si>
    <t>TUV RHEINLAND - TUV - RHEINLAND  - AV CABILDO 642</t>
  </si>
  <si>
    <t>SMS S.A. - B. DE IRIGOYEN 972 - 6° Y 7° PISO - C.A.B.A.</t>
  </si>
  <si>
    <t>QBOX SOCIEDAD ANONIMA - EDIF. CAMPANA</t>
  </si>
  <si>
    <t>LIMPIOLUX S. A. - GERENCIA (CASA MAR DEL PLATA)</t>
  </si>
  <si>
    <t>AGRUPACION PARA LA ADM. DE CONT. DE ONCOLOGIA Y TRAT. ESP. - CUBA 1833 - 6º P. OF. 321</t>
  </si>
  <si>
    <t>HAVANNA S.A,. - AV. LIBERTADOR 14799 C.A.B.A.</t>
  </si>
  <si>
    <t>LIMPIOLUX S. A. - SUC. CÓRDOBA (OPERARIOS VOLANTES)</t>
  </si>
  <si>
    <t>CLICOH EXPRESS S.A.S - ALEJANDRO M.  CERVANTES 1433</t>
  </si>
  <si>
    <t>A 117446</t>
  </si>
  <si>
    <t>PEPSICO DE ARGENTINA S.R.L. - CALLE 3 Y 8 - PQUE. IND. GRAL. SAVIO</t>
  </si>
  <si>
    <t>GMRA S.A. - PLAZA LOGISTICA TORTUGAS</t>
  </si>
  <si>
    <t>MINISTERIO DE HACIENDA - SEC. DE HACIENDA - EDIF ALSINA</t>
  </si>
  <si>
    <t>DOSAM S.R.L. - PLANTA GARÍN</t>
  </si>
  <si>
    <t>TX 3</t>
  </si>
  <si>
    <t>MABXIENCE SAU - ZABALA 1040 GARIN</t>
  </si>
  <si>
    <t>ALGODONERA ACONCAGUA S.A. - EDIFICIO WILDE</t>
  </si>
  <si>
    <t>CORTADORA DE CESPED ELECTRICA</t>
  </si>
  <si>
    <t>SB 1226</t>
  </si>
  <si>
    <t>SOUTHBAY SRL - ABASTO</t>
  </si>
  <si>
    <t>MOTOMECANICA ARG. S.A.. - MOTOMECANICA ARG SA</t>
  </si>
  <si>
    <t>25787/02</t>
  </si>
  <si>
    <t>CENCOSUD S.A., - PLANTA PANIFICADORA - ITUZAINGO</t>
  </si>
  <si>
    <t>ADMINISTRACION NACIONAL DE AVIACIÓN CIVIL (ANAC) - Morón</t>
  </si>
  <si>
    <t>A 103617</t>
  </si>
  <si>
    <t>TELECENTRO S.A. - CAMINO GRAL BELGRANO 2180 BERAZATEGUI</t>
  </si>
  <si>
    <t>CELSUR LOGISTICA S.A. - CAÑUELAS</t>
  </si>
  <si>
    <t>SKUVA</t>
  </si>
  <si>
    <t>QUIMICA MONTPELLIER S.A, - EDIF MAZA 578</t>
  </si>
  <si>
    <t>BANCO DE VALORES. - EDIF SARMIENTO 314</t>
  </si>
  <si>
    <t>SOUTHBAY SRL</t>
  </si>
  <si>
    <t>BATEADORA-ASPIRADORA</t>
  </si>
  <si>
    <t>CV-618</t>
  </si>
  <si>
    <t>LIMPIOLUX S. A. - GERENCIA (OTROS PARTICULARES)</t>
  </si>
  <si>
    <t>FS 280</t>
  </si>
  <si>
    <t>ANDREANI LOGISTICA S.A. - DEPOSITO RUTA 88 KM. 2,5  MAR DEL PLATA</t>
  </si>
  <si>
    <t>CORVER</t>
  </si>
  <si>
    <t>UE 3044</t>
  </si>
  <si>
    <t>FINNING ARGENTINA S.A. - AV. JAPON 832 - CORDOBA</t>
  </si>
  <si>
    <t>103-P/A</t>
  </si>
  <si>
    <t>CIA. GENERAL DE TRANSACCIONES - EDIF. PARQUE PATRICIOS - COLONIA 25 - C.A.B.A.</t>
  </si>
  <si>
    <t>BANCO DE LA PROVINCIA DE BUENOS AIRES-BANCO PROVINCIA- SARMIENTO 362</t>
  </si>
  <si>
    <t>PANALPINA - SAN NICOLAS</t>
  </si>
  <si>
    <t>TELECENTRO S.A. - BOUL. BUENOS AIRES 1450 - LUIS GUILLON</t>
  </si>
  <si>
    <t>ADMINISTRACION NACIONAL DE AVIACIÓN CIVIL (ANAC) - Aerop. Tandil</t>
  </si>
  <si>
    <t>TECHMOB S.A. - AV LIBERTADOR 6550</t>
  </si>
  <si>
    <t>CASA DE MONEDA - RETIRO</t>
  </si>
  <si>
    <t>CARGADOR DE BATERIA 36V</t>
  </si>
  <si>
    <t>CARGADOR DE BATERIA 24V</t>
  </si>
  <si>
    <t>ADMINISTRACION NACIONAL DE AVIACIÓN CIVIL (ANAC) - Aerop. Internacional Neuquén</t>
  </si>
  <si>
    <t>TB0891</t>
  </si>
  <si>
    <t>ADMINISTRACION NACIONAL DE AVIACIÓN CIVIL (ANAC) - Com. Rivadavia</t>
  </si>
  <si>
    <t>ALLIANZ ARGENTINA CIA DE SEGUROS S.A. - AV COLON ESQ. GUEMES - MAR DEL PLATA</t>
  </si>
  <si>
    <t>ABBVIE S.A. - OFICINA ING. BUTTY  240 13º P</t>
  </si>
  <si>
    <t>ELABORADORA ARGENTINA DE CEREALES SRL - PLANTA BARRACAS</t>
  </si>
  <si>
    <t>FERRERO ARGENTINA S.A. - PLANTA  LOS CARDALES</t>
  </si>
  <si>
    <t>HIDROLAVADORA A.CALIENTE ELEC.</t>
  </si>
  <si>
    <t>TORO 200</t>
  </si>
  <si>
    <t>CEILING SOLUTIONS S.A. -  CONSORCIO LAMBARÉ 1181</t>
  </si>
  <si>
    <t>LANXESS S.A. - EDIF BURZACO</t>
  </si>
  <si>
    <t>N.R.G. S.A. - EDIF. SUIPACHA 414</t>
  </si>
  <si>
    <t>A.T.I.L.R.A. - EDIF. AV. INDEPENDENCIA 3332</t>
  </si>
  <si>
    <t>STYLUS S.A. - EDIF. OLAVARRIA 1964 -C.A.B.A.</t>
  </si>
  <si>
    <t>FLINT INK ARGENTINA S.R.L. - EDIFICIO EVA PERON CALLE 125 5307 - SAN MARTIN</t>
  </si>
  <si>
    <t>FUNDACION MUSEO DE LOS NIÑOS - FUNDACION MUSEO DE LOS NIÑOS</t>
  </si>
  <si>
    <t>AGRUPACION PARA LA ADM. DE CONT. DE ONCOLOGIA Y TRAT. ESP. - ACOYTE 520</t>
  </si>
  <si>
    <t>LIMPIOLUX S. A. - C. I. M. MAQ. CÓRDOBA</t>
  </si>
  <si>
    <t>MOLINOS BENVENUTO S.A - EDIFICIO CATAMARCA 1053</t>
  </si>
  <si>
    <t>ANAC - Aeroparque Jorge Newbery</t>
  </si>
  <si>
    <t>MITSUBISHI ARGENTINA SOCIEDAD ANÓNIMA COMERCIAL Y REPRESENT - EDIF DELLA PAOLERA 265</t>
  </si>
  <si>
    <t>IMA MAI S.A. - OF MAR DEL PLATA - DIV MAQUINAS</t>
  </si>
  <si>
    <t>22583(Souza)</t>
  </si>
  <si>
    <t>PRISMA MEDIOS DE PAGO S.A. - AV. ROGELIO MARTINEZ Y CALLE MALAGUEÑO - 4TO PISO OF A</t>
  </si>
  <si>
    <t>TELECENTRO S.A. - HUB ITUZAINGO</t>
  </si>
  <si>
    <t>CEILING SOLUTIONS S.A. - ULMA ANDAMIOS Y ENCOFRADOS ARGENTINA S A (PILAR)</t>
  </si>
  <si>
    <t>CAZENAVE Y ASOCIADOS S.A. - SAN VLADIMIRO 3056 PB SAN ISIDRO</t>
  </si>
  <si>
    <t>HFC 1405 CGB</t>
  </si>
  <si>
    <t>009TA00369</t>
  </si>
  <si>
    <t>ABBOTT LABORATORIES ARGENTINA S.A.. - OBRA PLANTA VARELA - Av Cerrito 836 piso 2</t>
  </si>
  <si>
    <t>NUEVO BANCO DE SANTA FE S.A. - CALL CENTER RIOJA 920 - ROSARIO</t>
  </si>
  <si>
    <t>LOMA NEGRA CIASA - PLANTA SAN JUAN - LIMPIEZA EDILICIA</t>
  </si>
  <si>
    <t>EXTERNAL MARKET S.R.L. - SARGENTO CABRAL 4235 - MUNRO</t>
  </si>
  <si>
    <t>APA</t>
  </si>
  <si>
    <t>CLEAN MATIC</t>
  </si>
  <si>
    <t>CL 22</t>
  </si>
  <si>
    <t>CARGADOR DE BATERIA DE 12V</t>
  </si>
  <si>
    <t>AMERICAN LINCOLN</t>
  </si>
  <si>
    <t>CELSUR LOGISTICA S.A. - PILAR 3</t>
  </si>
  <si>
    <t xml:space="preserve">SOUTHBAY SRL, TOM SHOPPING TORTUGAS OPEN MALL </t>
  </si>
  <si>
    <t>SEGUFER - EDIFICIO TOLL</t>
  </si>
  <si>
    <t>25783/02</t>
  </si>
  <si>
    <t>CAMARA DEL COMERCIO AUTOMOTOR. - EDIFICIO  SOLER 3909</t>
  </si>
  <si>
    <t>DIVERSEY DE ARGENTINA S.A. - EX DIVERSILEVER V. BOSCH</t>
  </si>
  <si>
    <t>S20 E</t>
  </si>
  <si>
    <t>UNION TRAB GASTR REP ARG SECC AVELLANEDADELEGACION TEMPERLEY-CASA PARTICULAR –Dorrego 539</t>
  </si>
  <si>
    <t>SS-20</t>
  </si>
  <si>
    <t>TURBO 4000</t>
  </si>
  <si>
    <t>LOMA NEGRA CIASA - PLANTA RAMALLO LZA. INDUSTRIAL (AOMA)</t>
  </si>
  <si>
    <t>MDA</t>
  </si>
  <si>
    <t>Super Scrubber</t>
  </si>
  <si>
    <t>ABBVIE S.A. - EDIF. VILLA ADELINA</t>
  </si>
  <si>
    <t>VERBAT</t>
  </si>
  <si>
    <t>T I 2440/2</t>
  </si>
  <si>
    <t>WINTERSHALL ENERGIA S.A. - EDIF DELLA PAOLLERA 265 PISO 14</t>
  </si>
  <si>
    <t>NIKE ARGENTINA S.A. - TIENDA SOLEIL - BOULOGNE</t>
  </si>
  <si>
    <t>Soteco</t>
  </si>
  <si>
    <t>Genius 650</t>
  </si>
  <si>
    <t>ADIDAS ARGENTINA S.A. - COMPLEJO BUREAU PARK SAN ISIDRO</t>
  </si>
  <si>
    <t>24V 30 A/h</t>
  </si>
  <si>
    <t>ROBUST</t>
  </si>
  <si>
    <t>LIMPIOLUX S. A. - OPERACIONES - RAIMONDO</t>
  </si>
  <si>
    <t>Swingo 450E</t>
  </si>
  <si>
    <t>GENERAL MOTORS - GENERAL MOTORS - SANTA FE</t>
  </si>
  <si>
    <t>FMT</t>
  </si>
  <si>
    <t>Sutter Argentina</t>
  </si>
  <si>
    <t>P-010411-5</t>
  </si>
  <si>
    <t>MORI L. RADDRIZZATORI</t>
  </si>
  <si>
    <t>36V</t>
  </si>
  <si>
    <t>TELECENTRO S.A. - IRIGOYEN 4261 1° P. - LANUS</t>
  </si>
  <si>
    <t>s/n</t>
  </si>
  <si>
    <t>TELECENTRO S.A. - FLORES - BOYACA 80</t>
  </si>
  <si>
    <t>DESTAPACAÑERIAS ELECTRICO</t>
  </si>
  <si>
    <t>ALDRE</t>
  </si>
  <si>
    <t>K-60</t>
  </si>
  <si>
    <t>1HP</t>
  </si>
  <si>
    <t>AXIS</t>
  </si>
  <si>
    <t>HDS 6/14</t>
  </si>
  <si>
    <t>HD 1040 B</t>
  </si>
  <si>
    <t>SIDERCA SAIC - SIDERCA EL TALAR</t>
  </si>
  <si>
    <t>ROEMMERS-SAICF</t>
  </si>
  <si>
    <t>24 V</t>
  </si>
  <si>
    <t>ADMINISTRACION NACIONAL DE AVIACIÓN CIVIL (ANAC) - Cabecera DRNOC</t>
  </si>
  <si>
    <t>DÓLAR</t>
  </si>
  <si>
    <t>AT 24</t>
  </si>
  <si>
    <t>PURA POTENCIA</t>
  </si>
  <si>
    <t>PF0031</t>
  </si>
  <si>
    <t>CARJET</t>
  </si>
  <si>
    <t>120 psa</t>
  </si>
  <si>
    <t>SIMPLOT ARGENTINA S.R.L. - Simplot Mendoza</t>
  </si>
  <si>
    <t>LUSTRADORA  ALTA VELOCIDAD H A BORDO</t>
  </si>
  <si>
    <t>COMAC</t>
  </si>
  <si>
    <t>COMAC CM 70HS PLUS</t>
  </si>
  <si>
    <t>PF0009</t>
  </si>
  <si>
    <t>NSS E Force Burn</t>
  </si>
  <si>
    <t>MICROPOWER</t>
  </si>
  <si>
    <t>924330-5152</t>
  </si>
  <si>
    <t>HD 6/15-4 M</t>
  </si>
  <si>
    <t>BDWD10AR</t>
  </si>
  <si>
    <t>SOUTHBAY SRL - CORDOBA CAPITAL</t>
  </si>
  <si>
    <t>001393H</t>
  </si>
  <si>
    <t>001471H</t>
  </si>
  <si>
    <t>001214H</t>
  </si>
  <si>
    <t>ARG001458H</t>
  </si>
  <si>
    <t>ARG001387H</t>
  </si>
  <si>
    <t>CELSUR LOGISTICA S.A. - PILAR 1</t>
  </si>
  <si>
    <t>1135H</t>
  </si>
  <si>
    <t>PF0204 40 AMP</t>
  </si>
  <si>
    <t>PF0099 20 AMP</t>
  </si>
  <si>
    <t>IRSA Inversiones y Representaciones S.A - MUSEO DE LOS NIÑOS</t>
  </si>
  <si>
    <t>PF 0097 20 AMP</t>
  </si>
  <si>
    <t>ZONIK</t>
  </si>
  <si>
    <t>1234cordoba</t>
  </si>
  <si>
    <t>ALLIANZ ARGENTINA CIA DE SEGUROS S.A. - LOCAL CORDOBA</t>
  </si>
  <si>
    <t>YEMY</t>
  </si>
  <si>
    <t>UY1200Z</t>
  </si>
  <si>
    <t>PF-0209</t>
  </si>
  <si>
    <t>PF-0240</t>
  </si>
  <si>
    <t>PF-0206</t>
  </si>
  <si>
    <t>Fang 28T</t>
  </si>
  <si>
    <t>CEILING SOLUTIONS S.A. - RICARDO NINI S.A. - LA PLATA</t>
  </si>
  <si>
    <t>MARTILLO ELECTRICO</t>
  </si>
  <si>
    <t>PF-0120</t>
  </si>
  <si>
    <t>PF-0255</t>
  </si>
  <si>
    <t>PF-0272</t>
  </si>
  <si>
    <t>ARG0011408M</t>
  </si>
  <si>
    <t>ARG001404M</t>
  </si>
  <si>
    <t>ARG001409M</t>
  </si>
  <si>
    <t>812-507-209</t>
  </si>
  <si>
    <t>DESMALEZADORA ELECTRICA</t>
  </si>
  <si>
    <t>FSE60</t>
  </si>
  <si>
    <t>MAQSTIHL0000021</t>
  </si>
  <si>
    <t>LSU275-ARG</t>
  </si>
  <si>
    <t>001218H</t>
  </si>
  <si>
    <t>CARGADOR DE BATERIA 12v-24v</t>
  </si>
  <si>
    <t>s/m</t>
  </si>
  <si>
    <t>AS7690T-US</t>
  </si>
  <si>
    <t>UY1200Z-24F25</t>
  </si>
  <si>
    <t>S.P.E.</t>
  </si>
  <si>
    <t>CBHF2,36-25</t>
  </si>
  <si>
    <t>PANALPINA - EDO</t>
  </si>
  <si>
    <t>YEWI</t>
  </si>
  <si>
    <t>EU 06259 P</t>
  </si>
  <si>
    <t>EU 06260 P</t>
  </si>
  <si>
    <t>TENNANT</t>
  </si>
  <si>
    <t>T 300</t>
  </si>
  <si>
    <t>10890118 T 300 E</t>
  </si>
  <si>
    <t>924224-5152</t>
  </si>
  <si>
    <t>924227-5152</t>
  </si>
  <si>
    <t>AG 001074 G</t>
  </si>
  <si>
    <t>AG 001073 G</t>
  </si>
  <si>
    <t>DR 1500 H</t>
  </si>
  <si>
    <t>001286 G</t>
  </si>
  <si>
    <t>001284 G</t>
  </si>
  <si>
    <t>PAMPA</t>
  </si>
  <si>
    <t>AGUA FRIA</t>
  </si>
  <si>
    <t>30 KW</t>
  </si>
  <si>
    <t>MH 3C 145/600 PA</t>
  </si>
  <si>
    <t>ABASTO SHOPPING - ABASTO SHOPPING</t>
  </si>
  <si>
    <t>PYSOL</t>
  </si>
  <si>
    <t>0011265G</t>
  </si>
  <si>
    <t>CEILING SOLUTIONS S.A. - AGCO - GRAL RODRIGUEZ</t>
  </si>
  <si>
    <t>E14039XTRZEU</t>
  </si>
  <si>
    <t>AG1075G</t>
  </si>
  <si>
    <t>AG1072G</t>
  </si>
  <si>
    <t>CBHF2 48-20</t>
  </si>
  <si>
    <t>001266 G</t>
  </si>
  <si>
    <t>001261 G</t>
  </si>
  <si>
    <t>001267G</t>
  </si>
  <si>
    <t>001263 G</t>
  </si>
  <si>
    <t>ASPIRO 215</t>
  </si>
  <si>
    <t>CEILING SOLUTIONS S.A. - AGCO HAEDO</t>
  </si>
  <si>
    <t>15M26-3.752</t>
  </si>
  <si>
    <t>TELECENTRO S.A. - APOLINARIO FIGUEROA 254/255 - C.A.B.A.</t>
  </si>
  <si>
    <t>CUSHMAN &amp; WAKEFIELD ARGENTINA SRL - ADIDAS FLORESTA</t>
  </si>
  <si>
    <t>RE 150</t>
  </si>
  <si>
    <t>UY240-12F10</t>
  </si>
  <si>
    <t>MICROGLOBAL</t>
  </si>
  <si>
    <t>GMRA PLANTA DORINKA - ESCOBAR</t>
  </si>
  <si>
    <t>POWERFIRST</t>
  </si>
  <si>
    <t>PFC0800-24CH25N</t>
  </si>
  <si>
    <t>24CH25N</t>
  </si>
  <si>
    <t>TWISTER</t>
  </si>
  <si>
    <t>FM-5402</t>
  </si>
  <si>
    <t>24V 40A</t>
  </si>
  <si>
    <t>PF-00450</t>
  </si>
  <si>
    <t>PF-00441</t>
  </si>
  <si>
    <t>PF-00448</t>
  </si>
  <si>
    <t>2-700-I40824-B6</t>
  </si>
  <si>
    <t>MDA 3630</t>
  </si>
  <si>
    <t>LS 160</t>
  </si>
  <si>
    <t>A G 001071 G</t>
  </si>
  <si>
    <t>OUTHBAY SRL, TOM SHOPPING PLAZA OESTE</t>
  </si>
  <si>
    <t>EMBAJADA DE LOS EE UU DE NORTEAMERICA - EDIFICIO DE LA EMBAJADA</t>
  </si>
  <si>
    <t>HUSQVARNA</t>
  </si>
  <si>
    <t>QL-3100E</t>
  </si>
  <si>
    <t>1282024-01-CIMM</t>
  </si>
  <si>
    <t>1282024-02-CIMM</t>
  </si>
  <si>
    <t>AEROLÍNEAS ARGENTINAS S.A-AEROPARQUE -AEROLINEAS ARGENTINAS S.A.</t>
  </si>
  <si>
    <t>PHASP6336PI</t>
  </si>
  <si>
    <t>PFC0450-24CH15S</t>
  </si>
  <si>
    <t>CN5006264</t>
  </si>
  <si>
    <t>M24/50</t>
  </si>
  <si>
    <t>INC-CO</t>
  </si>
  <si>
    <t>P20S</t>
  </si>
  <si>
    <t>CARGADOR DE BATERIA 20 V LITIHIUM</t>
  </si>
  <si>
    <t>FCLI2001-4</t>
  </si>
  <si>
    <t>MC 4M 160/620</t>
  </si>
  <si>
    <t>MINICARGADORA</t>
  </si>
  <si>
    <t>LONKING</t>
  </si>
  <si>
    <t>CDM307K</t>
  </si>
  <si>
    <t>V2403-M-D-EU53</t>
  </si>
  <si>
    <t>CARGADOR DE BATERIA 48V</t>
  </si>
  <si>
    <t>CH03D-WBP-GM01</t>
  </si>
  <si>
    <t>MEICOM</t>
  </si>
  <si>
    <t>HIDROPRO 812 A</t>
  </si>
  <si>
    <t>LIMPIOLUX S. A. - EQUIPO DE VIDRIEROS</t>
  </si>
  <si>
    <t>YEWY</t>
  </si>
  <si>
    <t>UY1200Z.24F25</t>
  </si>
  <si>
    <t>ARG002783Q</t>
  </si>
  <si>
    <t>ARG002910Q</t>
  </si>
  <si>
    <t>PENDIENTE</t>
  </si>
  <si>
    <t>LA PARANOLI - TATTERSALL - JOCKEY CLUB</t>
  </si>
  <si>
    <t>ALGODONERA ACONCAGUA S.A. - EDIFICIO WILDE - JARDINERIA</t>
  </si>
  <si>
    <t>ALLIANZ ARGENTINA CIA DE SEGUROS S.A. - Córdoba (Alcorta 86)</t>
  </si>
  <si>
    <t>SOUTHBAY SRL - PASEO ALCORTA</t>
  </si>
  <si>
    <t>de baja</t>
  </si>
  <si>
    <t xml:space="preserve">ORTIZ </t>
  </si>
  <si>
    <t>ALTIRA Edif. San Martin</t>
  </si>
  <si>
    <t>Banco de Valores Dep. Pompeya</t>
  </si>
  <si>
    <t>SUAREZ</t>
  </si>
  <si>
    <t>Banco Prov. B.A. San Martin 108</t>
  </si>
  <si>
    <t>no esta</t>
  </si>
  <si>
    <t>Hospital Naval Bs As</t>
  </si>
  <si>
    <t>LUCIO RAMOS</t>
  </si>
  <si>
    <t xml:space="preserve">BAJA  DEL SERVICIO </t>
  </si>
  <si>
    <t xml:space="preserve">BAJA DEL SERVICIO </t>
  </si>
  <si>
    <t>En reparación</t>
  </si>
  <si>
    <t xml:space="preserve">BAJA </t>
  </si>
  <si>
    <t>Potencia W</t>
  </si>
  <si>
    <t>Unidad de negocio</t>
  </si>
  <si>
    <t>CEILING</t>
  </si>
  <si>
    <t>LIMPIOLUX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</si>
</sst>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</font>
    <font>
      <sz val="11"/>
      <color rgb="FF000000"/>
      <name val="Verdana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theme="2" tint="-9.9948118533890809E-2"/>
      </left>
      <right/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2">
    <xf numFmtId="0" fontId="0" fillId="0" borderId="0"/>
    <xf numFmtId="0" fontId="2" fillId="0" borderId="0"/>
  </cellStyleXfs>
  <cellXfs count="69">
    <xf numFmtId="0" fontId="0" fillId="0" borderId="0" xfId="0"/>
    <xf numFmtId="0" fontId="2" fillId="0" borderId="0" xfId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2" fontId="0" fillId="3" borderId="0" xfId="0" applyNumberFormat="1" applyFill="1"/>
    <xf numFmtId="0" fontId="4" fillId="0" borderId="0" xfId="0" applyFont="1"/>
    <xf numFmtId="0" fontId="4" fillId="0" borderId="0" xfId="0" applyFont="1" applyAlignment="1">
      <alignment horizontal="center"/>
    </xf>
    <xf numFmtId="2" fontId="0" fillId="2" borderId="0" xfId="0" applyNumberFormat="1" applyFill="1"/>
    <xf numFmtId="0" fontId="0" fillId="2" borderId="0" xfId="0" applyFill="1" applyAlignment="1">
      <alignment horizontal="left"/>
    </xf>
    <xf numFmtId="0" fontId="6" fillId="0" borderId="0" xfId="0" applyFont="1" applyAlignment="1">
      <alignment horizontal="right"/>
    </xf>
    <xf numFmtId="0" fontId="0" fillId="2" borderId="0" xfId="0" applyFill="1" applyAlignment="1">
      <alignment horizontal="center" wrapText="1"/>
    </xf>
    <xf numFmtId="0" fontId="2" fillId="2" borderId="0" xfId="1" applyFill="1"/>
    <xf numFmtId="0" fontId="2" fillId="3" borderId="0" xfId="1" applyFill="1"/>
    <xf numFmtId="0" fontId="3" fillId="0" borderId="0" xfId="1" applyFont="1"/>
    <xf numFmtId="0" fontId="5" fillId="2" borderId="0" xfId="1" applyFont="1" applyFill="1"/>
    <xf numFmtId="0" fontId="1" fillId="0" borderId="0" xfId="0" applyFont="1"/>
    <xf numFmtId="0" fontId="6" fillId="0" borderId="0" xfId="0" applyFont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2" fontId="0" fillId="5" borderId="0" xfId="0" applyNumberFormat="1" applyFill="1"/>
    <xf numFmtId="0" fontId="3" fillId="5" borderId="0" xfId="1" applyFont="1" applyFill="1"/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wrapText="1"/>
    </xf>
    <xf numFmtId="0" fontId="6" fillId="2" borderId="0" xfId="0" applyFont="1" applyFill="1" applyAlignment="1">
      <alignment horizontal="left"/>
    </xf>
    <xf numFmtId="0" fontId="2" fillId="2" borderId="0" xfId="1" applyFill="1" applyAlignment="1">
      <alignment horizontal="left"/>
    </xf>
    <xf numFmtId="0" fontId="3" fillId="5" borderId="0" xfId="1" applyFont="1" applyFill="1" applyAlignment="1">
      <alignment horizontal="left"/>
    </xf>
    <xf numFmtId="0" fontId="2" fillId="3" borderId="0" xfId="1" applyFill="1" applyAlignment="1">
      <alignment horizontal="left"/>
    </xf>
    <xf numFmtId="0" fontId="5" fillId="2" borderId="0" xfId="1" applyFont="1" applyFill="1" applyAlignment="1">
      <alignment horizontal="left"/>
    </xf>
    <xf numFmtId="14" fontId="6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right"/>
    </xf>
    <xf numFmtId="0" fontId="7" fillId="3" borderId="0" xfId="0" applyFont="1" applyFill="1" applyAlignment="1">
      <alignment horizontal="left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3" fillId="0" borderId="1" xfId="1" applyFont="1" applyBorder="1"/>
    <xf numFmtId="0" fontId="5" fillId="2" borderId="1" xfId="1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5" borderId="0" xfId="0" applyFont="1" applyFill="1"/>
    <xf numFmtId="0" fontId="2" fillId="2" borderId="0" xfId="1" applyFill="1" applyAlignment="1">
      <alignment horizontal="center" vertical="center"/>
    </xf>
    <xf numFmtId="0" fontId="2" fillId="3" borderId="0" xfId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6" fillId="5" borderId="0" xfId="0" applyFont="1" applyFill="1" applyAlignment="1">
      <alignment horizontal="right"/>
    </xf>
    <xf numFmtId="0" fontId="0" fillId="4" borderId="0" xfId="0" applyFill="1" applyAlignment="1">
      <alignment horizontal="left"/>
    </xf>
    <xf numFmtId="0" fontId="1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10" fillId="4" borderId="0" xfId="0" applyFont="1" applyFill="1" applyAlignment="1">
      <alignment horizontal="left"/>
    </xf>
    <xf numFmtId="1" fontId="6" fillId="0" borderId="0" xfId="0" applyNumberFormat="1" applyFont="1" applyAlignment="1">
      <alignment horizontal="right"/>
    </xf>
  </cellXfs>
  <cellStyles count="2">
    <cellStyle name="Normal" xfId="0" builtinId="0"/>
    <cellStyle name="Normal_Hoja1" xfId="1" xr:uid="{44B50896-EC4C-4BBE-88C6-BFF74D140A18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ena Schwint" id="{83CA515D-91B9-490F-8544-466576D31BC6}" userId="S::eschwint@limpiolux.com.ar::58e14177-059c-4a82-9a90-7da3b3e50c0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6-02-03T11:58:33.45" personId="{83CA515D-91B9-490F-8544-466576D31BC6}" id="{23094430-6CA4-4DAD-BB5C-E3D8C41DE1F4}">
    <text>En el inventario figura en el servicio, no se cuenta con la maquina en reparación</text>
  </threadedComment>
  <threadedComment ref="J6" dT="2026-02-03T12:11:43.64" personId="{83CA515D-91B9-490F-8544-466576D31BC6}" id="{50FC73DC-3786-4B8A-BA91-F126CFACA5D8}">
    <text>Sigue figurando en este servicio en inventario</text>
  </threadedComment>
  <threadedComment ref="J14" dT="2026-02-03T12:04:50.34" personId="{83CA515D-91B9-490F-8544-466576D31BC6}" id="{B15DB4E0-803C-43C6-8681-8DD5316455AB}">
    <text>En inventario sigue figurando en toyota</text>
  </threadedComment>
  <threadedComment ref="J18" dT="2026-02-03T12:11:43.64" personId="{83CA515D-91B9-490F-8544-466576D31BC6}" id="{EABFD712-2DD7-4608-8C82-C21085DEC37A}">
    <text>Sigue figurando en este servicio en inventario</text>
  </threadedComment>
  <threadedComment ref="G20" dT="2026-02-03T13:16:15.24" personId="{83CA515D-91B9-490F-8544-466576D31BC6}" id="{D69FFC8F-93E7-4BE4-A390-3B21DA882DE2}">
    <text>Este servicio esta dado de baja, en inventario sigue figurando la máquina ahí</text>
  </threadedComment>
  <threadedComment ref="J22" dT="2026-02-03T12:04:50.34" personId="{83CA515D-91B9-490F-8544-466576D31BC6}" id="{FDFBFBCB-D4F7-400B-BCCD-80F988380FE2}">
    <text>En inventario sigue figurando en toyota</text>
  </threadedComment>
  <threadedComment ref="G23" dT="2026-01-30T19:49:08.65" personId="{83CA515D-91B9-490F-8544-466576D31BC6}" id="{DE33E11B-E310-4EC7-A083-B8EE69D74F69}">
    <text xml:space="preserve">Inventario figura en LOMASER, leo dice que no es´ta
</text>
  </threadedComment>
  <threadedComment ref="J23" dT="2026-02-03T12:11:43.64" personId="{83CA515D-91B9-490F-8544-466576D31BC6}" id="{CD14031E-CCBA-4F23-AA5F-5E338786961B}">
    <text>Sigue figurando en este servicio en inventario</text>
  </threadedComment>
  <threadedComment ref="J27" dT="2026-02-03T12:11:43.64" personId="{83CA515D-91B9-490F-8544-466576D31BC6}" id="{B04C12DE-DF14-4D79-BC1D-A21A6155084C}">
    <text>Sigue figurando en este servicio en inventario</text>
  </threadedComment>
  <threadedComment ref="J28" dT="2026-02-03T12:05:59.54" personId="{83CA515D-91B9-490F-8544-466576D31BC6}" id="{893621D8-1956-457F-9673-711568F5B0F9}">
    <text>Sigue figurando en suc cordoba</text>
  </threadedComment>
  <threadedComment ref="J30" dT="2026-02-03T12:11:43.64" personId="{83CA515D-91B9-490F-8544-466576D31BC6}" id="{A0A66A37-1343-4E95-A074-C1860FD398F8}">
    <text>Sigue figurando en este servicio en inventario</text>
  </threadedComment>
  <threadedComment ref="J31" dT="2026-02-03T12:11:43.64" personId="{83CA515D-91B9-490F-8544-466576D31BC6}" id="{5E9F26E1-5938-413B-93BC-1CC59CD226BE}">
    <text>Sigue figurando en este servicio en inventario</text>
  </threadedComment>
  <threadedComment ref="J36" dT="2026-02-03T12:05:59.54" personId="{83CA515D-91B9-490F-8544-466576D31BC6}" id="{1A7B4B1A-9262-4120-BAE1-2CC983034684}">
    <text>Sigue figurando en suc cordoba</text>
  </threadedComment>
  <threadedComment ref="J39" dT="2026-02-03T12:11:43.64" personId="{83CA515D-91B9-490F-8544-466576D31BC6}" id="{1965D015-702E-4CA3-9E1B-88C1CAC89608}">
    <text>Sigue figurando en este servicio en inventario</text>
  </threadedComment>
  <threadedComment ref="G40" dT="2026-02-12T12:25:08.97" personId="{83CA515D-91B9-490F-8544-466576D31BC6}" id="{9ED1457A-D426-4F70-916C-96F831F68B0F}">
    <text>En reparación</text>
  </threadedComment>
  <threadedComment ref="J41" dT="2026-02-03T12:04:50.34" personId="{83CA515D-91B9-490F-8544-466576D31BC6}" id="{BEAF35EA-4F58-46D6-8EEA-67CA099AB6F9}">
    <text>En inventario sigue figurando en toyota</text>
  </threadedComment>
  <threadedComment ref="J43" dT="2026-02-03T11:58:33.45" personId="{83CA515D-91B9-490F-8544-466576D31BC6}" id="{0D400B48-CE98-4E18-9011-BCED48A456BB}">
    <text>En el inventario figura en el servicio, no se cuenta con la maquina en reparación</text>
  </threadedComment>
  <threadedComment ref="G48" dT="2026-02-03T13:16:39.31" personId="{83CA515D-91B9-490F-8544-466576D31BC6}" id="{EBFD5A42-87A9-4D60-A7CF-7399EE6C5031}">
    <text>El servicio está dado de baja y sigue figurando allí en el inventario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30" dT="2026-03-11T15:25:44.72" personId="{83CA515D-91B9-490F-8544-466576D31BC6}" id="{493D9FB9-19AD-45C0-B5CA-D85449F272B2}">
    <text>En relev operaciones esta en Telecentro Figueroa 254</text>
  </threadedComment>
  <threadedComment ref="G135" dT="2026-02-11T16:30:49.36" personId="{83CA515D-91B9-490F-8544-466576D31BC6}" id="{5FCDBA84-7C2A-44B2-9350-CE05F6DD94A7}">
    <text>CC del inventario estaba mal</text>
  </threadedComment>
  <threadedComment ref="H158" dT="2026-02-11T19:17:16.08" personId="{83CA515D-91B9-490F-8544-466576D31BC6}" id="{45078F8F-4970-4C35-AB5C-1D7369BBE238}">
    <text>Esta desactualizado en base del cimm: BACO VALORES EDIF SALGUERO</text>
  </threadedComment>
  <threadedComment ref="H279" dT="2026-02-11T19:22:29.52" personId="{83CA515D-91B9-490F-8544-466576D31BC6}" id="{DD9E52AE-D3B3-496A-B40B-533F8D7980EB}">
    <text>Esta supuestamente estaba en Stilo wg..</text>
  </threadedComment>
  <threadedComment ref="G283" dT="2026-02-18T15:06:46.01" personId="{83CA515D-91B9-490F-8544-466576D31BC6}" id="{0F6F89B9-604E-4357-A36E-C71E3768ABCD}">
    <text>Codigo de casa distinto en base cimm</text>
  </threadedComment>
  <threadedComment ref="G402" dT="2026-02-18T15:06:57.34" personId="{83CA515D-91B9-490F-8544-466576D31BC6}" id="{BFB93D10-4164-4E71-881B-7314EDE604DF}">
    <text>Codigo de casa distinto en base cimm</text>
  </threadedComment>
  <threadedComment ref="H543" dT="2026-02-11T19:17:16.08" personId="{83CA515D-91B9-490F-8544-466576D31BC6}" id="{80991FAE-8018-4346-BE49-ADC6EE4DF512}">
    <text>Esta desactualizado en base del cimm: BACO VALORES EDIF SALGUERO</text>
  </threadedComment>
  <threadedComment ref="J546" dT="2026-03-20T14:30:04.76" personId="{83CA515D-91B9-490F-8544-466576D31BC6}" id="{5CC140C1-2F72-4888-B396-1C43CCA38D44}">
    <text>Se toma valor mas elevado de otras hidrolavadoras (criterio conservador - la de 8000w no porque tiene otras caracteristicas)</text>
  </threadedComment>
  <threadedComment ref="J658" dT="2026-03-20T14:30:04.76" personId="{83CA515D-91B9-490F-8544-466576D31BC6}" id="{42C8C000-C1EA-43A3-92D3-6ECE8E1F432F}">
    <text>Se toma valor mas elevado de otras hidrolavadoras (criterio conservador - la de 8000w no porque tiene otras caracteristicas)</text>
  </threadedComment>
  <threadedComment ref="J733" dT="2026-03-20T14:30:04.76" personId="{83CA515D-91B9-490F-8544-466576D31BC6}" id="{8525810A-468A-4D0C-BEDB-5069C02989A0}">
    <text>Se toma valor mas elevado de otras hidrolavadoras (criterio conservador - la de 8000w no porque tiene otras caracteristicas)</text>
  </threadedComment>
  <threadedComment ref="J742" dT="2026-03-20T14:30:04.76" personId="{83CA515D-91B9-490F-8544-466576D31BC6}" id="{C98154E5-4134-47B5-B871-17667ABC1843}">
    <text>Se toma valor mas elevado de otras hidrolavadoras (criterio conservador - la de 8000w no porque tiene otras caracteristicas)</text>
  </threadedComment>
  <threadedComment ref="J777" dT="2026-03-20T14:30:04.76" personId="{83CA515D-91B9-490F-8544-466576D31BC6}" id="{C72E9A89-FC48-47A4-B0F2-C56CC7286678}">
    <text>Se toma valor mas elevado de otras hidrolavadoras (criterio conservador - la de 8000w no porque tiene otras caracteristicas)</text>
  </threadedComment>
  <threadedComment ref="J785" dT="2026-03-20T14:30:49.91" personId="{83CA515D-91B9-490F-8544-466576D31BC6}" id="{43F88F78-FA51-4480-9D92-7089767A77D7}">
    <text>No se contabiliza</text>
  </threadedComment>
  <threadedComment ref="J802" dT="2026-03-20T14:30:49.91" personId="{83CA515D-91B9-490F-8544-466576D31BC6}" id="{6306DB68-F1E9-4ACD-BD7D-E3C3FAE9C17E}">
    <text>No se contabiliza</text>
  </threadedComment>
  <threadedComment ref="J803" dT="2026-03-20T14:30:04.76" personId="{83CA515D-91B9-490F-8544-466576D31BC6}" id="{CFB9E3AF-A0B5-43E2-8E04-A2DA71D90628}">
    <text>Se toma valor mas elevado de otras hidrolavadoras (criterio conservador - la de 8000w no porque tiene otras caracteristicas)</text>
  </threadedComment>
  <threadedComment ref="J823" dT="2026-03-20T14:30:04.76" personId="{83CA515D-91B9-490F-8544-466576D31BC6}" id="{B5895719-6515-472E-BAAC-49D7542177C0}">
    <text>Se toma valor mas elevado de otras hidrolavadoras (criterio conservador - la de 8000w no porque tiene otras caracteristicas)</text>
  </threadedComment>
  <threadedComment ref="H840" dT="2026-02-11T19:17:16.08" personId="{83CA515D-91B9-490F-8544-466576D31BC6}" id="{5B6D6D46-6E38-41DB-B53E-CAFB77664BB4}">
    <text>Esta desactualizado en base del cimm: BACO VALORES EDIF SALGUERO</text>
  </threadedComment>
  <threadedComment ref="J866" dT="2026-03-20T14:30:04.76" personId="{83CA515D-91B9-490F-8544-466576D31BC6}" id="{1E286DB3-DF28-4004-A6BD-A835E8C7E3C6}">
    <text>Se toma valor mas elevado de otras hidrolavadoras (criterio conservador - la de 8000w no porque tiene otras caracteristicas)</text>
  </threadedComment>
  <threadedComment ref="J907" dT="2026-03-20T14:30:04.76" personId="{83CA515D-91B9-490F-8544-466576D31BC6}" id="{6F93F0DE-B926-4CDC-9518-55D3784A39F6}">
    <text>Se toma valor mas elevado de otras hidrolavadoras (criterio conservador - la de 8000w no porque tiene otras caracteristicas)</text>
  </threadedComment>
  <threadedComment ref="J914" dT="2026-03-20T14:30:04.76" personId="{83CA515D-91B9-490F-8544-466576D31BC6}" id="{20E82B3D-C7FB-41C0-8701-BE3D7C3CD7F0}">
    <text>Se toma valor mas elevado de otras hidrolavadoras (criterio conservador - la de 8000w no porque tiene otras caracteristicas)</text>
  </threadedComment>
  <threadedComment ref="J919" dT="2026-03-20T14:30:04.76" personId="{83CA515D-91B9-490F-8544-466576D31BC6}" id="{9D7E55B5-71D5-4640-B2A8-891560059DC3}">
    <text>Se toma valor mas elevado de otras hidrolavadoras (criterio conservador - la de 8000w no porque tiene otras caracteristicas)</text>
  </threadedComment>
  <threadedComment ref="J996" dT="2026-03-20T14:30:04.76" personId="{83CA515D-91B9-490F-8544-466576D31BC6}" id="{6D3EB77E-DC07-47EB-9966-0C0B5E1C10D8}">
    <text>Se toma valor mas elevado de otras hidrolavadoras (criterio conservador - la de 8000w no porque tiene otras caracteristicas)</text>
  </threadedComment>
  <threadedComment ref="J1003" dT="2026-03-20T14:30:04.76" personId="{83CA515D-91B9-490F-8544-466576D31BC6}" id="{B9C5F170-1107-4F8C-9D6D-4FB9978C19CF}">
    <text>Se toma valor mas elevado de otras hidrolavadoras (criterio conservador - la de 8000w no porque tiene otras caracteristicas)</text>
  </threadedComment>
  <threadedComment ref="H1072" dT="2026-02-18T15:13:19.10" personId="{83CA515D-91B9-490F-8544-466576D31BC6}" id="{3EF73087-647B-4953-B263-6BE700BFE72D}">
    <text>Al rio sport club (dato operaciones)</text>
  </threadedComment>
  <threadedComment ref="J1072" dT="2026-03-20T14:30:04.76" personId="{83CA515D-91B9-490F-8544-466576D31BC6}" id="{FB687FBB-C577-46EA-B54C-9932459CC2B2}">
    <text>Se toma valor mas elevado de otras hidrolavadoras (criterio conservador - la de 8000w no porque tiene otras caracteristicas)</text>
  </threadedComment>
  <threadedComment ref="J1089" dT="2026-03-20T14:30:04.76" personId="{83CA515D-91B9-490F-8544-466576D31BC6}" id="{EB38E4F2-D860-4A5A-898E-3E48E247BBDB}">
    <text>Se toma valor mas elevado de otras hidrolavadoras (criterio conservador - la de 8000w no porque tiene otras caracteristicas)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6C5C-0678-4ED5-9268-AF15AFABD4DC}">
  <dimension ref="A1:M48"/>
  <sheetViews>
    <sheetView workbookViewId="0">
      <selection sqref="A1:XFD1048576"/>
    </sheetView>
  </sheetViews>
  <sheetFormatPr baseColWidth="10" defaultRowHeight="15" x14ac:dyDescent="0.25"/>
  <sheetData>
    <row r="1" spans="1:13" x14ac:dyDescent="0.25">
      <c r="A1" s="58">
        <v>7</v>
      </c>
      <c r="B1" s="43" t="s">
        <v>10</v>
      </c>
      <c r="C1" s="43" t="s">
        <v>7</v>
      </c>
      <c r="D1" s="43" t="s">
        <v>19</v>
      </c>
      <c r="E1" s="7"/>
      <c r="F1" s="44">
        <v>43001000</v>
      </c>
      <c r="G1" s="7" t="s">
        <v>173</v>
      </c>
      <c r="H1" s="7" t="s">
        <v>159</v>
      </c>
      <c r="I1" s="7" t="s">
        <v>640</v>
      </c>
    </row>
    <row r="2" spans="1:13" x14ac:dyDescent="0.25">
      <c r="A2" s="50">
        <v>96</v>
      </c>
      <c r="B2" s="18" t="s">
        <v>6</v>
      </c>
      <c r="C2" s="18" t="s">
        <v>7</v>
      </c>
      <c r="D2" s="18" t="s">
        <v>14</v>
      </c>
      <c r="E2" s="6" t="s">
        <v>9</v>
      </c>
      <c r="F2" s="15">
        <v>3234001000</v>
      </c>
      <c r="G2" s="15" t="s">
        <v>125</v>
      </c>
      <c r="H2" s="6" t="s">
        <v>124</v>
      </c>
      <c r="I2" s="5"/>
      <c r="J2" s="5" t="s">
        <v>162</v>
      </c>
      <c r="K2" s="6"/>
      <c r="L2" s="6"/>
      <c r="M2" s="14"/>
    </row>
    <row r="3" spans="1:13" x14ac:dyDescent="0.25">
      <c r="A3" s="51">
        <v>101</v>
      </c>
      <c r="B3" s="19" t="s">
        <v>83</v>
      </c>
      <c r="C3" s="19" t="s">
        <v>12</v>
      </c>
      <c r="D3" s="19" t="s">
        <v>130</v>
      </c>
      <c r="E3" s="7" t="s">
        <v>9</v>
      </c>
      <c r="F3" s="34">
        <v>3182003000</v>
      </c>
      <c r="G3" s="10" t="s">
        <v>131</v>
      </c>
      <c r="H3" s="7"/>
      <c r="I3" s="8"/>
      <c r="J3" s="8" t="s">
        <v>168</v>
      </c>
      <c r="K3" s="7"/>
      <c r="L3" s="7"/>
      <c r="M3" s="11"/>
    </row>
    <row r="4" spans="1:13" x14ac:dyDescent="0.25">
      <c r="A4" s="52">
        <v>176</v>
      </c>
      <c r="B4" s="23" t="s">
        <v>10</v>
      </c>
      <c r="C4" s="23" t="s">
        <v>12</v>
      </c>
      <c r="D4" s="23" t="s">
        <v>212</v>
      </c>
      <c r="E4" s="2" t="s">
        <v>9</v>
      </c>
      <c r="F4" s="23">
        <v>43001000</v>
      </c>
      <c r="G4" t="s">
        <v>173</v>
      </c>
      <c r="H4" s="22"/>
      <c r="I4" s="39"/>
      <c r="J4" s="2"/>
    </row>
    <row r="5" spans="1:13" x14ac:dyDescent="0.25">
      <c r="A5" s="51">
        <v>219</v>
      </c>
      <c r="B5" s="19" t="s">
        <v>6</v>
      </c>
      <c r="C5" s="19" t="s">
        <v>36</v>
      </c>
      <c r="D5" s="19" t="s">
        <v>43</v>
      </c>
      <c r="E5" s="7" t="s">
        <v>9</v>
      </c>
      <c r="F5" s="34">
        <v>165001000</v>
      </c>
      <c r="G5" s="10" t="s">
        <v>106</v>
      </c>
      <c r="H5" s="7" t="s">
        <v>115</v>
      </c>
      <c r="I5" s="8"/>
      <c r="J5" s="8" t="s">
        <v>108</v>
      </c>
      <c r="K5" s="7"/>
      <c r="L5" s="7"/>
      <c r="M5" s="11"/>
    </row>
    <row r="6" spans="1:13" x14ac:dyDescent="0.25">
      <c r="A6" s="50">
        <v>263</v>
      </c>
      <c r="B6" s="18" t="s">
        <v>80</v>
      </c>
      <c r="C6" s="18" t="s">
        <v>12</v>
      </c>
      <c r="D6" s="18" t="s">
        <v>81</v>
      </c>
      <c r="E6" t="s">
        <v>9</v>
      </c>
      <c r="F6" s="32">
        <v>1165000000</v>
      </c>
      <c r="G6" s="15" t="s">
        <v>79</v>
      </c>
      <c r="H6" s="6" t="s">
        <v>78</v>
      </c>
      <c r="I6" s="5"/>
      <c r="J6" s="5" t="s">
        <v>160</v>
      </c>
      <c r="K6" s="6"/>
      <c r="L6" s="6"/>
      <c r="M6" s="14"/>
    </row>
    <row r="7" spans="1:13" x14ac:dyDescent="0.25">
      <c r="A7" s="59">
        <v>328</v>
      </c>
      <c r="B7" s="23" t="s">
        <v>6</v>
      </c>
      <c r="C7" s="23" t="s">
        <v>12</v>
      </c>
      <c r="D7" s="23" t="s">
        <v>13</v>
      </c>
      <c r="E7" t="s">
        <v>9</v>
      </c>
      <c r="F7" s="16">
        <v>1165005000</v>
      </c>
      <c r="G7" t="s">
        <v>244</v>
      </c>
      <c r="H7" t="s">
        <v>636</v>
      </c>
    </row>
    <row r="8" spans="1:13" x14ac:dyDescent="0.25">
      <c r="A8" s="59">
        <v>372</v>
      </c>
      <c r="B8" s="23" t="s">
        <v>6</v>
      </c>
      <c r="C8" s="23" t="s">
        <v>7</v>
      </c>
      <c r="D8" s="23" t="s">
        <v>14</v>
      </c>
      <c r="E8" t="s">
        <v>9</v>
      </c>
      <c r="F8" s="16">
        <v>1165003000</v>
      </c>
      <c r="G8" t="s">
        <v>250</v>
      </c>
      <c r="H8" t="s">
        <v>636</v>
      </c>
    </row>
    <row r="9" spans="1:13" x14ac:dyDescent="0.25">
      <c r="A9" s="59">
        <v>388</v>
      </c>
      <c r="B9" s="23" t="s">
        <v>6</v>
      </c>
      <c r="C9" s="23" t="s">
        <v>12</v>
      </c>
      <c r="D9" s="23" t="s">
        <v>13</v>
      </c>
      <c r="E9" t="s">
        <v>9</v>
      </c>
      <c r="F9" s="16">
        <v>1165067000</v>
      </c>
      <c r="G9" t="s">
        <v>255</v>
      </c>
      <c r="H9" t="s">
        <v>636</v>
      </c>
    </row>
    <row r="10" spans="1:13" x14ac:dyDescent="0.25">
      <c r="A10" s="53">
        <v>539</v>
      </c>
      <c r="B10" s="1" t="s">
        <v>6</v>
      </c>
      <c r="C10" s="1" t="s">
        <v>7</v>
      </c>
      <c r="D10" s="1" t="s">
        <v>8</v>
      </c>
      <c r="E10" t="s">
        <v>9</v>
      </c>
      <c r="F10" s="1">
        <v>157004000</v>
      </c>
      <c r="G10" s="9" t="s">
        <v>631</v>
      </c>
      <c r="H10" t="s">
        <v>629</v>
      </c>
      <c r="I10" s="2"/>
      <c r="J10" s="2"/>
    </row>
    <row r="11" spans="1:13" x14ac:dyDescent="0.25">
      <c r="A11" s="60">
        <v>563</v>
      </c>
      <c r="B11" s="41" t="s">
        <v>10</v>
      </c>
      <c r="C11" s="41" t="s">
        <v>7</v>
      </c>
      <c r="D11" s="41" t="s">
        <v>20</v>
      </c>
      <c r="E11" t="s">
        <v>9</v>
      </c>
      <c r="F11" s="42">
        <v>3042074001</v>
      </c>
      <c r="G11" s="7" t="s">
        <v>295</v>
      </c>
      <c r="H11" s="7" t="s">
        <v>637</v>
      </c>
    </row>
    <row r="12" spans="1:13" x14ac:dyDescent="0.25">
      <c r="A12" s="50">
        <v>658</v>
      </c>
      <c r="B12" s="32" t="s">
        <v>10</v>
      </c>
      <c r="C12" s="32" t="s">
        <v>7</v>
      </c>
      <c r="D12" s="32" t="s">
        <v>11</v>
      </c>
      <c r="E12" t="s">
        <v>9</v>
      </c>
      <c r="F12" s="32">
        <v>1532001000</v>
      </c>
      <c r="G12" s="6" t="s">
        <v>635</v>
      </c>
      <c r="H12" s="6"/>
      <c r="I12" s="5"/>
      <c r="J12" s="5"/>
      <c r="K12" s="6"/>
      <c r="L12" s="6"/>
      <c r="M12" s="6"/>
    </row>
    <row r="13" spans="1:13" x14ac:dyDescent="0.25">
      <c r="A13" s="59">
        <v>752</v>
      </c>
      <c r="B13" s="23" t="s">
        <v>6</v>
      </c>
      <c r="C13" s="23" t="s">
        <v>7</v>
      </c>
      <c r="D13" s="23" t="s">
        <v>14</v>
      </c>
      <c r="E13" t="s">
        <v>9</v>
      </c>
      <c r="F13" s="16">
        <v>1165112000</v>
      </c>
      <c r="G13" t="s">
        <v>326</v>
      </c>
      <c r="H13" t="s">
        <v>636</v>
      </c>
    </row>
    <row r="14" spans="1:13" x14ac:dyDescent="0.25">
      <c r="A14" s="50">
        <v>757</v>
      </c>
      <c r="B14" s="18" t="s">
        <v>6</v>
      </c>
      <c r="C14" s="18" t="s">
        <v>7</v>
      </c>
      <c r="D14" s="18" t="s">
        <v>8</v>
      </c>
      <c r="E14" t="s">
        <v>9</v>
      </c>
      <c r="F14" s="31">
        <v>165001000</v>
      </c>
      <c r="G14" s="15" t="s">
        <v>106</v>
      </c>
      <c r="H14" s="6" t="s">
        <v>115</v>
      </c>
      <c r="I14" s="5"/>
      <c r="J14" s="5" t="s">
        <v>108</v>
      </c>
      <c r="K14" s="6"/>
      <c r="L14" s="6"/>
      <c r="M14" s="14"/>
    </row>
    <row r="15" spans="1:13" x14ac:dyDescent="0.25">
      <c r="A15" s="50">
        <v>930</v>
      </c>
      <c r="B15" s="32" t="s">
        <v>10</v>
      </c>
      <c r="C15" s="32" t="s">
        <v>7</v>
      </c>
      <c r="D15" s="32" t="s">
        <v>20</v>
      </c>
      <c r="E15" t="s">
        <v>9</v>
      </c>
      <c r="F15" s="37">
        <v>3178001000</v>
      </c>
      <c r="G15" s="6" t="s">
        <v>348</v>
      </c>
      <c r="H15" s="6"/>
      <c r="I15" s="5"/>
      <c r="J15" s="6"/>
      <c r="K15" s="6"/>
      <c r="L15" s="6"/>
      <c r="M15" s="6"/>
    </row>
    <row r="16" spans="1:13" x14ac:dyDescent="0.25">
      <c r="A16" s="53">
        <v>931</v>
      </c>
      <c r="B16" s="1" t="s">
        <v>10</v>
      </c>
      <c r="C16" s="1" t="s">
        <v>18</v>
      </c>
      <c r="D16" s="1">
        <v>1014</v>
      </c>
      <c r="E16" t="s">
        <v>9</v>
      </c>
      <c r="F16" s="1">
        <v>212005000</v>
      </c>
      <c r="G16" s="9" t="s">
        <v>630</v>
      </c>
      <c r="H16" t="s">
        <v>629</v>
      </c>
      <c r="I16" s="2"/>
      <c r="J16" s="2"/>
    </row>
    <row r="17" spans="1:13" x14ac:dyDescent="0.25">
      <c r="A17" s="59">
        <v>934</v>
      </c>
      <c r="B17" s="23" t="s">
        <v>6</v>
      </c>
      <c r="C17" s="23" t="s">
        <v>12</v>
      </c>
      <c r="D17" s="23" t="s">
        <v>13</v>
      </c>
      <c r="E17" t="s">
        <v>9</v>
      </c>
      <c r="F17" s="16">
        <v>1165001000</v>
      </c>
      <c r="G17" t="s">
        <v>350</v>
      </c>
      <c r="H17" t="s">
        <v>636</v>
      </c>
    </row>
    <row r="18" spans="1:13" x14ac:dyDescent="0.25">
      <c r="A18" s="54">
        <v>965</v>
      </c>
      <c r="B18" s="18" t="s">
        <v>10</v>
      </c>
      <c r="C18" s="18" t="s">
        <v>18</v>
      </c>
      <c r="D18" s="18" t="s">
        <v>19</v>
      </c>
      <c r="E18" t="s">
        <v>9</v>
      </c>
      <c r="F18" s="32">
        <v>1165000000</v>
      </c>
      <c r="G18" s="15" t="s">
        <v>79</v>
      </c>
      <c r="H18" s="6" t="s">
        <v>78</v>
      </c>
      <c r="I18" s="5"/>
      <c r="J18" s="5" t="s">
        <v>160</v>
      </c>
      <c r="K18" s="6"/>
      <c r="L18" s="6"/>
      <c r="M18" s="14"/>
    </row>
    <row r="19" spans="1:13" x14ac:dyDescent="0.25">
      <c r="A19" s="50">
        <v>1114</v>
      </c>
      <c r="B19" s="32" t="s">
        <v>10</v>
      </c>
      <c r="C19" s="32" t="s">
        <v>12</v>
      </c>
      <c r="D19" s="32" t="s">
        <v>85</v>
      </c>
      <c r="E19" t="s">
        <v>9</v>
      </c>
      <c r="F19" s="32">
        <v>3319002000</v>
      </c>
      <c r="G19" s="6" t="s">
        <v>633</v>
      </c>
      <c r="H19" s="6" t="s">
        <v>31</v>
      </c>
      <c r="I19" s="5"/>
      <c r="J19" s="6" t="s">
        <v>634</v>
      </c>
      <c r="K19" s="6"/>
      <c r="L19" s="6"/>
      <c r="M19" s="6"/>
    </row>
    <row r="20" spans="1:13" x14ac:dyDescent="0.25">
      <c r="A20" s="55">
        <v>1121</v>
      </c>
      <c r="B20" s="27" t="s">
        <v>10</v>
      </c>
      <c r="C20" s="27" t="s">
        <v>7</v>
      </c>
      <c r="D20" s="27" t="s">
        <v>11</v>
      </c>
      <c r="E20" t="s">
        <v>9</v>
      </c>
      <c r="F20" s="33">
        <v>3042116001</v>
      </c>
      <c r="G20" s="28" t="s">
        <v>165</v>
      </c>
      <c r="H20" s="49" t="s">
        <v>87</v>
      </c>
      <c r="I20" s="25"/>
      <c r="J20" s="29" t="s">
        <v>82</v>
      </c>
      <c r="K20" s="24"/>
      <c r="L20" s="24"/>
      <c r="M20" s="26"/>
    </row>
    <row r="21" spans="1:13" x14ac:dyDescent="0.25">
      <c r="A21" s="60">
        <v>1182</v>
      </c>
      <c r="B21" s="41" t="s">
        <v>34</v>
      </c>
      <c r="C21" s="41" t="s">
        <v>7</v>
      </c>
      <c r="D21" s="41" t="s">
        <v>11</v>
      </c>
      <c r="E21" t="s">
        <v>9</v>
      </c>
      <c r="F21" s="42">
        <v>3223006000</v>
      </c>
      <c r="G21" s="7" t="s">
        <v>361</v>
      </c>
      <c r="H21" s="7" t="s">
        <v>637</v>
      </c>
    </row>
    <row r="22" spans="1:13" x14ac:dyDescent="0.25">
      <c r="A22" s="50">
        <v>1349</v>
      </c>
      <c r="B22" s="18" t="s">
        <v>10</v>
      </c>
      <c r="C22" s="18" t="s">
        <v>7</v>
      </c>
      <c r="D22" s="18" t="s">
        <v>11</v>
      </c>
      <c r="E22" t="s">
        <v>9</v>
      </c>
      <c r="F22" s="32">
        <v>165001000</v>
      </c>
      <c r="G22" s="15" t="s">
        <v>106</v>
      </c>
      <c r="H22" s="6" t="s">
        <v>115</v>
      </c>
      <c r="I22" s="5"/>
      <c r="J22" s="5" t="s">
        <v>108</v>
      </c>
      <c r="K22" s="6"/>
      <c r="L22" s="6"/>
      <c r="M22" s="14"/>
    </row>
    <row r="23" spans="1:13" x14ac:dyDescent="0.25">
      <c r="A23" s="56">
        <v>1354</v>
      </c>
      <c r="B23" s="46" t="s">
        <v>10</v>
      </c>
      <c r="C23" s="21" t="s">
        <v>18</v>
      </c>
      <c r="D23" s="21" t="s">
        <v>19</v>
      </c>
      <c r="E23" t="s">
        <v>9</v>
      </c>
      <c r="F23" s="35">
        <v>1925001000</v>
      </c>
      <c r="G23" s="15" t="s">
        <v>157</v>
      </c>
      <c r="H23" s="6" t="s">
        <v>156</v>
      </c>
      <c r="I23" s="47"/>
      <c r="J23" s="48" t="s">
        <v>160</v>
      </c>
      <c r="K23" s="6"/>
      <c r="L23" s="6"/>
      <c r="M23" s="6"/>
    </row>
    <row r="24" spans="1:13" x14ac:dyDescent="0.25">
      <c r="A24" s="57">
        <v>1465</v>
      </c>
      <c r="B24" s="45" t="s">
        <v>6</v>
      </c>
      <c r="C24" s="20" t="s">
        <v>7</v>
      </c>
      <c r="D24" s="20" t="s">
        <v>14</v>
      </c>
      <c r="E24" t="s">
        <v>9</v>
      </c>
      <c r="F24" s="23">
        <v>1068021000</v>
      </c>
      <c r="G24" t="s">
        <v>627</v>
      </c>
      <c r="H24" s="12" t="s">
        <v>87</v>
      </c>
      <c r="I24" s="13"/>
      <c r="J24" s="13"/>
      <c r="L24" s="12"/>
      <c r="M24" s="3"/>
    </row>
    <row r="25" spans="1:13" x14ac:dyDescent="0.25">
      <c r="A25" s="53">
        <v>1633</v>
      </c>
      <c r="B25" s="1" t="s">
        <v>6</v>
      </c>
      <c r="C25" s="1" t="s">
        <v>7</v>
      </c>
      <c r="D25" s="1" t="s">
        <v>14</v>
      </c>
      <c r="E25" t="s">
        <v>9</v>
      </c>
      <c r="F25" s="1">
        <v>212005000</v>
      </c>
      <c r="G25" t="s">
        <v>630</v>
      </c>
      <c r="H25" t="s">
        <v>629</v>
      </c>
      <c r="I25" s="2"/>
      <c r="J25" s="2"/>
    </row>
    <row r="26" spans="1:13" x14ac:dyDescent="0.25">
      <c r="A26" s="50">
        <v>1715</v>
      </c>
      <c r="B26" s="32" t="s">
        <v>6</v>
      </c>
      <c r="C26" s="32" t="s">
        <v>7</v>
      </c>
      <c r="D26" s="32" t="s">
        <v>14</v>
      </c>
      <c r="E26" t="s">
        <v>9</v>
      </c>
      <c r="F26" s="32">
        <v>1532001000</v>
      </c>
      <c r="G26" s="6" t="s">
        <v>635</v>
      </c>
      <c r="H26" s="6"/>
      <c r="I26" s="5"/>
      <c r="J26" s="5"/>
      <c r="K26" s="6"/>
      <c r="L26" s="6"/>
      <c r="M26" s="6"/>
    </row>
    <row r="27" spans="1:13" x14ac:dyDescent="0.25">
      <c r="A27" s="50">
        <v>1955</v>
      </c>
      <c r="B27" s="18" t="s">
        <v>6</v>
      </c>
      <c r="C27" s="18" t="s">
        <v>7</v>
      </c>
      <c r="D27" s="18" t="s">
        <v>8</v>
      </c>
      <c r="E27" t="s">
        <v>9</v>
      </c>
      <c r="F27" s="32">
        <v>1967007000</v>
      </c>
      <c r="G27" s="15" t="s">
        <v>151</v>
      </c>
      <c r="H27" s="6" t="s">
        <v>152</v>
      </c>
      <c r="I27" s="5"/>
      <c r="J27" s="5" t="s">
        <v>160</v>
      </c>
      <c r="K27" s="6"/>
      <c r="L27" s="6"/>
      <c r="M27" s="14"/>
    </row>
    <row r="28" spans="1:13" x14ac:dyDescent="0.25">
      <c r="A28" s="50">
        <v>2009</v>
      </c>
      <c r="B28" s="18" t="s">
        <v>6</v>
      </c>
      <c r="C28" s="18" t="s">
        <v>32</v>
      </c>
      <c r="D28" s="18" t="s">
        <v>33</v>
      </c>
      <c r="E28" t="s">
        <v>9</v>
      </c>
      <c r="F28" s="32">
        <v>1014007</v>
      </c>
      <c r="G28" s="15" t="s">
        <v>102</v>
      </c>
      <c r="H28" s="6" t="s">
        <v>115</v>
      </c>
      <c r="I28" s="5"/>
      <c r="J28" s="5" t="s">
        <v>108</v>
      </c>
      <c r="K28" s="6"/>
      <c r="L28" s="6"/>
      <c r="M28" s="14"/>
    </row>
    <row r="29" spans="1:13" x14ac:dyDescent="0.25">
      <c r="A29" s="59">
        <v>2012</v>
      </c>
      <c r="B29" s="23" t="s">
        <v>6</v>
      </c>
      <c r="C29" s="23" t="s">
        <v>32</v>
      </c>
      <c r="D29" s="23" t="s">
        <v>33</v>
      </c>
      <c r="E29" t="s">
        <v>9</v>
      </c>
      <c r="F29" s="16">
        <v>3073001000</v>
      </c>
      <c r="G29" t="s">
        <v>420</v>
      </c>
      <c r="H29" t="s">
        <v>636</v>
      </c>
    </row>
    <row r="30" spans="1:13" x14ac:dyDescent="0.25">
      <c r="A30" s="54">
        <v>2028</v>
      </c>
      <c r="B30" s="18" t="s">
        <v>6</v>
      </c>
      <c r="C30" s="18" t="s">
        <v>32</v>
      </c>
      <c r="D30" s="18" t="s">
        <v>33</v>
      </c>
      <c r="E30" t="s">
        <v>9</v>
      </c>
      <c r="F30" s="32">
        <v>1165000000</v>
      </c>
      <c r="G30" s="15" t="s">
        <v>79</v>
      </c>
      <c r="H30" s="6" t="s">
        <v>78</v>
      </c>
      <c r="I30" s="5"/>
      <c r="J30" s="5" t="s">
        <v>160</v>
      </c>
      <c r="K30" s="6"/>
      <c r="L30" s="6"/>
      <c r="M30" s="14"/>
    </row>
    <row r="31" spans="1:13" x14ac:dyDescent="0.25">
      <c r="A31" s="54">
        <v>2053</v>
      </c>
      <c r="B31" s="18" t="s">
        <v>10</v>
      </c>
      <c r="C31" s="18" t="s">
        <v>7</v>
      </c>
      <c r="D31" s="18" t="s">
        <v>11</v>
      </c>
      <c r="E31" t="s">
        <v>9</v>
      </c>
      <c r="F31" s="32">
        <v>1165000000</v>
      </c>
      <c r="G31" s="15" t="s">
        <v>79</v>
      </c>
      <c r="H31" s="6" t="s">
        <v>78</v>
      </c>
      <c r="I31" s="5"/>
      <c r="J31" s="5" t="s">
        <v>160</v>
      </c>
      <c r="K31" s="6"/>
      <c r="L31" s="6"/>
      <c r="M31" s="14"/>
    </row>
    <row r="32" spans="1:13" ht="75" x14ac:dyDescent="0.25">
      <c r="A32" s="50">
        <v>2065</v>
      </c>
      <c r="B32" s="18" t="s">
        <v>10</v>
      </c>
      <c r="C32" s="18" t="s">
        <v>7</v>
      </c>
      <c r="D32" s="18" t="s">
        <v>20</v>
      </c>
      <c r="E32" t="s">
        <v>9</v>
      </c>
      <c r="F32" s="32">
        <v>1493003000</v>
      </c>
      <c r="G32" s="15" t="s">
        <v>105</v>
      </c>
      <c r="H32" s="6" t="s">
        <v>115</v>
      </c>
      <c r="I32" s="5"/>
      <c r="J32" s="17" t="s">
        <v>161</v>
      </c>
      <c r="K32" s="6"/>
      <c r="L32" s="6"/>
      <c r="M32" s="14"/>
    </row>
    <row r="33" spans="1:13" x14ac:dyDescent="0.25">
      <c r="A33" s="59">
        <v>2113</v>
      </c>
      <c r="B33" s="23" t="s">
        <v>6</v>
      </c>
      <c r="C33" s="23" t="s">
        <v>32</v>
      </c>
      <c r="D33" s="23" t="s">
        <v>33</v>
      </c>
      <c r="E33" t="s">
        <v>9</v>
      </c>
      <c r="F33" s="16">
        <v>1165116000</v>
      </c>
      <c r="G33" t="s">
        <v>432</v>
      </c>
      <c r="H33" t="s">
        <v>636</v>
      </c>
    </row>
    <row r="34" spans="1:13" x14ac:dyDescent="0.25">
      <c r="A34" s="60">
        <v>2146</v>
      </c>
      <c r="B34" s="41" t="s">
        <v>10</v>
      </c>
      <c r="C34" s="41" t="s">
        <v>18</v>
      </c>
      <c r="D34" s="41" t="s">
        <v>19</v>
      </c>
      <c r="E34" t="s">
        <v>9</v>
      </c>
      <c r="F34" s="42">
        <v>2081002000</v>
      </c>
      <c r="G34" s="7" t="s">
        <v>434</v>
      </c>
      <c r="H34" s="7" t="s">
        <v>638</v>
      </c>
    </row>
    <row r="35" spans="1:13" x14ac:dyDescent="0.25">
      <c r="A35" s="58">
        <v>2146</v>
      </c>
      <c r="B35" s="43" t="s">
        <v>10</v>
      </c>
      <c r="C35" s="43" t="s">
        <v>18</v>
      </c>
      <c r="D35" s="43" t="s">
        <v>19</v>
      </c>
      <c r="E35" t="s">
        <v>9</v>
      </c>
      <c r="F35" s="44">
        <v>2081002000</v>
      </c>
      <c r="G35" s="7" t="s">
        <v>434</v>
      </c>
      <c r="H35" s="7" t="s">
        <v>638</v>
      </c>
    </row>
    <row r="36" spans="1:13" x14ac:dyDescent="0.25">
      <c r="A36" s="50">
        <v>2267</v>
      </c>
      <c r="B36" s="18" t="s">
        <v>6</v>
      </c>
      <c r="C36" s="18" t="s">
        <v>32</v>
      </c>
      <c r="D36" s="18" t="s">
        <v>103</v>
      </c>
      <c r="E36" t="s">
        <v>9</v>
      </c>
      <c r="F36" s="32">
        <v>1014007</v>
      </c>
      <c r="G36" s="15" t="s">
        <v>102</v>
      </c>
      <c r="H36" s="6" t="s">
        <v>115</v>
      </c>
      <c r="I36" s="5"/>
      <c r="J36" s="5" t="s">
        <v>108</v>
      </c>
      <c r="K36" s="6"/>
      <c r="L36" s="6"/>
      <c r="M36" s="14"/>
    </row>
    <row r="37" spans="1:13" x14ac:dyDescent="0.25">
      <c r="A37" s="50">
        <v>2274</v>
      </c>
      <c r="B37" s="18" t="s">
        <v>34</v>
      </c>
      <c r="C37" s="18" t="s">
        <v>18</v>
      </c>
      <c r="D37" s="18" t="s">
        <v>26</v>
      </c>
      <c r="E37" t="s">
        <v>9</v>
      </c>
      <c r="F37" s="32">
        <v>2548017000</v>
      </c>
      <c r="G37" s="15" t="s">
        <v>30</v>
      </c>
      <c r="H37" s="6" t="s">
        <v>116</v>
      </c>
      <c r="I37" s="5"/>
      <c r="J37" s="5" t="s">
        <v>160</v>
      </c>
      <c r="K37" s="6"/>
      <c r="L37" s="6"/>
      <c r="M37" s="14"/>
    </row>
    <row r="38" spans="1:13" x14ac:dyDescent="0.25">
      <c r="A38" s="60">
        <v>2314</v>
      </c>
      <c r="B38" s="41" t="s">
        <v>100</v>
      </c>
      <c r="C38" s="41" t="s">
        <v>126</v>
      </c>
      <c r="D38" s="41" t="s">
        <v>446</v>
      </c>
      <c r="E38" t="s">
        <v>9</v>
      </c>
      <c r="F38" s="42">
        <v>3316001000</v>
      </c>
      <c r="G38" s="7" t="s">
        <v>447</v>
      </c>
      <c r="H38" s="7" t="s">
        <v>638</v>
      </c>
    </row>
    <row r="39" spans="1:13" x14ac:dyDescent="0.25">
      <c r="A39" s="54">
        <v>2329</v>
      </c>
      <c r="B39" s="18" t="s">
        <v>6</v>
      </c>
      <c r="C39" s="18" t="s">
        <v>7</v>
      </c>
      <c r="D39" s="18" t="s">
        <v>14</v>
      </c>
      <c r="E39" t="s">
        <v>9</v>
      </c>
      <c r="F39" s="32">
        <v>1165000000</v>
      </c>
      <c r="G39" s="15" t="s">
        <v>79</v>
      </c>
      <c r="H39" s="6" t="s">
        <v>78</v>
      </c>
      <c r="I39" s="5"/>
      <c r="J39" s="5" t="s">
        <v>160</v>
      </c>
      <c r="K39" s="6"/>
      <c r="L39" s="6"/>
      <c r="M39" s="14"/>
    </row>
    <row r="40" spans="1:13" x14ac:dyDescent="0.25">
      <c r="A40" s="53">
        <v>2540</v>
      </c>
      <c r="B40" s="4" t="s">
        <v>15</v>
      </c>
      <c r="C40" s="4" t="s">
        <v>57</v>
      </c>
      <c r="D40" s="4" t="s">
        <v>86</v>
      </c>
      <c r="E40" t="s">
        <v>9</v>
      </c>
      <c r="F40" s="1">
        <v>1165000000</v>
      </c>
      <c r="G40" s="9" t="s">
        <v>79</v>
      </c>
      <c r="I40" s="2"/>
      <c r="J40" s="2"/>
      <c r="M40" s="3"/>
    </row>
    <row r="41" spans="1:13" x14ac:dyDescent="0.25">
      <c r="A41" s="50">
        <v>2593</v>
      </c>
      <c r="B41" s="18" t="s">
        <v>10</v>
      </c>
      <c r="C41" s="18" t="s">
        <v>7</v>
      </c>
      <c r="D41" s="18" t="s">
        <v>11</v>
      </c>
      <c r="E41" t="s">
        <v>9</v>
      </c>
      <c r="F41" s="32">
        <v>165001000</v>
      </c>
      <c r="G41" s="15" t="s">
        <v>106</v>
      </c>
      <c r="H41" s="6" t="s">
        <v>115</v>
      </c>
      <c r="I41" s="5"/>
      <c r="J41" s="5" t="s">
        <v>108</v>
      </c>
      <c r="K41" s="6"/>
      <c r="L41" s="6"/>
      <c r="M41" s="14"/>
    </row>
    <row r="42" spans="1:13" x14ac:dyDescent="0.25">
      <c r="A42" s="50">
        <v>2613</v>
      </c>
      <c r="B42" s="32" t="s">
        <v>50</v>
      </c>
      <c r="C42" s="32" t="s">
        <v>458</v>
      </c>
      <c r="D42" s="32" t="s">
        <v>459</v>
      </c>
      <c r="E42" t="s">
        <v>9</v>
      </c>
      <c r="F42" s="31">
        <v>3265001000</v>
      </c>
      <c r="G42" s="6" t="s">
        <v>245</v>
      </c>
      <c r="H42" s="6" t="s">
        <v>632</v>
      </c>
      <c r="I42" s="5"/>
      <c r="J42" s="5"/>
      <c r="K42" s="6"/>
      <c r="L42" s="6"/>
      <c r="M42" s="6"/>
    </row>
    <row r="43" spans="1:13" x14ac:dyDescent="0.25">
      <c r="A43" s="50">
        <v>2624</v>
      </c>
      <c r="B43" s="18" t="s">
        <v>6</v>
      </c>
      <c r="C43" s="18" t="s">
        <v>28</v>
      </c>
      <c r="D43" s="18" t="s">
        <v>29</v>
      </c>
      <c r="E43" t="s">
        <v>9</v>
      </c>
      <c r="F43" s="15">
        <v>2044029000</v>
      </c>
      <c r="G43" s="15" t="s">
        <v>125</v>
      </c>
      <c r="H43" s="6" t="s">
        <v>124</v>
      </c>
      <c r="I43" s="5"/>
      <c r="J43" s="5" t="s">
        <v>162</v>
      </c>
      <c r="K43" s="6"/>
      <c r="L43" s="6"/>
      <c r="M43" s="14"/>
    </row>
    <row r="44" spans="1:13" x14ac:dyDescent="0.25">
      <c r="A44" s="51">
        <v>2680</v>
      </c>
      <c r="B44" s="19" t="s">
        <v>68</v>
      </c>
      <c r="C44" s="19" t="s">
        <v>126</v>
      </c>
      <c r="D44" s="19" t="s">
        <v>139</v>
      </c>
      <c r="E44" t="s">
        <v>9</v>
      </c>
      <c r="F44" s="34"/>
      <c r="G44" s="38"/>
      <c r="H44" s="7"/>
      <c r="I44" s="8"/>
      <c r="J44" s="8" t="s">
        <v>628</v>
      </c>
      <c r="K44" s="7"/>
      <c r="L44" s="7"/>
      <c r="M44" s="11"/>
    </row>
    <row r="45" spans="1:13" x14ac:dyDescent="0.25">
      <c r="A45" s="51">
        <v>2815</v>
      </c>
      <c r="B45" s="19" t="s">
        <v>134</v>
      </c>
      <c r="C45" s="19" t="s">
        <v>16</v>
      </c>
      <c r="D45" s="19" t="s">
        <v>135</v>
      </c>
      <c r="E45" t="s">
        <v>9</v>
      </c>
      <c r="F45" s="34">
        <v>2905001000</v>
      </c>
      <c r="G45" s="10"/>
      <c r="H45" s="7"/>
      <c r="I45" s="8"/>
      <c r="J45" s="8" t="s">
        <v>164</v>
      </c>
      <c r="K45" s="7"/>
      <c r="L45" s="7"/>
      <c r="M45" s="11"/>
    </row>
    <row r="46" spans="1:13" x14ac:dyDescent="0.25">
      <c r="A46" s="53">
        <v>3275</v>
      </c>
      <c r="B46" s="23" t="s">
        <v>6</v>
      </c>
      <c r="C46" s="23" t="s">
        <v>25</v>
      </c>
      <c r="D46" s="23" t="s">
        <v>42</v>
      </c>
      <c r="E46" t="s">
        <v>9</v>
      </c>
      <c r="F46" s="16">
        <v>3260001000</v>
      </c>
      <c r="G46" t="s">
        <v>465</v>
      </c>
      <c r="H46" t="s">
        <v>167</v>
      </c>
      <c r="I46" s="2"/>
      <c r="J46" s="2" t="s">
        <v>639</v>
      </c>
    </row>
    <row r="47" spans="1:13" x14ac:dyDescent="0.25">
      <c r="A47" s="53">
        <v>3321</v>
      </c>
      <c r="B47" s="1" t="s">
        <v>56</v>
      </c>
      <c r="C47" s="1" t="s">
        <v>44</v>
      </c>
      <c r="D47" s="1" t="s">
        <v>577</v>
      </c>
      <c r="E47" t="s">
        <v>9</v>
      </c>
      <c r="F47" s="1">
        <v>157004000</v>
      </c>
      <c r="G47" t="s">
        <v>292</v>
      </c>
      <c r="H47" t="s">
        <v>629</v>
      </c>
      <c r="I47" s="2"/>
      <c r="J47" s="2"/>
    </row>
    <row r="48" spans="1:13" x14ac:dyDescent="0.25">
      <c r="A48" s="55">
        <v>3396</v>
      </c>
      <c r="B48" s="27" t="s">
        <v>6</v>
      </c>
      <c r="C48" s="27" t="s">
        <v>28</v>
      </c>
      <c r="D48" s="27" t="s">
        <v>29</v>
      </c>
      <c r="E48" t="s">
        <v>9</v>
      </c>
      <c r="F48" s="33">
        <v>2962003000</v>
      </c>
      <c r="G48" s="28" t="s">
        <v>89</v>
      </c>
      <c r="H48" s="49"/>
      <c r="I48" s="25"/>
      <c r="J48" s="30"/>
      <c r="K48" s="24"/>
      <c r="L48" s="24"/>
      <c r="M48" s="2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C0B5-8EE7-4510-98F8-AFA3DF1508E5}">
  <dimension ref="A1:J1103"/>
  <sheetViews>
    <sheetView zoomScaleNormal="100" workbookViewId="0">
      <selection activeCell="C8" sqref="C8"/>
    </sheetView>
  </sheetViews>
  <sheetFormatPr baseColWidth="10" defaultRowHeight="15" x14ac:dyDescent="0.25"/>
  <cols>
    <col min="1" max="1" width="16.140625" bestFit="1" customWidth="1"/>
    <col min="2" max="2" width="25.85546875" customWidth="1"/>
    <col min="3" max="3" width="22.42578125" customWidth="1"/>
    <col min="4" max="6" width="11.42578125" customWidth="1"/>
    <col min="7" max="7" width="12" customWidth="1"/>
    <col min="8" max="8" width="37.42578125" customWidth="1"/>
    <col min="9" max="9" width="22.7109375" bestFit="1" customWidth="1"/>
    <col min="10" max="10" width="15.5703125" style="40" customWidth="1"/>
  </cols>
  <sheetData>
    <row r="1" spans="1:1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169</v>
      </c>
      <c r="F1" s="9" t="s">
        <v>170</v>
      </c>
      <c r="G1" s="9" t="s">
        <v>4</v>
      </c>
      <c r="H1" s="9" t="s">
        <v>5</v>
      </c>
      <c r="I1" s="63" t="s">
        <v>642</v>
      </c>
      <c r="J1" s="63" t="s">
        <v>641</v>
      </c>
    </row>
    <row r="2" spans="1:10" x14ac:dyDescent="0.25">
      <c r="A2" s="68">
        <v>5</v>
      </c>
      <c r="B2" s="23" t="s">
        <v>10</v>
      </c>
      <c r="C2" s="23" t="s">
        <v>7</v>
      </c>
      <c r="D2" s="23" t="s">
        <v>11</v>
      </c>
      <c r="F2" s="36">
        <v>25688</v>
      </c>
      <c r="G2" s="16">
        <v>3135001000</v>
      </c>
      <c r="H2" t="s">
        <v>171</v>
      </c>
      <c r="I2" t="s">
        <v>644</v>
      </c>
      <c r="J2" s="64">
        <v>309.5</v>
      </c>
    </row>
    <row r="3" spans="1:10" x14ac:dyDescent="0.25">
      <c r="A3" s="68">
        <v>6</v>
      </c>
      <c r="B3" s="23" t="s">
        <v>10</v>
      </c>
      <c r="C3" s="23" t="s">
        <v>7</v>
      </c>
      <c r="D3" s="23" t="s">
        <v>11</v>
      </c>
      <c r="F3" s="36">
        <v>36773</v>
      </c>
      <c r="G3" s="16">
        <v>3370003000</v>
      </c>
      <c r="H3" t="s">
        <v>172</v>
      </c>
      <c r="I3" t="s">
        <v>644</v>
      </c>
      <c r="J3" s="64">
        <v>309.5</v>
      </c>
    </row>
    <row r="4" spans="1:10" x14ac:dyDescent="0.25">
      <c r="A4" s="68">
        <v>7</v>
      </c>
      <c r="B4" s="23" t="s">
        <v>10</v>
      </c>
      <c r="C4" s="23" t="s">
        <v>7</v>
      </c>
      <c r="D4" s="23" t="s">
        <v>19</v>
      </c>
      <c r="F4" s="36">
        <v>25688</v>
      </c>
      <c r="G4" s="16">
        <v>43001000</v>
      </c>
      <c r="H4" t="s">
        <v>173</v>
      </c>
      <c r="I4" t="s">
        <v>644</v>
      </c>
      <c r="J4" s="64">
        <v>1212</v>
      </c>
    </row>
    <row r="5" spans="1:10" x14ac:dyDescent="0.25">
      <c r="A5" s="68">
        <v>8</v>
      </c>
      <c r="B5" s="23" t="s">
        <v>10</v>
      </c>
      <c r="C5" s="23" t="s">
        <v>7</v>
      </c>
      <c r="D5" s="23" t="s">
        <v>19</v>
      </c>
      <c r="F5" s="36">
        <v>27760</v>
      </c>
      <c r="G5" s="16">
        <v>165005000</v>
      </c>
      <c r="H5" t="s">
        <v>174</v>
      </c>
      <c r="I5" t="s">
        <v>644</v>
      </c>
      <c r="J5" s="64">
        <v>1212</v>
      </c>
    </row>
    <row r="6" spans="1:10" x14ac:dyDescent="0.25">
      <c r="A6" s="68">
        <v>11</v>
      </c>
      <c r="B6" s="23" t="s">
        <v>34</v>
      </c>
      <c r="C6" s="23" t="s">
        <v>18</v>
      </c>
      <c r="D6" s="23" t="s">
        <v>11</v>
      </c>
      <c r="E6" s="23">
        <v>42617</v>
      </c>
      <c r="F6" s="36">
        <v>25688</v>
      </c>
      <c r="G6" s="16">
        <v>66011000</v>
      </c>
      <c r="H6" t="s">
        <v>166</v>
      </c>
      <c r="I6" t="s">
        <v>644</v>
      </c>
      <c r="J6" s="64">
        <v>318.5</v>
      </c>
    </row>
    <row r="7" spans="1:10" x14ac:dyDescent="0.25">
      <c r="A7" s="68">
        <v>18</v>
      </c>
      <c r="B7" s="23" t="s">
        <v>6</v>
      </c>
      <c r="C7" s="23" t="s">
        <v>12</v>
      </c>
      <c r="D7" s="23" t="s">
        <v>13</v>
      </c>
      <c r="E7" s="23">
        <v>117405</v>
      </c>
      <c r="F7" s="36">
        <v>25688</v>
      </c>
      <c r="G7" s="16">
        <v>212007000</v>
      </c>
      <c r="H7" t="s">
        <v>175</v>
      </c>
      <c r="I7" t="s">
        <v>644</v>
      </c>
      <c r="J7" s="64">
        <v>1091</v>
      </c>
    </row>
    <row r="8" spans="1:10" x14ac:dyDescent="0.25">
      <c r="A8" s="68">
        <v>23</v>
      </c>
      <c r="B8" s="23" t="s">
        <v>10</v>
      </c>
      <c r="C8" s="23" t="s">
        <v>18</v>
      </c>
      <c r="D8" s="23" t="s">
        <v>19</v>
      </c>
      <c r="F8" s="36">
        <v>25688</v>
      </c>
      <c r="G8" s="16">
        <v>3207001000</v>
      </c>
      <c r="H8" t="s">
        <v>176</v>
      </c>
      <c r="I8" t="s">
        <v>644</v>
      </c>
      <c r="J8" s="64">
        <v>1154</v>
      </c>
    </row>
    <row r="9" spans="1:10" x14ac:dyDescent="0.25">
      <c r="A9" s="68">
        <v>26</v>
      </c>
      <c r="B9" s="23" t="s">
        <v>10</v>
      </c>
      <c r="C9" s="23" t="s">
        <v>7</v>
      </c>
      <c r="D9" s="23" t="s">
        <v>11</v>
      </c>
      <c r="E9" s="23">
        <v>9814</v>
      </c>
      <c r="F9" s="36">
        <v>25688</v>
      </c>
      <c r="G9" s="16">
        <v>43006000</v>
      </c>
      <c r="H9" t="s">
        <v>177</v>
      </c>
      <c r="I9" t="s">
        <v>644</v>
      </c>
      <c r="J9" s="64">
        <v>309.5</v>
      </c>
    </row>
    <row r="10" spans="1:10" x14ac:dyDescent="0.25">
      <c r="A10" s="68">
        <v>30</v>
      </c>
      <c r="B10" s="23" t="s">
        <v>6</v>
      </c>
      <c r="C10" s="23" t="s">
        <v>18</v>
      </c>
      <c r="D10" s="23" t="s">
        <v>27</v>
      </c>
      <c r="F10" s="36">
        <v>25688</v>
      </c>
      <c r="G10" s="16">
        <v>1068020000</v>
      </c>
      <c r="H10" t="s">
        <v>178</v>
      </c>
      <c r="I10" t="s">
        <v>644</v>
      </c>
      <c r="J10" s="61"/>
    </row>
    <row r="11" spans="1:10" x14ac:dyDescent="0.25">
      <c r="A11" s="68">
        <v>31</v>
      </c>
      <c r="B11" s="23" t="s">
        <v>6</v>
      </c>
      <c r="C11" s="23" t="s">
        <v>12</v>
      </c>
      <c r="D11" s="23" t="s">
        <v>13</v>
      </c>
      <c r="F11" s="36">
        <v>25688</v>
      </c>
      <c r="G11" s="16">
        <v>43006000</v>
      </c>
      <c r="H11" t="s">
        <v>177</v>
      </c>
      <c r="I11" t="s">
        <v>644</v>
      </c>
      <c r="J11" s="64">
        <v>1091</v>
      </c>
    </row>
    <row r="12" spans="1:10" x14ac:dyDescent="0.25">
      <c r="A12" s="68">
        <v>35</v>
      </c>
      <c r="B12" s="23" t="s">
        <v>6</v>
      </c>
      <c r="C12" s="23" t="s">
        <v>12</v>
      </c>
      <c r="D12" s="23" t="s">
        <v>13</v>
      </c>
      <c r="E12" s="23">
        <v>115350</v>
      </c>
      <c r="F12" s="36">
        <v>25688</v>
      </c>
      <c r="G12" s="16">
        <v>2886003000</v>
      </c>
      <c r="H12" t="s">
        <v>179</v>
      </c>
      <c r="I12" t="s">
        <v>644</v>
      </c>
      <c r="J12" s="64">
        <v>1091</v>
      </c>
    </row>
    <row r="13" spans="1:10" x14ac:dyDescent="0.25">
      <c r="A13" s="68">
        <v>40</v>
      </c>
      <c r="B13" s="23" t="s">
        <v>10</v>
      </c>
      <c r="C13" s="23" t="s">
        <v>7</v>
      </c>
      <c r="D13" s="23" t="s">
        <v>11</v>
      </c>
      <c r="E13" s="23">
        <v>722</v>
      </c>
      <c r="F13" s="36">
        <v>25688</v>
      </c>
      <c r="G13" s="16">
        <v>2126001000</v>
      </c>
      <c r="H13" t="s">
        <v>180</v>
      </c>
      <c r="I13" t="s">
        <v>644</v>
      </c>
      <c r="J13" s="64">
        <v>309.5</v>
      </c>
    </row>
    <row r="14" spans="1:10" x14ac:dyDescent="0.25">
      <c r="A14" s="68">
        <v>41</v>
      </c>
      <c r="B14" s="23" t="s">
        <v>10</v>
      </c>
      <c r="C14" s="23" t="s">
        <v>7</v>
      </c>
      <c r="D14" s="23" t="s">
        <v>11</v>
      </c>
      <c r="E14" s="23">
        <v>1223</v>
      </c>
      <c r="F14" s="36">
        <v>25688</v>
      </c>
      <c r="G14" s="16">
        <v>66011000</v>
      </c>
      <c r="H14" t="s">
        <v>166</v>
      </c>
      <c r="I14" t="s">
        <v>644</v>
      </c>
      <c r="J14" s="64">
        <v>309.5</v>
      </c>
    </row>
    <row r="15" spans="1:10" x14ac:dyDescent="0.25">
      <c r="A15" s="68">
        <v>46</v>
      </c>
      <c r="B15" s="23" t="s">
        <v>10</v>
      </c>
      <c r="C15" s="23" t="s">
        <v>7</v>
      </c>
      <c r="D15" s="23" t="s">
        <v>11</v>
      </c>
      <c r="E15" s="23">
        <v>1489</v>
      </c>
      <c r="F15" s="36">
        <v>25688</v>
      </c>
      <c r="G15" s="16">
        <v>2798001000</v>
      </c>
      <c r="H15" t="s">
        <v>181</v>
      </c>
      <c r="I15" t="s">
        <v>644</v>
      </c>
      <c r="J15" s="64">
        <v>309.5</v>
      </c>
    </row>
    <row r="16" spans="1:10" ht="15.75" x14ac:dyDescent="0.25">
      <c r="A16" s="68">
        <v>49</v>
      </c>
      <c r="B16" s="23" t="s">
        <v>10</v>
      </c>
      <c r="C16" s="23" t="s">
        <v>7</v>
      </c>
      <c r="D16" s="23" t="s">
        <v>20</v>
      </c>
      <c r="E16" s="23">
        <v>15620</v>
      </c>
      <c r="F16" s="36">
        <v>25688</v>
      </c>
      <c r="G16" s="16">
        <v>2548095000</v>
      </c>
      <c r="H16" t="s">
        <v>182</v>
      </c>
      <c r="I16" t="s">
        <v>644</v>
      </c>
      <c r="J16" s="65">
        <v>461</v>
      </c>
    </row>
    <row r="17" spans="1:10" x14ac:dyDescent="0.25">
      <c r="A17" s="68">
        <v>56</v>
      </c>
      <c r="B17" s="23" t="s">
        <v>6</v>
      </c>
      <c r="C17" s="23" t="s">
        <v>7</v>
      </c>
      <c r="D17" s="23" t="s">
        <v>8</v>
      </c>
      <c r="E17" s="23">
        <v>13787</v>
      </c>
      <c r="F17" s="36">
        <v>25688</v>
      </c>
      <c r="G17" s="16">
        <v>3288001000</v>
      </c>
      <c r="H17" t="s">
        <v>183</v>
      </c>
      <c r="I17" t="s">
        <v>644</v>
      </c>
      <c r="J17" s="64">
        <v>1212</v>
      </c>
    </row>
    <row r="18" spans="1:10" x14ac:dyDescent="0.25">
      <c r="A18" s="68">
        <v>62</v>
      </c>
      <c r="B18" s="23" t="s">
        <v>34</v>
      </c>
      <c r="C18" s="23" t="s">
        <v>7</v>
      </c>
      <c r="D18" s="23" t="s">
        <v>11</v>
      </c>
      <c r="E18" s="23">
        <v>2</v>
      </c>
      <c r="F18" s="36">
        <v>25688</v>
      </c>
      <c r="G18" s="16">
        <v>1165000000</v>
      </c>
      <c r="H18" t="s">
        <v>184</v>
      </c>
      <c r="I18" t="s">
        <v>644</v>
      </c>
      <c r="J18" s="64">
        <v>309.5</v>
      </c>
    </row>
    <row r="19" spans="1:10" x14ac:dyDescent="0.25">
      <c r="A19" s="68">
        <v>65</v>
      </c>
      <c r="B19" s="23" t="s">
        <v>10</v>
      </c>
      <c r="C19" s="23" t="s">
        <v>7</v>
      </c>
      <c r="D19" s="23" t="s">
        <v>11</v>
      </c>
      <c r="E19" s="23">
        <v>5</v>
      </c>
      <c r="F19" s="36">
        <v>25688</v>
      </c>
      <c r="G19" s="16">
        <v>66031000</v>
      </c>
      <c r="H19" t="s">
        <v>185</v>
      </c>
      <c r="I19" t="s">
        <v>644</v>
      </c>
      <c r="J19" s="64">
        <v>309.5</v>
      </c>
    </row>
    <row r="20" spans="1:10" x14ac:dyDescent="0.25">
      <c r="A20" s="68">
        <v>66</v>
      </c>
      <c r="B20" s="23" t="s">
        <v>34</v>
      </c>
      <c r="C20" s="23" t="s">
        <v>7</v>
      </c>
      <c r="D20" s="23" t="s">
        <v>11</v>
      </c>
      <c r="E20" s="23">
        <v>4062</v>
      </c>
      <c r="F20" s="36">
        <v>25688</v>
      </c>
      <c r="G20" s="16">
        <v>3042104001</v>
      </c>
      <c r="H20" t="s">
        <v>186</v>
      </c>
      <c r="I20" t="s">
        <v>643</v>
      </c>
      <c r="J20" s="64">
        <v>309.5</v>
      </c>
    </row>
    <row r="21" spans="1:10" x14ac:dyDescent="0.25">
      <c r="A21" s="68">
        <v>68</v>
      </c>
      <c r="B21" s="23" t="s">
        <v>10</v>
      </c>
      <c r="C21" s="23" t="s">
        <v>18</v>
      </c>
      <c r="D21" s="23" t="s">
        <v>19</v>
      </c>
      <c r="E21" s="23">
        <v>1047258</v>
      </c>
      <c r="F21" s="36">
        <v>25688</v>
      </c>
      <c r="G21" s="16">
        <v>3328001000</v>
      </c>
      <c r="H21" t="s">
        <v>187</v>
      </c>
      <c r="I21" t="s">
        <v>643</v>
      </c>
      <c r="J21" s="64">
        <v>1154</v>
      </c>
    </row>
    <row r="22" spans="1:10" x14ac:dyDescent="0.25">
      <c r="A22" s="68">
        <v>85</v>
      </c>
      <c r="B22" s="23" t="s">
        <v>34</v>
      </c>
      <c r="C22" s="23" t="s">
        <v>7</v>
      </c>
      <c r="D22" s="23" t="s">
        <v>11</v>
      </c>
      <c r="E22" s="23">
        <v>6966</v>
      </c>
      <c r="F22" s="36">
        <v>25688</v>
      </c>
      <c r="G22" s="16">
        <v>3116001000</v>
      </c>
      <c r="H22" t="s">
        <v>188</v>
      </c>
      <c r="I22" t="s">
        <v>644</v>
      </c>
      <c r="J22" s="64">
        <v>309.5</v>
      </c>
    </row>
    <row r="23" spans="1:10" x14ac:dyDescent="0.25">
      <c r="A23" s="68">
        <v>87</v>
      </c>
      <c r="B23" s="23" t="s">
        <v>34</v>
      </c>
      <c r="C23" s="23" t="s">
        <v>7</v>
      </c>
      <c r="D23" s="23" t="s">
        <v>11</v>
      </c>
      <c r="E23" s="23">
        <v>6786</v>
      </c>
      <c r="F23" s="36">
        <v>25688</v>
      </c>
      <c r="G23" s="16">
        <v>1165000000</v>
      </c>
      <c r="H23" t="s">
        <v>184</v>
      </c>
      <c r="I23" t="s">
        <v>644</v>
      </c>
      <c r="J23" s="64">
        <v>309.5</v>
      </c>
    </row>
    <row r="24" spans="1:10" x14ac:dyDescent="0.25">
      <c r="A24" s="68">
        <v>90</v>
      </c>
      <c r="B24" s="23" t="s">
        <v>34</v>
      </c>
      <c r="C24" s="23" t="s">
        <v>18</v>
      </c>
      <c r="D24" s="23" t="s">
        <v>19</v>
      </c>
      <c r="F24" s="36">
        <v>25688</v>
      </c>
      <c r="G24" s="16">
        <v>153002000</v>
      </c>
      <c r="H24" t="s">
        <v>189</v>
      </c>
      <c r="I24" t="s">
        <v>644</v>
      </c>
      <c r="J24" s="64">
        <v>1154</v>
      </c>
    </row>
    <row r="25" spans="1:10" x14ac:dyDescent="0.25">
      <c r="A25" s="68">
        <v>91</v>
      </c>
      <c r="B25" s="23" t="s">
        <v>10</v>
      </c>
      <c r="C25" s="23" t="s">
        <v>18</v>
      </c>
      <c r="D25" s="23" t="s">
        <v>26</v>
      </c>
      <c r="F25" s="36">
        <v>25688</v>
      </c>
      <c r="G25" s="16">
        <v>66032000</v>
      </c>
      <c r="H25" t="s">
        <v>190</v>
      </c>
      <c r="I25" t="s">
        <v>644</v>
      </c>
      <c r="J25" s="64">
        <v>532</v>
      </c>
    </row>
    <row r="26" spans="1:10" x14ac:dyDescent="0.25">
      <c r="A26" s="68">
        <v>92</v>
      </c>
      <c r="B26" s="23" t="s">
        <v>10</v>
      </c>
      <c r="C26" s="23" t="s">
        <v>18</v>
      </c>
      <c r="D26" s="23" t="s">
        <v>19</v>
      </c>
      <c r="E26" s="23">
        <v>3852</v>
      </c>
      <c r="F26" s="36">
        <v>25688</v>
      </c>
      <c r="G26" s="16">
        <v>1014002</v>
      </c>
      <c r="H26" t="s">
        <v>191</v>
      </c>
      <c r="J26" s="64">
        <v>1154</v>
      </c>
    </row>
    <row r="27" spans="1:10" x14ac:dyDescent="0.25">
      <c r="A27" s="68">
        <v>94</v>
      </c>
      <c r="B27" s="23" t="s">
        <v>10</v>
      </c>
      <c r="C27" s="23" t="s">
        <v>7</v>
      </c>
      <c r="D27" s="23" t="s">
        <v>93</v>
      </c>
      <c r="F27" s="36">
        <v>25688</v>
      </c>
      <c r="G27" s="16">
        <v>2126001000</v>
      </c>
      <c r="H27" t="s">
        <v>180</v>
      </c>
      <c r="I27" t="s">
        <v>644</v>
      </c>
      <c r="J27" s="64">
        <v>309.5</v>
      </c>
    </row>
    <row r="28" spans="1:10" x14ac:dyDescent="0.25">
      <c r="A28" s="68">
        <v>96</v>
      </c>
      <c r="B28" s="23" t="s">
        <v>6</v>
      </c>
      <c r="C28" s="23" t="s">
        <v>7</v>
      </c>
      <c r="D28" s="23" t="s">
        <v>14</v>
      </c>
      <c r="E28" s="23">
        <v>13761</v>
      </c>
      <c r="F28" s="36">
        <v>25688</v>
      </c>
      <c r="G28" s="16">
        <v>3234001000</v>
      </c>
      <c r="H28" t="s">
        <v>192</v>
      </c>
      <c r="I28" t="s">
        <v>644</v>
      </c>
      <c r="J28" s="64">
        <v>1212</v>
      </c>
    </row>
    <row r="29" spans="1:10" x14ac:dyDescent="0.25">
      <c r="A29" s="68">
        <v>97</v>
      </c>
      <c r="B29" s="23" t="s">
        <v>6</v>
      </c>
      <c r="C29" s="23" t="s">
        <v>36</v>
      </c>
      <c r="D29" s="23" t="s">
        <v>37</v>
      </c>
      <c r="F29" s="36">
        <v>25688</v>
      </c>
      <c r="G29" s="16">
        <v>18001000</v>
      </c>
      <c r="H29" t="s">
        <v>193</v>
      </c>
      <c r="I29" t="s">
        <v>644</v>
      </c>
      <c r="J29" s="40">
        <v>1202.5</v>
      </c>
    </row>
    <row r="30" spans="1:10" x14ac:dyDescent="0.25">
      <c r="A30" s="68">
        <v>102</v>
      </c>
      <c r="B30" s="23" t="s">
        <v>6</v>
      </c>
      <c r="C30" s="23" t="s">
        <v>12</v>
      </c>
      <c r="D30" s="23" t="s">
        <v>13</v>
      </c>
      <c r="E30" s="23">
        <v>117012</v>
      </c>
      <c r="F30" s="36">
        <v>25688</v>
      </c>
      <c r="G30" s="16">
        <v>1014001</v>
      </c>
      <c r="H30" t="s">
        <v>163</v>
      </c>
      <c r="J30" s="64">
        <v>1091</v>
      </c>
    </row>
    <row r="31" spans="1:10" x14ac:dyDescent="0.25">
      <c r="A31" s="68">
        <v>103</v>
      </c>
      <c r="B31" s="23" t="s">
        <v>6</v>
      </c>
      <c r="C31" s="23" t="s">
        <v>7</v>
      </c>
      <c r="D31" s="23" t="s">
        <v>14</v>
      </c>
      <c r="E31" s="23">
        <v>8197</v>
      </c>
      <c r="F31" s="36">
        <v>25688</v>
      </c>
      <c r="G31" s="16">
        <v>1014001</v>
      </c>
      <c r="H31" t="s">
        <v>163</v>
      </c>
      <c r="J31" s="64">
        <v>1212</v>
      </c>
    </row>
    <row r="32" spans="1:10" x14ac:dyDescent="0.25">
      <c r="A32" s="68">
        <v>104</v>
      </c>
      <c r="B32" s="23" t="s">
        <v>6</v>
      </c>
      <c r="C32" s="23" t="s">
        <v>7</v>
      </c>
      <c r="D32" s="23" t="s">
        <v>14</v>
      </c>
      <c r="E32" s="23">
        <v>13742</v>
      </c>
      <c r="F32" s="36">
        <v>25688</v>
      </c>
      <c r="G32" s="16">
        <v>2958001000</v>
      </c>
      <c r="H32" t="s">
        <v>194</v>
      </c>
      <c r="I32" t="s">
        <v>644</v>
      </c>
      <c r="J32" s="64">
        <v>1212</v>
      </c>
    </row>
    <row r="33" spans="1:10" x14ac:dyDescent="0.25">
      <c r="A33" s="68">
        <v>106</v>
      </c>
      <c r="B33" s="23" t="s">
        <v>10</v>
      </c>
      <c r="C33" s="23" t="s">
        <v>7</v>
      </c>
      <c r="D33" s="23" t="s">
        <v>11</v>
      </c>
      <c r="E33" s="23">
        <v>7403</v>
      </c>
      <c r="F33" s="36">
        <v>25688</v>
      </c>
      <c r="G33" s="16">
        <v>1014001</v>
      </c>
      <c r="H33" t="s">
        <v>163</v>
      </c>
      <c r="J33" s="64">
        <v>309.5</v>
      </c>
    </row>
    <row r="34" spans="1:10" x14ac:dyDescent="0.25">
      <c r="A34" s="68">
        <v>109</v>
      </c>
      <c r="B34" s="23" t="s">
        <v>34</v>
      </c>
      <c r="C34" s="23" t="s">
        <v>7</v>
      </c>
      <c r="D34" s="23" t="s">
        <v>11</v>
      </c>
      <c r="E34" s="23">
        <v>628</v>
      </c>
      <c r="F34" s="36">
        <v>25688</v>
      </c>
      <c r="G34" s="16">
        <v>1014001</v>
      </c>
      <c r="H34" t="s">
        <v>163</v>
      </c>
      <c r="J34" s="64">
        <v>309.5</v>
      </c>
    </row>
    <row r="35" spans="1:10" x14ac:dyDescent="0.25">
      <c r="A35" s="68">
        <v>112</v>
      </c>
      <c r="B35" s="23" t="s">
        <v>10</v>
      </c>
      <c r="C35" s="23" t="s">
        <v>18</v>
      </c>
      <c r="D35" s="23" t="s">
        <v>26</v>
      </c>
      <c r="F35" s="36">
        <v>25688</v>
      </c>
      <c r="G35" s="16">
        <v>2558002000</v>
      </c>
      <c r="H35" t="s">
        <v>195</v>
      </c>
      <c r="I35" t="s">
        <v>644</v>
      </c>
      <c r="J35" s="64">
        <v>532</v>
      </c>
    </row>
    <row r="36" spans="1:10" x14ac:dyDescent="0.25">
      <c r="A36" s="68">
        <v>113</v>
      </c>
      <c r="B36" s="23" t="s">
        <v>6</v>
      </c>
      <c r="C36" s="23" t="s">
        <v>18</v>
      </c>
      <c r="D36" s="23">
        <v>2815</v>
      </c>
      <c r="F36" s="36">
        <v>25688</v>
      </c>
      <c r="G36" s="16">
        <v>66031000</v>
      </c>
      <c r="H36" t="s">
        <v>185</v>
      </c>
      <c r="I36" t="s">
        <v>644</v>
      </c>
      <c r="J36" s="64">
        <v>1154</v>
      </c>
    </row>
    <row r="37" spans="1:10" x14ac:dyDescent="0.25">
      <c r="A37" s="68">
        <v>119</v>
      </c>
      <c r="B37" s="23" t="s">
        <v>6</v>
      </c>
      <c r="C37" s="23" t="s">
        <v>12</v>
      </c>
      <c r="D37" s="23" t="s">
        <v>13</v>
      </c>
      <c r="F37" s="36">
        <v>25688</v>
      </c>
      <c r="G37" s="16">
        <v>1165004000</v>
      </c>
      <c r="H37" t="s">
        <v>196</v>
      </c>
      <c r="I37" t="s">
        <v>644</v>
      </c>
      <c r="J37" s="64">
        <v>1091</v>
      </c>
    </row>
    <row r="38" spans="1:10" x14ac:dyDescent="0.25">
      <c r="A38" s="68">
        <v>120</v>
      </c>
      <c r="B38" s="23" t="s">
        <v>6</v>
      </c>
      <c r="C38" s="23" t="s">
        <v>7</v>
      </c>
      <c r="D38" s="23" t="s">
        <v>14</v>
      </c>
      <c r="E38" s="23">
        <v>4097</v>
      </c>
      <c r="F38" s="36">
        <v>25688</v>
      </c>
      <c r="G38" s="16">
        <v>1507003000</v>
      </c>
      <c r="H38" t="s">
        <v>197</v>
      </c>
      <c r="I38" t="s">
        <v>644</v>
      </c>
      <c r="J38" s="64">
        <v>1212</v>
      </c>
    </row>
    <row r="39" spans="1:10" x14ac:dyDescent="0.25">
      <c r="A39" s="68">
        <v>123</v>
      </c>
      <c r="B39" s="23" t="s">
        <v>34</v>
      </c>
      <c r="C39" s="23" t="s">
        <v>18</v>
      </c>
      <c r="D39" s="23" t="s">
        <v>19</v>
      </c>
      <c r="F39" s="36">
        <v>25688</v>
      </c>
      <c r="G39" s="16">
        <v>165001000</v>
      </c>
      <c r="H39" t="s">
        <v>198</v>
      </c>
      <c r="I39" t="s">
        <v>644</v>
      </c>
      <c r="J39" s="64">
        <v>1154</v>
      </c>
    </row>
    <row r="40" spans="1:10" x14ac:dyDescent="0.25">
      <c r="A40" s="68">
        <v>124</v>
      </c>
      <c r="B40" s="23" t="s">
        <v>10</v>
      </c>
      <c r="C40" s="23" t="s">
        <v>12</v>
      </c>
      <c r="D40" s="23" t="s">
        <v>90</v>
      </c>
      <c r="F40" s="36">
        <v>25688</v>
      </c>
      <c r="G40" s="16">
        <v>1000012</v>
      </c>
      <c r="H40" t="s">
        <v>199</v>
      </c>
      <c r="J40" s="64">
        <v>629</v>
      </c>
    </row>
    <row r="41" spans="1:10" x14ac:dyDescent="0.25">
      <c r="A41" s="68">
        <v>125</v>
      </c>
      <c r="B41" s="23" t="s">
        <v>10</v>
      </c>
      <c r="C41" s="23" t="s">
        <v>7</v>
      </c>
      <c r="D41" s="23" t="s">
        <v>11</v>
      </c>
      <c r="E41" s="23">
        <v>6757</v>
      </c>
      <c r="F41" s="36">
        <v>25688</v>
      </c>
      <c r="G41" s="16">
        <v>193012000</v>
      </c>
      <c r="H41" t="s">
        <v>200</v>
      </c>
      <c r="I41" t="s">
        <v>644</v>
      </c>
      <c r="J41" s="64">
        <v>309.5</v>
      </c>
    </row>
    <row r="42" spans="1:10" ht="15.75" x14ac:dyDescent="0.25">
      <c r="A42" s="68">
        <v>129</v>
      </c>
      <c r="B42" s="23" t="s">
        <v>10</v>
      </c>
      <c r="C42" s="23" t="s">
        <v>7</v>
      </c>
      <c r="D42" s="23" t="s">
        <v>20</v>
      </c>
      <c r="E42" s="23">
        <v>13618</v>
      </c>
      <c r="F42" s="36">
        <v>25688</v>
      </c>
      <c r="G42" s="16">
        <v>157002000</v>
      </c>
      <c r="H42" t="s">
        <v>201</v>
      </c>
      <c r="I42" t="s">
        <v>644</v>
      </c>
      <c r="J42" s="65">
        <v>461</v>
      </c>
    </row>
    <row r="43" spans="1:10" x14ac:dyDescent="0.25">
      <c r="A43" s="68">
        <v>135</v>
      </c>
      <c r="B43" s="23" t="s">
        <v>10</v>
      </c>
      <c r="C43" s="23" t="s">
        <v>18</v>
      </c>
      <c r="D43" s="23" t="s">
        <v>26</v>
      </c>
      <c r="F43" s="36">
        <v>25688</v>
      </c>
      <c r="G43" s="16">
        <v>1068001000</v>
      </c>
      <c r="H43" t="s">
        <v>202</v>
      </c>
      <c r="I43" t="s">
        <v>644</v>
      </c>
      <c r="J43" s="64">
        <v>532</v>
      </c>
    </row>
    <row r="44" spans="1:10" ht="15.75" x14ac:dyDescent="0.25">
      <c r="A44" s="68">
        <v>138</v>
      </c>
      <c r="B44" s="23" t="s">
        <v>10</v>
      </c>
      <c r="C44" s="23" t="s">
        <v>7</v>
      </c>
      <c r="D44" s="23" t="s">
        <v>20</v>
      </c>
      <c r="E44" s="23">
        <v>11048</v>
      </c>
      <c r="F44" s="36">
        <v>25688</v>
      </c>
      <c r="G44" s="16">
        <v>165008000</v>
      </c>
      <c r="H44" t="s">
        <v>203</v>
      </c>
      <c r="I44" t="s">
        <v>644</v>
      </c>
      <c r="J44" s="65">
        <v>461</v>
      </c>
    </row>
    <row r="45" spans="1:10" x14ac:dyDescent="0.25">
      <c r="A45" s="68">
        <v>139</v>
      </c>
      <c r="B45" s="23" t="s">
        <v>6</v>
      </c>
      <c r="C45" s="23" t="s">
        <v>12</v>
      </c>
      <c r="D45" s="23" t="s">
        <v>13</v>
      </c>
      <c r="F45" s="36">
        <v>25688</v>
      </c>
      <c r="G45" s="16">
        <v>1165000000</v>
      </c>
      <c r="H45" t="s">
        <v>184</v>
      </c>
      <c r="I45" t="s">
        <v>644</v>
      </c>
      <c r="J45" s="64">
        <v>1091</v>
      </c>
    </row>
    <row r="46" spans="1:10" x14ac:dyDescent="0.25">
      <c r="A46" s="68">
        <v>147</v>
      </c>
      <c r="B46" s="23" t="s">
        <v>22</v>
      </c>
      <c r="C46" s="23" t="s">
        <v>129</v>
      </c>
      <c r="D46" s="23" t="s">
        <v>204</v>
      </c>
      <c r="F46" s="36">
        <v>25688</v>
      </c>
      <c r="G46" s="16">
        <v>43006000</v>
      </c>
      <c r="H46" t="s">
        <v>177</v>
      </c>
      <c r="I46" t="s">
        <v>644</v>
      </c>
      <c r="J46" s="61"/>
    </row>
    <row r="47" spans="1:10" x14ac:dyDescent="0.25">
      <c r="A47" s="68">
        <v>150</v>
      </c>
      <c r="B47" s="23" t="s">
        <v>6</v>
      </c>
      <c r="C47" s="23" t="s">
        <v>12</v>
      </c>
      <c r="D47" s="23" t="s">
        <v>13</v>
      </c>
      <c r="E47" s="23">
        <v>117460</v>
      </c>
      <c r="F47" s="36">
        <v>25688</v>
      </c>
      <c r="G47" s="16">
        <v>18001000</v>
      </c>
      <c r="H47" t="s">
        <v>193</v>
      </c>
      <c r="I47" t="s">
        <v>644</v>
      </c>
      <c r="J47" s="64">
        <v>1091</v>
      </c>
    </row>
    <row r="48" spans="1:10" x14ac:dyDescent="0.25">
      <c r="A48" s="68">
        <v>152</v>
      </c>
      <c r="B48" s="23" t="s">
        <v>6</v>
      </c>
      <c r="C48" s="23" t="s">
        <v>12</v>
      </c>
      <c r="D48" s="23" t="s">
        <v>13</v>
      </c>
      <c r="F48" s="36">
        <v>25688</v>
      </c>
      <c r="G48" s="16">
        <v>1000002</v>
      </c>
      <c r="H48" t="s">
        <v>205</v>
      </c>
      <c r="J48" s="64">
        <v>1091</v>
      </c>
    </row>
    <row r="49" spans="1:10" x14ac:dyDescent="0.25">
      <c r="A49" s="68">
        <v>155</v>
      </c>
      <c r="B49" s="23" t="s">
        <v>6</v>
      </c>
      <c r="C49" s="23" t="s">
        <v>36</v>
      </c>
      <c r="D49" s="23" t="s">
        <v>43</v>
      </c>
      <c r="F49" s="36">
        <v>25688</v>
      </c>
      <c r="G49" s="16">
        <v>2499009000</v>
      </c>
      <c r="H49" t="s">
        <v>206</v>
      </c>
      <c r="I49" t="s">
        <v>644</v>
      </c>
      <c r="J49" s="40">
        <v>1202.5</v>
      </c>
    </row>
    <row r="50" spans="1:10" x14ac:dyDescent="0.25">
      <c r="A50" s="68">
        <v>156</v>
      </c>
      <c r="B50" s="23" t="s">
        <v>6</v>
      </c>
      <c r="C50" s="23" t="s">
        <v>12</v>
      </c>
      <c r="D50" s="23" t="s">
        <v>13</v>
      </c>
      <c r="E50" s="23">
        <v>1111111111</v>
      </c>
      <c r="F50" s="36">
        <v>25688</v>
      </c>
      <c r="G50" s="16">
        <v>3042049000</v>
      </c>
      <c r="H50" t="s">
        <v>207</v>
      </c>
      <c r="I50" t="s">
        <v>643</v>
      </c>
      <c r="J50" s="64">
        <v>1091</v>
      </c>
    </row>
    <row r="51" spans="1:10" x14ac:dyDescent="0.25">
      <c r="A51" s="68">
        <v>161</v>
      </c>
      <c r="B51" s="23" t="s">
        <v>10</v>
      </c>
      <c r="C51" s="23" t="s">
        <v>18</v>
      </c>
      <c r="D51" s="23" t="s">
        <v>19</v>
      </c>
      <c r="E51" s="23">
        <v>3378</v>
      </c>
      <c r="F51" s="36">
        <v>25688</v>
      </c>
      <c r="G51" s="16">
        <v>153002000</v>
      </c>
      <c r="H51" t="s">
        <v>189</v>
      </c>
      <c r="I51" t="s">
        <v>644</v>
      </c>
      <c r="J51" s="64">
        <v>1154</v>
      </c>
    </row>
    <row r="52" spans="1:10" x14ac:dyDescent="0.25">
      <c r="A52" s="68">
        <v>165</v>
      </c>
      <c r="B52" s="23" t="s">
        <v>6</v>
      </c>
      <c r="C52" s="23" t="s">
        <v>7</v>
      </c>
      <c r="D52" s="23" t="s">
        <v>14</v>
      </c>
      <c r="E52" s="23">
        <v>12189</v>
      </c>
      <c r="F52" s="36">
        <v>25688</v>
      </c>
      <c r="G52" s="16">
        <v>2840001000</v>
      </c>
      <c r="H52" t="s">
        <v>208</v>
      </c>
      <c r="I52" t="s">
        <v>644</v>
      </c>
      <c r="J52" s="64">
        <v>1212</v>
      </c>
    </row>
    <row r="53" spans="1:10" x14ac:dyDescent="0.25">
      <c r="A53" s="68">
        <v>166</v>
      </c>
      <c r="B53" s="23" t="s">
        <v>34</v>
      </c>
      <c r="C53" s="23" t="s">
        <v>12</v>
      </c>
      <c r="D53" s="23" t="s">
        <v>38</v>
      </c>
      <c r="E53" s="23" t="s">
        <v>209</v>
      </c>
      <c r="F53" s="36">
        <v>25688</v>
      </c>
      <c r="G53" s="16">
        <v>18001000</v>
      </c>
      <c r="H53" t="s">
        <v>193</v>
      </c>
      <c r="I53" t="s">
        <v>644</v>
      </c>
      <c r="J53" s="61"/>
    </row>
    <row r="54" spans="1:10" x14ac:dyDescent="0.25">
      <c r="A54" s="68">
        <v>167</v>
      </c>
      <c r="B54" s="23" t="s">
        <v>6</v>
      </c>
      <c r="C54" s="23" t="s">
        <v>7</v>
      </c>
      <c r="D54" s="23" t="s">
        <v>14</v>
      </c>
      <c r="E54" s="23">
        <v>13709</v>
      </c>
      <c r="F54" s="36">
        <v>25688</v>
      </c>
      <c r="G54" s="16">
        <v>2548094000</v>
      </c>
      <c r="H54" t="s">
        <v>210</v>
      </c>
      <c r="I54" t="s">
        <v>644</v>
      </c>
      <c r="J54" s="64">
        <v>1212</v>
      </c>
    </row>
    <row r="55" spans="1:10" x14ac:dyDescent="0.25">
      <c r="A55" s="68">
        <v>170</v>
      </c>
      <c r="B55" s="23" t="s">
        <v>6</v>
      </c>
      <c r="C55" s="23" t="s">
        <v>7</v>
      </c>
      <c r="E55" s="23">
        <v>12119</v>
      </c>
      <c r="F55" s="36">
        <v>25688</v>
      </c>
      <c r="G55" s="16">
        <v>1848001000</v>
      </c>
      <c r="H55" t="s">
        <v>211</v>
      </c>
      <c r="I55" t="s">
        <v>644</v>
      </c>
      <c r="J55" s="64">
        <v>1212</v>
      </c>
    </row>
    <row r="56" spans="1:10" x14ac:dyDescent="0.25">
      <c r="A56" s="68">
        <v>175</v>
      </c>
      <c r="B56" s="23" t="s">
        <v>34</v>
      </c>
      <c r="C56" s="23" t="s">
        <v>7</v>
      </c>
      <c r="D56" s="23" t="s">
        <v>11</v>
      </c>
      <c r="E56" s="23">
        <v>25362</v>
      </c>
      <c r="F56" s="36">
        <v>25688</v>
      </c>
      <c r="G56" s="16">
        <v>1014001</v>
      </c>
      <c r="H56" t="s">
        <v>163</v>
      </c>
      <c r="J56" s="64">
        <v>309.5</v>
      </c>
    </row>
    <row r="57" spans="1:10" x14ac:dyDescent="0.25">
      <c r="A57" s="68">
        <v>176</v>
      </c>
      <c r="B57" s="23" t="s">
        <v>10</v>
      </c>
      <c r="C57" s="23" t="s">
        <v>12</v>
      </c>
      <c r="D57" s="23" t="s">
        <v>212</v>
      </c>
      <c r="F57" s="36">
        <v>25688</v>
      </c>
      <c r="G57" s="16">
        <v>43001000</v>
      </c>
      <c r="H57" t="s">
        <v>173</v>
      </c>
      <c r="I57" t="s">
        <v>644</v>
      </c>
      <c r="J57" s="64">
        <v>503</v>
      </c>
    </row>
    <row r="58" spans="1:10" x14ac:dyDescent="0.25">
      <c r="A58" s="68">
        <v>178</v>
      </c>
      <c r="B58" s="23" t="s">
        <v>10</v>
      </c>
      <c r="C58" s="23" t="s">
        <v>18</v>
      </c>
      <c r="D58" s="23" t="s">
        <v>26</v>
      </c>
      <c r="F58" s="36">
        <v>25688</v>
      </c>
      <c r="G58" s="16">
        <v>3292001000</v>
      </c>
      <c r="H58" t="s">
        <v>213</v>
      </c>
      <c r="I58" t="s">
        <v>644</v>
      </c>
      <c r="J58" s="64">
        <v>532</v>
      </c>
    </row>
    <row r="59" spans="1:10" x14ac:dyDescent="0.25">
      <c r="A59" s="68">
        <v>180</v>
      </c>
      <c r="B59" s="23" t="s">
        <v>10</v>
      </c>
      <c r="C59" s="23" t="s">
        <v>18</v>
      </c>
      <c r="D59" s="23" t="s">
        <v>19</v>
      </c>
      <c r="E59" s="23">
        <v>1234556</v>
      </c>
      <c r="F59" s="36">
        <v>25688</v>
      </c>
      <c r="G59" s="16">
        <v>1014002</v>
      </c>
      <c r="H59" t="s">
        <v>191</v>
      </c>
      <c r="J59" s="64">
        <v>1154</v>
      </c>
    </row>
    <row r="60" spans="1:10" x14ac:dyDescent="0.25">
      <c r="A60" s="68">
        <v>185</v>
      </c>
      <c r="B60" s="23" t="s">
        <v>10</v>
      </c>
      <c r="C60" s="23" t="s">
        <v>18</v>
      </c>
      <c r="D60" s="23" t="s">
        <v>19</v>
      </c>
      <c r="E60" s="23">
        <v>205</v>
      </c>
      <c r="F60" s="36">
        <v>25688</v>
      </c>
      <c r="G60" s="16">
        <v>1014002</v>
      </c>
      <c r="H60" t="s">
        <v>191</v>
      </c>
      <c r="J60" s="64">
        <v>1154</v>
      </c>
    </row>
    <row r="61" spans="1:10" x14ac:dyDescent="0.25">
      <c r="A61" s="68">
        <v>186</v>
      </c>
      <c r="B61" s="23" t="s">
        <v>10</v>
      </c>
      <c r="C61" s="23" t="s">
        <v>18</v>
      </c>
      <c r="D61" s="23" t="s">
        <v>26</v>
      </c>
      <c r="F61" s="36">
        <v>25688</v>
      </c>
      <c r="G61" s="16">
        <v>2679001000</v>
      </c>
      <c r="H61" t="s">
        <v>214</v>
      </c>
      <c r="I61" t="s">
        <v>644</v>
      </c>
      <c r="J61" s="64">
        <v>532</v>
      </c>
    </row>
    <row r="62" spans="1:10" x14ac:dyDescent="0.25">
      <c r="A62" s="68">
        <v>189</v>
      </c>
      <c r="B62" s="23" t="s">
        <v>6</v>
      </c>
      <c r="C62" s="23" t="s">
        <v>7</v>
      </c>
      <c r="D62" s="23" t="s">
        <v>14</v>
      </c>
      <c r="E62" s="23">
        <v>13755</v>
      </c>
      <c r="F62" s="36">
        <v>25688</v>
      </c>
      <c r="G62" s="16">
        <v>2126001000</v>
      </c>
      <c r="H62" t="s">
        <v>180</v>
      </c>
      <c r="I62" t="s">
        <v>644</v>
      </c>
      <c r="J62" s="64">
        <v>1212</v>
      </c>
    </row>
    <row r="63" spans="1:10" x14ac:dyDescent="0.25">
      <c r="A63" s="68">
        <v>190</v>
      </c>
      <c r="B63" s="23" t="s">
        <v>6</v>
      </c>
      <c r="C63" s="23" t="s">
        <v>36</v>
      </c>
      <c r="D63" s="23" t="s">
        <v>43</v>
      </c>
      <c r="F63" s="36">
        <v>35459</v>
      </c>
      <c r="G63" s="16">
        <v>66011000</v>
      </c>
      <c r="H63" t="s">
        <v>166</v>
      </c>
      <c r="I63" t="s">
        <v>644</v>
      </c>
      <c r="J63" s="40">
        <v>1202.5</v>
      </c>
    </row>
    <row r="64" spans="1:10" x14ac:dyDescent="0.25">
      <c r="A64" s="68">
        <v>198</v>
      </c>
      <c r="B64" s="23" t="s">
        <v>10</v>
      </c>
      <c r="C64" s="23" t="s">
        <v>18</v>
      </c>
      <c r="D64" s="23" t="s">
        <v>26</v>
      </c>
      <c r="F64" s="36">
        <v>25688</v>
      </c>
      <c r="G64" s="16">
        <v>1165000000</v>
      </c>
      <c r="H64" t="s">
        <v>184</v>
      </c>
      <c r="I64" t="s">
        <v>644</v>
      </c>
      <c r="J64" s="64">
        <v>532</v>
      </c>
    </row>
    <row r="65" spans="1:10" x14ac:dyDescent="0.25">
      <c r="A65" s="68">
        <v>199</v>
      </c>
      <c r="B65" s="23" t="s">
        <v>10</v>
      </c>
      <c r="C65" s="23" t="s">
        <v>18</v>
      </c>
      <c r="D65" s="23" t="s">
        <v>128</v>
      </c>
      <c r="F65" s="36">
        <v>25688</v>
      </c>
      <c r="G65" s="16">
        <v>1406001000</v>
      </c>
      <c r="H65" t="s">
        <v>215</v>
      </c>
      <c r="I65" t="s">
        <v>644</v>
      </c>
      <c r="J65" s="64">
        <v>292</v>
      </c>
    </row>
    <row r="66" spans="1:10" x14ac:dyDescent="0.25">
      <c r="A66" s="68">
        <v>200</v>
      </c>
      <c r="B66" s="23" t="s">
        <v>10</v>
      </c>
      <c r="C66" s="23" t="s">
        <v>18</v>
      </c>
      <c r="D66" s="23" t="s">
        <v>19</v>
      </c>
      <c r="E66" s="23">
        <v>242526</v>
      </c>
      <c r="F66" s="36">
        <v>25688</v>
      </c>
      <c r="G66" s="16">
        <v>3343001000</v>
      </c>
      <c r="H66" t="s">
        <v>216</v>
      </c>
      <c r="I66" t="s">
        <v>644</v>
      </c>
      <c r="J66" s="64">
        <v>1154</v>
      </c>
    </row>
    <row r="67" spans="1:10" ht="15.75" x14ac:dyDescent="0.25">
      <c r="A67" s="68">
        <v>203</v>
      </c>
      <c r="B67" s="23" t="s">
        <v>10</v>
      </c>
      <c r="C67" s="23" t="s">
        <v>7</v>
      </c>
      <c r="D67" s="23" t="s">
        <v>20</v>
      </c>
      <c r="E67" s="23">
        <v>13619</v>
      </c>
      <c r="F67" s="36">
        <v>25688</v>
      </c>
      <c r="G67" s="16">
        <v>43006000</v>
      </c>
      <c r="H67" t="s">
        <v>177</v>
      </c>
      <c r="I67" t="s">
        <v>644</v>
      </c>
      <c r="J67" s="65">
        <v>461</v>
      </c>
    </row>
    <row r="68" spans="1:10" x14ac:dyDescent="0.25">
      <c r="A68" s="68">
        <v>211</v>
      </c>
      <c r="B68" s="23" t="s">
        <v>6</v>
      </c>
      <c r="C68" s="23" t="s">
        <v>12</v>
      </c>
      <c r="D68" s="23" t="s">
        <v>13</v>
      </c>
      <c r="E68" s="23">
        <v>117416</v>
      </c>
      <c r="F68" s="36">
        <v>25688</v>
      </c>
      <c r="G68" s="16">
        <v>2514002000</v>
      </c>
      <c r="H68" t="s">
        <v>217</v>
      </c>
      <c r="I68" t="s">
        <v>644</v>
      </c>
      <c r="J68" s="64">
        <v>1091</v>
      </c>
    </row>
    <row r="69" spans="1:10" x14ac:dyDescent="0.25">
      <c r="A69" s="68">
        <v>212</v>
      </c>
      <c r="B69" s="23" t="s">
        <v>6</v>
      </c>
      <c r="C69" s="23" t="s">
        <v>7</v>
      </c>
      <c r="F69" s="36">
        <v>25688</v>
      </c>
      <c r="G69" s="16">
        <v>127001000</v>
      </c>
      <c r="H69" t="s">
        <v>218</v>
      </c>
      <c r="I69" t="s">
        <v>644</v>
      </c>
      <c r="J69" s="64">
        <v>1212</v>
      </c>
    </row>
    <row r="70" spans="1:10" x14ac:dyDescent="0.25">
      <c r="A70" s="68">
        <v>213</v>
      </c>
      <c r="B70" s="23" t="s">
        <v>6</v>
      </c>
      <c r="C70" s="23" t="s">
        <v>36</v>
      </c>
      <c r="D70" s="23" t="s">
        <v>43</v>
      </c>
      <c r="F70" s="36">
        <v>34849</v>
      </c>
      <c r="G70" s="16">
        <v>1165000000</v>
      </c>
      <c r="H70" t="s">
        <v>184</v>
      </c>
      <c r="I70" t="s">
        <v>644</v>
      </c>
      <c r="J70" s="40">
        <v>1202.5</v>
      </c>
    </row>
    <row r="71" spans="1:10" x14ac:dyDescent="0.25">
      <c r="A71" s="68">
        <v>224</v>
      </c>
      <c r="B71" s="23" t="s">
        <v>6</v>
      </c>
      <c r="C71" s="23" t="s">
        <v>12</v>
      </c>
      <c r="D71" s="23" t="s">
        <v>13</v>
      </c>
      <c r="E71" s="23">
        <v>117489</v>
      </c>
      <c r="F71" s="36">
        <v>25688</v>
      </c>
      <c r="G71" s="16">
        <v>153001000</v>
      </c>
      <c r="H71" t="s">
        <v>219</v>
      </c>
      <c r="I71" t="s">
        <v>644</v>
      </c>
      <c r="J71" s="64">
        <v>1091</v>
      </c>
    </row>
    <row r="72" spans="1:10" x14ac:dyDescent="0.25">
      <c r="A72" s="68">
        <v>227</v>
      </c>
      <c r="B72" s="23" t="s">
        <v>10</v>
      </c>
      <c r="C72" s="23" t="s">
        <v>7</v>
      </c>
      <c r="D72" s="23" t="s">
        <v>11</v>
      </c>
      <c r="E72" s="23">
        <v>936409</v>
      </c>
      <c r="F72" s="36">
        <v>25688</v>
      </c>
      <c r="G72" s="16">
        <v>3300202000</v>
      </c>
      <c r="H72" t="s">
        <v>220</v>
      </c>
      <c r="I72" t="s">
        <v>644</v>
      </c>
      <c r="J72" s="64">
        <v>309.5</v>
      </c>
    </row>
    <row r="73" spans="1:10" x14ac:dyDescent="0.25">
      <c r="A73" s="68">
        <v>228</v>
      </c>
      <c r="B73" s="23" t="s">
        <v>10</v>
      </c>
      <c r="C73" s="23" t="s">
        <v>18</v>
      </c>
      <c r="D73" s="23" t="s">
        <v>19</v>
      </c>
      <c r="E73" s="23">
        <v>123543</v>
      </c>
      <c r="F73" s="36">
        <v>25688</v>
      </c>
      <c r="G73" s="16">
        <v>165001000</v>
      </c>
      <c r="H73" t="s">
        <v>198</v>
      </c>
      <c r="I73" t="s">
        <v>644</v>
      </c>
      <c r="J73" s="64">
        <v>1154</v>
      </c>
    </row>
    <row r="74" spans="1:10" x14ac:dyDescent="0.25">
      <c r="A74" s="68">
        <v>231</v>
      </c>
      <c r="B74" s="23" t="s">
        <v>10</v>
      </c>
      <c r="C74" s="23" t="s">
        <v>7</v>
      </c>
      <c r="D74" s="23" t="s">
        <v>11</v>
      </c>
      <c r="E74" s="23">
        <v>150</v>
      </c>
      <c r="F74" s="36">
        <v>25688</v>
      </c>
      <c r="G74" s="16">
        <v>2840001000</v>
      </c>
      <c r="H74" t="s">
        <v>208</v>
      </c>
      <c r="I74" t="s">
        <v>644</v>
      </c>
      <c r="J74" s="64">
        <v>309.5</v>
      </c>
    </row>
    <row r="75" spans="1:10" ht="15.75" x14ac:dyDescent="0.25">
      <c r="A75" s="68">
        <v>232</v>
      </c>
      <c r="B75" s="23" t="s">
        <v>10</v>
      </c>
      <c r="C75" s="23" t="s">
        <v>7</v>
      </c>
      <c r="D75" s="23" t="s">
        <v>20</v>
      </c>
      <c r="E75" s="23">
        <v>11549</v>
      </c>
      <c r="F75" s="36">
        <v>25688</v>
      </c>
      <c r="G75" s="16">
        <v>1000011</v>
      </c>
      <c r="H75" t="s">
        <v>221</v>
      </c>
      <c r="J75" s="65">
        <v>461</v>
      </c>
    </row>
    <row r="76" spans="1:10" x14ac:dyDescent="0.25">
      <c r="A76" s="68">
        <v>234</v>
      </c>
      <c r="B76" s="23" t="s">
        <v>10</v>
      </c>
      <c r="C76" s="23" t="s">
        <v>18</v>
      </c>
      <c r="D76" s="23" t="s">
        <v>19</v>
      </c>
      <c r="E76" s="23">
        <v>1234567</v>
      </c>
      <c r="F76" s="36">
        <v>25688</v>
      </c>
      <c r="G76" s="16">
        <v>3135001000</v>
      </c>
      <c r="H76" t="s">
        <v>171</v>
      </c>
      <c r="I76" t="s">
        <v>644</v>
      </c>
      <c r="J76" s="64">
        <v>1154</v>
      </c>
    </row>
    <row r="77" spans="1:10" x14ac:dyDescent="0.25">
      <c r="A77" s="68">
        <v>237</v>
      </c>
      <c r="B77" s="23" t="s">
        <v>10</v>
      </c>
      <c r="C77" s="23" t="s">
        <v>7</v>
      </c>
      <c r="D77" s="23" t="s">
        <v>11</v>
      </c>
      <c r="E77" s="23">
        <v>798899</v>
      </c>
      <c r="F77" s="36">
        <v>25688</v>
      </c>
      <c r="G77" s="16">
        <v>2548018000</v>
      </c>
      <c r="H77" t="s">
        <v>222</v>
      </c>
      <c r="I77" t="s">
        <v>644</v>
      </c>
      <c r="J77" s="64">
        <v>309.5</v>
      </c>
    </row>
    <row r="78" spans="1:10" x14ac:dyDescent="0.25">
      <c r="A78" s="68">
        <v>242</v>
      </c>
      <c r="B78" s="23" t="s">
        <v>10</v>
      </c>
      <c r="C78" s="23" t="s">
        <v>18</v>
      </c>
      <c r="D78" s="23" t="s">
        <v>19</v>
      </c>
      <c r="F78" s="36">
        <v>25688</v>
      </c>
      <c r="G78" s="16">
        <v>3042058002</v>
      </c>
      <c r="H78" t="s">
        <v>223</v>
      </c>
      <c r="I78" t="s">
        <v>643</v>
      </c>
      <c r="J78" s="64">
        <v>1154</v>
      </c>
    </row>
    <row r="79" spans="1:10" x14ac:dyDescent="0.25">
      <c r="A79" s="68">
        <v>246</v>
      </c>
      <c r="B79" s="23" t="s">
        <v>6</v>
      </c>
      <c r="C79" s="23" t="s">
        <v>12</v>
      </c>
      <c r="D79" s="23" t="s">
        <v>13</v>
      </c>
      <c r="E79" s="23">
        <v>117620</v>
      </c>
      <c r="F79" s="36">
        <v>25688</v>
      </c>
      <c r="G79" s="16">
        <v>3319002000</v>
      </c>
      <c r="H79" t="s">
        <v>224</v>
      </c>
      <c r="I79" t="s">
        <v>644</v>
      </c>
      <c r="J79" s="64">
        <v>1091</v>
      </c>
    </row>
    <row r="80" spans="1:10" x14ac:dyDescent="0.25">
      <c r="A80" s="68">
        <v>247</v>
      </c>
      <c r="B80" s="23" t="s">
        <v>6</v>
      </c>
      <c r="C80" s="23" t="s">
        <v>12</v>
      </c>
      <c r="D80" s="23" t="s">
        <v>13</v>
      </c>
      <c r="E80" s="23" t="s">
        <v>225</v>
      </c>
      <c r="F80" s="36">
        <v>25688</v>
      </c>
      <c r="G80" s="16">
        <v>3234007000</v>
      </c>
      <c r="H80" t="s">
        <v>226</v>
      </c>
      <c r="I80" t="s">
        <v>644</v>
      </c>
      <c r="J80" s="64">
        <v>1091</v>
      </c>
    </row>
    <row r="81" spans="1:10" x14ac:dyDescent="0.25">
      <c r="A81" s="68">
        <v>253</v>
      </c>
      <c r="B81" s="23" t="s">
        <v>6</v>
      </c>
      <c r="C81" s="23" t="s">
        <v>7</v>
      </c>
      <c r="D81" s="23" t="s">
        <v>14</v>
      </c>
      <c r="E81" s="23">
        <v>13695</v>
      </c>
      <c r="F81" s="36">
        <v>25688</v>
      </c>
      <c r="G81" s="16">
        <v>3365001000</v>
      </c>
      <c r="H81" t="s">
        <v>227</v>
      </c>
      <c r="I81" t="s">
        <v>644</v>
      </c>
      <c r="J81" s="64">
        <v>1212</v>
      </c>
    </row>
    <row r="82" spans="1:10" x14ac:dyDescent="0.25">
      <c r="A82" s="68">
        <v>254</v>
      </c>
      <c r="B82" s="23" t="s">
        <v>10</v>
      </c>
      <c r="C82" s="23" t="s">
        <v>18</v>
      </c>
      <c r="D82" s="23" t="s">
        <v>19</v>
      </c>
      <c r="E82" s="23">
        <v>123445567</v>
      </c>
      <c r="F82" s="36">
        <v>25688</v>
      </c>
      <c r="G82" s="16">
        <v>1014002</v>
      </c>
      <c r="H82" t="s">
        <v>191</v>
      </c>
      <c r="J82" s="64">
        <v>1154</v>
      </c>
    </row>
    <row r="83" spans="1:10" x14ac:dyDescent="0.25">
      <c r="A83" s="68">
        <v>255</v>
      </c>
      <c r="B83" s="23" t="s">
        <v>34</v>
      </c>
      <c r="C83" s="23" t="s">
        <v>18</v>
      </c>
      <c r="D83" s="23" t="s">
        <v>19</v>
      </c>
      <c r="E83" s="23">
        <v>1234567</v>
      </c>
      <c r="F83" s="36">
        <v>25688</v>
      </c>
      <c r="G83" s="16">
        <v>2126013000</v>
      </c>
      <c r="H83" t="s">
        <v>228</v>
      </c>
      <c r="I83" t="s">
        <v>644</v>
      </c>
      <c r="J83" s="64">
        <v>1154</v>
      </c>
    </row>
    <row r="84" spans="1:10" x14ac:dyDescent="0.25">
      <c r="A84" s="68">
        <v>257</v>
      </c>
      <c r="B84" s="23" t="s">
        <v>6</v>
      </c>
      <c r="C84" s="23" t="s">
        <v>36</v>
      </c>
      <c r="D84" s="23" t="s">
        <v>43</v>
      </c>
      <c r="F84" s="36">
        <v>25688</v>
      </c>
      <c r="G84" s="16">
        <v>3319002000</v>
      </c>
      <c r="H84" t="s">
        <v>224</v>
      </c>
      <c r="I84" t="s">
        <v>644</v>
      </c>
      <c r="J84" s="40">
        <v>1202.5</v>
      </c>
    </row>
    <row r="85" spans="1:10" x14ac:dyDescent="0.25">
      <c r="A85" s="68">
        <v>259</v>
      </c>
      <c r="B85" s="23" t="s">
        <v>6</v>
      </c>
      <c r="C85" s="23" t="s">
        <v>18</v>
      </c>
      <c r="D85" s="23">
        <v>2815</v>
      </c>
      <c r="E85" s="23">
        <v>19651</v>
      </c>
      <c r="F85" s="36">
        <v>25688</v>
      </c>
      <c r="G85" s="16">
        <v>153002000</v>
      </c>
      <c r="H85" t="s">
        <v>189</v>
      </c>
      <c r="I85" t="s">
        <v>644</v>
      </c>
      <c r="J85" s="64">
        <v>1154</v>
      </c>
    </row>
    <row r="86" spans="1:10" x14ac:dyDescent="0.25">
      <c r="A86" s="68">
        <v>262</v>
      </c>
      <c r="B86" s="23" t="s">
        <v>10</v>
      </c>
      <c r="C86" s="23" t="s">
        <v>7</v>
      </c>
      <c r="D86" s="23" t="s">
        <v>11</v>
      </c>
      <c r="E86" s="23">
        <v>2174</v>
      </c>
      <c r="F86" s="36">
        <v>25688</v>
      </c>
      <c r="G86" s="16">
        <v>212001000</v>
      </c>
      <c r="H86" t="s">
        <v>229</v>
      </c>
      <c r="I86" t="s">
        <v>644</v>
      </c>
      <c r="J86" s="64">
        <v>309.5</v>
      </c>
    </row>
    <row r="87" spans="1:10" x14ac:dyDescent="0.25">
      <c r="A87" s="68">
        <v>263</v>
      </c>
      <c r="B87" s="23" t="s">
        <v>80</v>
      </c>
      <c r="C87" s="23" t="s">
        <v>12</v>
      </c>
      <c r="D87" s="23" t="s">
        <v>81</v>
      </c>
      <c r="E87" s="23" t="s">
        <v>230</v>
      </c>
      <c r="F87" s="36">
        <v>25688</v>
      </c>
      <c r="G87" s="16">
        <v>1165000000</v>
      </c>
      <c r="H87" t="s">
        <v>184</v>
      </c>
      <c r="I87" t="s">
        <v>644</v>
      </c>
      <c r="J87" s="61"/>
    </row>
    <row r="88" spans="1:10" x14ac:dyDescent="0.25">
      <c r="A88" s="68">
        <v>265</v>
      </c>
      <c r="B88" s="23" t="s">
        <v>6</v>
      </c>
      <c r="C88" s="23" t="s">
        <v>12</v>
      </c>
      <c r="D88" s="23" t="s">
        <v>13</v>
      </c>
      <c r="E88" s="23">
        <v>117512</v>
      </c>
      <c r="F88" s="36">
        <v>25688</v>
      </c>
      <c r="G88" s="16">
        <v>212001000</v>
      </c>
      <c r="H88" t="s">
        <v>229</v>
      </c>
      <c r="I88" t="s">
        <v>644</v>
      </c>
      <c r="J88" s="64">
        <v>1091</v>
      </c>
    </row>
    <row r="89" spans="1:10" x14ac:dyDescent="0.25">
      <c r="A89" s="68">
        <v>267</v>
      </c>
      <c r="B89" s="23" t="s">
        <v>6</v>
      </c>
      <c r="C89" s="23" t="s">
        <v>18</v>
      </c>
      <c r="D89" s="23">
        <v>2815</v>
      </c>
      <c r="F89" s="36">
        <v>25688</v>
      </c>
      <c r="G89" s="16">
        <v>3042058002</v>
      </c>
      <c r="H89" t="s">
        <v>223</v>
      </c>
      <c r="I89" t="s">
        <v>643</v>
      </c>
      <c r="J89" s="64">
        <v>1154</v>
      </c>
    </row>
    <row r="90" spans="1:10" x14ac:dyDescent="0.25">
      <c r="A90" s="68">
        <v>272</v>
      </c>
      <c r="B90" s="23" t="s">
        <v>6</v>
      </c>
      <c r="C90" s="23" t="s">
        <v>7</v>
      </c>
      <c r="D90" s="23" t="s">
        <v>14</v>
      </c>
      <c r="E90" s="23">
        <v>8152</v>
      </c>
      <c r="F90" s="36">
        <v>25688</v>
      </c>
      <c r="G90" s="16">
        <v>1033000</v>
      </c>
      <c r="H90" t="s">
        <v>231</v>
      </c>
      <c r="I90" t="s">
        <v>644</v>
      </c>
      <c r="J90" s="64">
        <v>1212</v>
      </c>
    </row>
    <row r="91" spans="1:10" x14ac:dyDescent="0.25">
      <c r="A91" s="68">
        <v>276</v>
      </c>
      <c r="B91" s="23" t="s">
        <v>6</v>
      </c>
      <c r="C91" s="23" t="s">
        <v>7</v>
      </c>
      <c r="D91" s="23" t="s">
        <v>14</v>
      </c>
      <c r="E91" s="23">
        <v>13949</v>
      </c>
      <c r="F91" s="36">
        <v>25688</v>
      </c>
      <c r="G91" s="16">
        <v>529001000</v>
      </c>
      <c r="H91" t="s">
        <v>232</v>
      </c>
      <c r="I91" t="s">
        <v>644</v>
      </c>
      <c r="J91" s="64">
        <v>1212</v>
      </c>
    </row>
    <row r="92" spans="1:10" x14ac:dyDescent="0.25">
      <c r="A92" s="68">
        <v>277</v>
      </c>
      <c r="B92" s="23" t="s">
        <v>6</v>
      </c>
      <c r="C92" s="23" t="s">
        <v>7</v>
      </c>
      <c r="D92" s="23" t="s">
        <v>14</v>
      </c>
      <c r="E92" s="23">
        <v>13962</v>
      </c>
      <c r="F92" s="36">
        <v>25688</v>
      </c>
      <c r="G92" s="16">
        <v>1014001</v>
      </c>
      <c r="H92" t="s">
        <v>163</v>
      </c>
      <c r="J92" s="64">
        <v>1212</v>
      </c>
    </row>
    <row r="93" spans="1:10" x14ac:dyDescent="0.25">
      <c r="A93" s="68">
        <v>279</v>
      </c>
      <c r="B93" s="23" t="s">
        <v>6</v>
      </c>
      <c r="C93" s="23" t="s">
        <v>7</v>
      </c>
      <c r="D93" s="23" t="s">
        <v>49</v>
      </c>
      <c r="F93" s="36">
        <v>25688</v>
      </c>
      <c r="G93" s="16">
        <v>1967003000</v>
      </c>
      <c r="H93" t="s">
        <v>233</v>
      </c>
      <c r="I93" t="s">
        <v>644</v>
      </c>
      <c r="J93" s="64">
        <v>1135</v>
      </c>
    </row>
    <row r="94" spans="1:10" x14ac:dyDescent="0.25">
      <c r="A94" s="68">
        <v>280</v>
      </c>
      <c r="B94" s="23" t="s">
        <v>6</v>
      </c>
      <c r="C94" s="23" t="s">
        <v>7</v>
      </c>
      <c r="D94" s="23" t="s">
        <v>14</v>
      </c>
      <c r="E94" s="23">
        <v>13973</v>
      </c>
      <c r="F94" s="36">
        <v>25688</v>
      </c>
      <c r="G94" s="16">
        <v>2936001000</v>
      </c>
      <c r="H94" t="s">
        <v>234</v>
      </c>
      <c r="I94" t="s">
        <v>644</v>
      </c>
      <c r="J94" s="64">
        <v>1212</v>
      </c>
    </row>
    <row r="95" spans="1:10" x14ac:dyDescent="0.25">
      <c r="A95" s="68">
        <v>281</v>
      </c>
      <c r="B95" s="23" t="s">
        <v>10</v>
      </c>
      <c r="C95" s="23" t="s">
        <v>7</v>
      </c>
      <c r="D95" s="23" t="s">
        <v>11</v>
      </c>
      <c r="E95" s="23">
        <v>10510</v>
      </c>
      <c r="F95" s="36">
        <v>25688</v>
      </c>
      <c r="G95" s="16">
        <v>193012000</v>
      </c>
      <c r="H95" t="s">
        <v>200</v>
      </c>
      <c r="I95" t="s">
        <v>644</v>
      </c>
      <c r="J95" s="64">
        <v>309.5</v>
      </c>
    </row>
    <row r="96" spans="1:10" x14ac:dyDescent="0.25">
      <c r="A96" s="68">
        <v>285</v>
      </c>
      <c r="B96" s="23" t="s">
        <v>6</v>
      </c>
      <c r="C96" s="23" t="s">
        <v>7</v>
      </c>
      <c r="D96" s="23" t="s">
        <v>14</v>
      </c>
      <c r="E96" s="23">
        <v>13956</v>
      </c>
      <c r="F96" s="36">
        <v>25688</v>
      </c>
      <c r="G96" s="16">
        <v>1045000</v>
      </c>
      <c r="H96" t="s">
        <v>235</v>
      </c>
      <c r="I96" s="6" t="s">
        <v>644</v>
      </c>
      <c r="J96" s="64">
        <v>1212</v>
      </c>
    </row>
    <row r="97" spans="1:10" x14ac:dyDescent="0.25">
      <c r="A97" s="68">
        <v>286</v>
      </c>
      <c r="B97" s="23" t="s">
        <v>6</v>
      </c>
      <c r="C97" s="23" t="s">
        <v>7</v>
      </c>
      <c r="D97" s="23" t="s">
        <v>14</v>
      </c>
      <c r="E97" s="23">
        <v>13964</v>
      </c>
      <c r="F97" s="36">
        <v>25688</v>
      </c>
      <c r="G97" s="16">
        <v>2126001000</v>
      </c>
      <c r="H97" t="s">
        <v>180</v>
      </c>
      <c r="I97" t="s">
        <v>644</v>
      </c>
      <c r="J97" s="64">
        <v>1212</v>
      </c>
    </row>
    <row r="98" spans="1:10" x14ac:dyDescent="0.25">
      <c r="A98" s="68">
        <v>287</v>
      </c>
      <c r="B98" s="23" t="s">
        <v>6</v>
      </c>
      <c r="C98" s="23" t="s">
        <v>7</v>
      </c>
      <c r="D98" s="23" t="s">
        <v>14</v>
      </c>
      <c r="E98" s="23">
        <v>13058</v>
      </c>
      <c r="F98" s="36">
        <v>25688</v>
      </c>
      <c r="G98" s="16">
        <v>1165002000</v>
      </c>
      <c r="H98" t="s">
        <v>236</v>
      </c>
      <c r="I98" t="s">
        <v>644</v>
      </c>
      <c r="J98" s="64">
        <v>1212</v>
      </c>
    </row>
    <row r="99" spans="1:10" x14ac:dyDescent="0.25">
      <c r="A99" s="68">
        <v>290</v>
      </c>
      <c r="B99" s="23" t="s">
        <v>6</v>
      </c>
      <c r="C99" s="23" t="s">
        <v>7</v>
      </c>
      <c r="D99" s="23" t="s">
        <v>8</v>
      </c>
      <c r="E99" s="23">
        <v>13957</v>
      </c>
      <c r="F99" s="36">
        <v>25688</v>
      </c>
      <c r="G99" s="16">
        <v>3234004000</v>
      </c>
      <c r="H99" t="s">
        <v>237</v>
      </c>
      <c r="I99" t="s">
        <v>644</v>
      </c>
      <c r="J99" s="64">
        <v>1212</v>
      </c>
    </row>
    <row r="100" spans="1:10" x14ac:dyDescent="0.25">
      <c r="A100" s="68">
        <v>292</v>
      </c>
      <c r="B100" s="23" t="s">
        <v>6</v>
      </c>
      <c r="C100" s="23" t="s">
        <v>7</v>
      </c>
      <c r="D100" s="23" t="s">
        <v>14</v>
      </c>
      <c r="E100" s="23">
        <v>13954</v>
      </c>
      <c r="F100" s="36">
        <v>25688</v>
      </c>
      <c r="G100" s="16">
        <v>2641003000</v>
      </c>
      <c r="H100" t="s">
        <v>238</v>
      </c>
      <c r="I100" t="s">
        <v>644</v>
      </c>
      <c r="J100" s="64">
        <v>1212</v>
      </c>
    </row>
    <row r="101" spans="1:10" x14ac:dyDescent="0.25">
      <c r="A101" s="68">
        <v>297</v>
      </c>
      <c r="B101" s="23" t="s">
        <v>10</v>
      </c>
      <c r="C101" s="23" t="s">
        <v>18</v>
      </c>
      <c r="D101" s="23" t="s">
        <v>19</v>
      </c>
      <c r="F101" s="36">
        <v>25688</v>
      </c>
      <c r="G101" s="16">
        <v>3042058002</v>
      </c>
      <c r="H101" t="s">
        <v>223</v>
      </c>
      <c r="I101" t="s">
        <v>643</v>
      </c>
      <c r="J101" s="64">
        <v>1154</v>
      </c>
    </row>
    <row r="102" spans="1:10" x14ac:dyDescent="0.25">
      <c r="A102" s="68">
        <v>302</v>
      </c>
      <c r="B102" s="23" t="s">
        <v>34</v>
      </c>
      <c r="C102" s="23" t="s">
        <v>18</v>
      </c>
      <c r="D102" s="23" t="s">
        <v>26</v>
      </c>
      <c r="F102" s="36">
        <v>25688</v>
      </c>
      <c r="G102" s="16">
        <v>1068012000</v>
      </c>
      <c r="H102" t="s">
        <v>239</v>
      </c>
      <c r="I102" t="s">
        <v>644</v>
      </c>
      <c r="J102" s="64">
        <v>532</v>
      </c>
    </row>
    <row r="103" spans="1:10" x14ac:dyDescent="0.25">
      <c r="A103" s="68">
        <v>305</v>
      </c>
      <c r="B103" s="23" t="s">
        <v>6</v>
      </c>
      <c r="C103" s="23" t="s">
        <v>7</v>
      </c>
      <c r="D103" s="23" t="s">
        <v>14</v>
      </c>
      <c r="E103" s="23">
        <v>12188</v>
      </c>
      <c r="F103" s="36">
        <v>25688</v>
      </c>
      <c r="G103" s="16">
        <v>1023000</v>
      </c>
      <c r="H103" t="s">
        <v>240</v>
      </c>
      <c r="J103" s="64">
        <v>1212</v>
      </c>
    </row>
    <row r="104" spans="1:10" x14ac:dyDescent="0.25">
      <c r="A104" s="68">
        <v>308</v>
      </c>
      <c r="B104" s="23" t="s">
        <v>6</v>
      </c>
      <c r="C104" s="23" t="s">
        <v>12</v>
      </c>
      <c r="D104" s="23" t="s">
        <v>13</v>
      </c>
      <c r="E104" s="23">
        <v>117409</v>
      </c>
      <c r="F104" s="36">
        <v>25688</v>
      </c>
      <c r="G104" s="16">
        <v>1014001</v>
      </c>
      <c r="H104" t="s">
        <v>163</v>
      </c>
      <c r="J104" s="64">
        <v>1091</v>
      </c>
    </row>
    <row r="105" spans="1:10" x14ac:dyDescent="0.25">
      <c r="A105" s="68">
        <v>310</v>
      </c>
      <c r="B105" s="23" t="s">
        <v>6</v>
      </c>
      <c r="C105" s="23" t="s">
        <v>36</v>
      </c>
      <c r="D105" s="23" t="s">
        <v>43</v>
      </c>
      <c r="F105" s="36">
        <v>25688</v>
      </c>
      <c r="G105" s="16">
        <v>1014001</v>
      </c>
      <c r="H105" t="s">
        <v>163</v>
      </c>
      <c r="J105" s="40">
        <v>1202.5</v>
      </c>
    </row>
    <row r="106" spans="1:10" x14ac:dyDescent="0.25">
      <c r="A106" s="68">
        <v>313</v>
      </c>
      <c r="B106" s="23" t="s">
        <v>10</v>
      </c>
      <c r="C106" s="23" t="s">
        <v>18</v>
      </c>
      <c r="D106" s="23" t="s">
        <v>26</v>
      </c>
      <c r="F106" s="36">
        <v>25688</v>
      </c>
      <c r="G106" s="16">
        <v>1165000000</v>
      </c>
      <c r="H106" t="s">
        <v>184</v>
      </c>
      <c r="I106" t="s">
        <v>644</v>
      </c>
      <c r="J106" s="64">
        <v>532</v>
      </c>
    </row>
    <row r="107" spans="1:10" x14ac:dyDescent="0.25">
      <c r="A107" s="68">
        <v>315</v>
      </c>
      <c r="B107" s="23" t="s">
        <v>10</v>
      </c>
      <c r="C107" s="23" t="s">
        <v>18</v>
      </c>
      <c r="D107" s="23" t="s">
        <v>26</v>
      </c>
      <c r="F107" s="36">
        <v>25688</v>
      </c>
      <c r="G107" s="16">
        <v>43006000</v>
      </c>
      <c r="H107" t="s">
        <v>177</v>
      </c>
      <c r="I107" t="s">
        <v>644</v>
      </c>
      <c r="J107" s="64">
        <v>532</v>
      </c>
    </row>
    <row r="108" spans="1:10" x14ac:dyDescent="0.25">
      <c r="A108" s="68">
        <v>316</v>
      </c>
      <c r="B108" s="23" t="s">
        <v>6</v>
      </c>
      <c r="C108" s="23" t="s">
        <v>36</v>
      </c>
      <c r="D108" s="23" t="s">
        <v>43</v>
      </c>
      <c r="F108" s="36">
        <v>25688</v>
      </c>
      <c r="G108" s="16">
        <v>2890001000</v>
      </c>
      <c r="H108" t="s">
        <v>241</v>
      </c>
      <c r="I108" t="s">
        <v>644</v>
      </c>
      <c r="J108" s="40">
        <v>1202.5</v>
      </c>
    </row>
    <row r="109" spans="1:10" x14ac:dyDescent="0.25">
      <c r="A109" s="68">
        <v>318</v>
      </c>
      <c r="B109" s="23" t="s">
        <v>6</v>
      </c>
      <c r="C109" s="23" t="s">
        <v>36</v>
      </c>
      <c r="D109" s="23" t="s">
        <v>43</v>
      </c>
      <c r="F109" s="36">
        <v>25688</v>
      </c>
      <c r="G109" s="16">
        <v>66035000</v>
      </c>
      <c r="H109" t="s">
        <v>242</v>
      </c>
      <c r="I109" t="s">
        <v>644</v>
      </c>
      <c r="J109" s="40">
        <v>1202.5</v>
      </c>
    </row>
    <row r="110" spans="1:10" x14ac:dyDescent="0.25">
      <c r="A110" s="68">
        <v>320</v>
      </c>
      <c r="B110" s="23" t="s">
        <v>10</v>
      </c>
      <c r="C110" s="23" t="s">
        <v>18</v>
      </c>
      <c r="D110" s="23" t="s">
        <v>26</v>
      </c>
      <c r="F110" s="36">
        <v>25688</v>
      </c>
      <c r="G110" s="16">
        <v>1014002</v>
      </c>
      <c r="H110" t="s">
        <v>191</v>
      </c>
      <c r="J110" s="64">
        <v>532</v>
      </c>
    </row>
    <row r="111" spans="1:10" x14ac:dyDescent="0.25">
      <c r="A111" s="68">
        <v>324</v>
      </c>
      <c r="B111" s="23" t="s">
        <v>6</v>
      </c>
      <c r="C111" s="23" t="s">
        <v>12</v>
      </c>
      <c r="D111" s="23" t="s">
        <v>13</v>
      </c>
      <c r="E111" s="23" t="s">
        <v>243</v>
      </c>
      <c r="F111" s="36">
        <v>25688</v>
      </c>
      <c r="G111" s="16">
        <v>66011000</v>
      </c>
      <c r="H111" t="s">
        <v>166</v>
      </c>
      <c r="I111" t="s">
        <v>644</v>
      </c>
      <c r="J111" s="64">
        <v>1091</v>
      </c>
    </row>
    <row r="112" spans="1:10" x14ac:dyDescent="0.25">
      <c r="A112" s="68">
        <v>328</v>
      </c>
      <c r="B112" s="23" t="s">
        <v>6</v>
      </c>
      <c r="C112" s="23" t="s">
        <v>12</v>
      </c>
      <c r="D112" s="23" t="s">
        <v>13</v>
      </c>
      <c r="E112" s="23">
        <v>117436</v>
      </c>
      <c r="F112" s="36">
        <v>25688</v>
      </c>
      <c r="G112" s="16">
        <v>1165005000</v>
      </c>
      <c r="H112" t="s">
        <v>244</v>
      </c>
      <c r="I112" t="s">
        <v>644</v>
      </c>
      <c r="J112" s="64">
        <v>1091</v>
      </c>
    </row>
    <row r="113" spans="1:10" x14ac:dyDescent="0.25">
      <c r="A113" s="68">
        <v>330</v>
      </c>
      <c r="B113" s="23" t="s">
        <v>6</v>
      </c>
      <c r="C113" s="23" t="s">
        <v>12</v>
      </c>
      <c r="D113" s="23" t="s">
        <v>13</v>
      </c>
      <c r="E113" s="23">
        <v>117588</v>
      </c>
      <c r="F113" s="36">
        <v>25688</v>
      </c>
      <c r="G113" s="16">
        <v>1165000000</v>
      </c>
      <c r="H113" t="s">
        <v>184</v>
      </c>
      <c r="I113" t="s">
        <v>644</v>
      </c>
      <c r="J113" s="64">
        <v>1091</v>
      </c>
    </row>
    <row r="114" spans="1:10" x14ac:dyDescent="0.25">
      <c r="A114" s="68">
        <v>332</v>
      </c>
      <c r="B114" s="23" t="s">
        <v>10</v>
      </c>
      <c r="C114" s="23" t="s">
        <v>7</v>
      </c>
      <c r="D114" s="23" t="s">
        <v>11</v>
      </c>
      <c r="E114" s="23">
        <v>676</v>
      </c>
      <c r="F114" s="36">
        <v>25688</v>
      </c>
      <c r="G114" s="16">
        <v>3265001000</v>
      </c>
      <c r="H114" t="s">
        <v>245</v>
      </c>
      <c r="I114" t="s">
        <v>644</v>
      </c>
      <c r="J114" s="64">
        <v>309.5</v>
      </c>
    </row>
    <row r="115" spans="1:10" ht="15.75" x14ac:dyDescent="0.25">
      <c r="A115" s="68">
        <v>333</v>
      </c>
      <c r="B115" s="23" t="s">
        <v>10</v>
      </c>
      <c r="C115" s="23" t="s">
        <v>7</v>
      </c>
      <c r="D115" s="23" t="s">
        <v>20</v>
      </c>
      <c r="E115" s="23">
        <v>10153</v>
      </c>
      <c r="F115" s="36">
        <v>25688</v>
      </c>
      <c r="G115" s="16">
        <v>1014001</v>
      </c>
      <c r="H115" t="s">
        <v>163</v>
      </c>
      <c r="J115" s="65">
        <v>461</v>
      </c>
    </row>
    <row r="116" spans="1:10" x14ac:dyDescent="0.25">
      <c r="A116" s="68">
        <v>336</v>
      </c>
      <c r="B116" s="23" t="s">
        <v>10</v>
      </c>
      <c r="C116" s="23" t="s">
        <v>7</v>
      </c>
      <c r="D116" s="23" t="s">
        <v>11</v>
      </c>
      <c r="E116" s="23">
        <v>1229</v>
      </c>
      <c r="F116" s="36">
        <v>25688</v>
      </c>
      <c r="G116" s="16">
        <v>1747001000</v>
      </c>
      <c r="H116" t="s">
        <v>246</v>
      </c>
      <c r="I116" t="s">
        <v>644</v>
      </c>
      <c r="J116" s="64">
        <v>309.5</v>
      </c>
    </row>
    <row r="117" spans="1:10" x14ac:dyDescent="0.25">
      <c r="A117" s="68">
        <v>339</v>
      </c>
      <c r="B117" s="23" t="s">
        <v>10</v>
      </c>
      <c r="C117" s="23" t="s">
        <v>7</v>
      </c>
      <c r="D117" s="23" t="s">
        <v>11</v>
      </c>
      <c r="E117" s="23">
        <v>8425</v>
      </c>
      <c r="F117" s="36">
        <v>25688</v>
      </c>
      <c r="G117" s="16">
        <v>3042004002</v>
      </c>
      <c r="H117" t="s">
        <v>247</v>
      </c>
      <c r="I117" t="s">
        <v>643</v>
      </c>
      <c r="J117" s="64">
        <v>309.5</v>
      </c>
    </row>
    <row r="118" spans="1:10" x14ac:dyDescent="0.25">
      <c r="A118" s="68">
        <v>350</v>
      </c>
      <c r="B118" s="23" t="s">
        <v>6</v>
      </c>
      <c r="C118" s="23" t="s">
        <v>18</v>
      </c>
      <c r="D118" s="23">
        <v>2815</v>
      </c>
      <c r="E118" s="23">
        <v>19705</v>
      </c>
      <c r="F118" s="36">
        <v>25688</v>
      </c>
      <c r="G118" s="16">
        <v>1000003</v>
      </c>
      <c r="H118" t="s">
        <v>248</v>
      </c>
      <c r="J118" s="64">
        <v>1154</v>
      </c>
    </row>
    <row r="119" spans="1:10" x14ac:dyDescent="0.25">
      <c r="A119" s="68">
        <v>360</v>
      </c>
      <c r="B119" s="23" t="s">
        <v>10</v>
      </c>
      <c r="C119" s="23" t="s">
        <v>7</v>
      </c>
      <c r="D119" s="23" t="s">
        <v>11</v>
      </c>
      <c r="E119" s="23">
        <v>7243</v>
      </c>
      <c r="F119" s="36">
        <v>25688</v>
      </c>
      <c r="G119" s="16">
        <v>153002000</v>
      </c>
      <c r="H119" t="s">
        <v>189</v>
      </c>
      <c r="I119" t="s">
        <v>644</v>
      </c>
      <c r="J119" s="64">
        <v>309.5</v>
      </c>
    </row>
    <row r="120" spans="1:10" x14ac:dyDescent="0.25">
      <c r="A120" s="68">
        <v>366</v>
      </c>
      <c r="B120" s="23" t="s">
        <v>10</v>
      </c>
      <c r="C120" s="23" t="s">
        <v>18</v>
      </c>
      <c r="D120" s="23" t="s">
        <v>19</v>
      </c>
      <c r="E120" s="23">
        <v>4567654</v>
      </c>
      <c r="F120" s="36">
        <v>25688</v>
      </c>
      <c r="G120" s="16">
        <v>1165000000</v>
      </c>
      <c r="H120" t="s">
        <v>184</v>
      </c>
      <c r="I120" t="s">
        <v>644</v>
      </c>
      <c r="J120" s="64">
        <v>1154</v>
      </c>
    </row>
    <row r="121" spans="1:10" x14ac:dyDescent="0.25">
      <c r="A121" s="68">
        <v>368</v>
      </c>
      <c r="B121" s="23" t="s">
        <v>10</v>
      </c>
      <c r="C121" s="23" t="s">
        <v>7</v>
      </c>
      <c r="D121" s="23" t="s">
        <v>11</v>
      </c>
      <c r="E121" s="23">
        <v>7396</v>
      </c>
      <c r="F121" s="36">
        <v>25688</v>
      </c>
      <c r="G121" s="16">
        <v>1925011000</v>
      </c>
      <c r="H121" t="s">
        <v>249</v>
      </c>
      <c r="I121" t="s">
        <v>644</v>
      </c>
      <c r="J121" s="64">
        <v>309.5</v>
      </c>
    </row>
    <row r="122" spans="1:10" x14ac:dyDescent="0.25">
      <c r="A122" s="68">
        <v>369</v>
      </c>
      <c r="B122" s="23" t="s">
        <v>10</v>
      </c>
      <c r="C122" s="23" t="s">
        <v>7</v>
      </c>
      <c r="D122" s="23" t="s">
        <v>11</v>
      </c>
      <c r="E122" s="23">
        <v>12009</v>
      </c>
      <c r="F122" s="36">
        <v>25688</v>
      </c>
      <c r="G122" s="16">
        <v>1165000000</v>
      </c>
      <c r="H122" t="s">
        <v>184</v>
      </c>
      <c r="I122" t="s">
        <v>644</v>
      </c>
      <c r="J122" s="64">
        <v>309.5</v>
      </c>
    </row>
    <row r="123" spans="1:10" x14ac:dyDescent="0.25">
      <c r="A123" s="68">
        <v>371</v>
      </c>
      <c r="B123" s="23" t="s">
        <v>6</v>
      </c>
      <c r="C123" s="23" t="s">
        <v>36</v>
      </c>
      <c r="D123" s="23" t="s">
        <v>43</v>
      </c>
      <c r="F123" s="36">
        <v>25688</v>
      </c>
      <c r="G123" s="16">
        <v>1014002</v>
      </c>
      <c r="H123" t="s">
        <v>191</v>
      </c>
      <c r="J123" s="40">
        <v>1202.5</v>
      </c>
    </row>
    <row r="124" spans="1:10" x14ac:dyDescent="0.25">
      <c r="A124" s="68">
        <v>372</v>
      </c>
      <c r="B124" s="23" t="s">
        <v>6</v>
      </c>
      <c r="C124" s="23" t="s">
        <v>7</v>
      </c>
      <c r="D124" s="23" t="s">
        <v>14</v>
      </c>
      <c r="E124" s="23">
        <v>6021</v>
      </c>
      <c r="F124" s="36">
        <v>25688</v>
      </c>
      <c r="G124" s="16">
        <v>1165003000</v>
      </c>
      <c r="H124" t="s">
        <v>250</v>
      </c>
      <c r="I124" t="s">
        <v>644</v>
      </c>
      <c r="J124" s="64">
        <v>1212</v>
      </c>
    </row>
    <row r="125" spans="1:10" x14ac:dyDescent="0.25">
      <c r="A125" s="68">
        <v>374</v>
      </c>
      <c r="B125" s="23" t="s">
        <v>6</v>
      </c>
      <c r="C125" s="23" t="s">
        <v>7</v>
      </c>
      <c r="D125" s="23" t="s">
        <v>14</v>
      </c>
      <c r="E125" s="23">
        <v>6087</v>
      </c>
      <c r="F125" s="36">
        <v>25688</v>
      </c>
      <c r="G125" s="16">
        <v>1967003000</v>
      </c>
      <c r="H125" t="s">
        <v>233</v>
      </c>
      <c r="I125" t="s">
        <v>644</v>
      </c>
      <c r="J125" s="64">
        <v>1212</v>
      </c>
    </row>
    <row r="126" spans="1:10" x14ac:dyDescent="0.25">
      <c r="A126" s="68">
        <v>375</v>
      </c>
      <c r="B126" s="23" t="s">
        <v>10</v>
      </c>
      <c r="C126" s="23" t="s">
        <v>7</v>
      </c>
      <c r="D126" s="23" t="s">
        <v>11</v>
      </c>
      <c r="E126" s="23">
        <v>311194</v>
      </c>
      <c r="F126" s="36">
        <v>25688</v>
      </c>
      <c r="G126" s="16">
        <v>1014001</v>
      </c>
      <c r="H126" t="s">
        <v>163</v>
      </c>
      <c r="J126" s="64">
        <v>309.5</v>
      </c>
    </row>
    <row r="127" spans="1:10" x14ac:dyDescent="0.25">
      <c r="A127" s="68">
        <v>376</v>
      </c>
      <c r="B127" s="23" t="s">
        <v>10</v>
      </c>
      <c r="C127" s="23" t="s">
        <v>7</v>
      </c>
      <c r="D127" s="23" t="s">
        <v>148</v>
      </c>
      <c r="E127" s="23">
        <v>1122</v>
      </c>
      <c r="F127" s="36">
        <v>25688</v>
      </c>
      <c r="G127" s="16">
        <v>3207002000</v>
      </c>
      <c r="H127" t="s">
        <v>251</v>
      </c>
      <c r="I127" t="s">
        <v>644</v>
      </c>
      <c r="J127" s="61"/>
    </row>
    <row r="128" spans="1:10" x14ac:dyDescent="0.25">
      <c r="A128" s="68">
        <v>379</v>
      </c>
      <c r="B128" s="23" t="s">
        <v>10</v>
      </c>
      <c r="C128" s="23" t="s">
        <v>7</v>
      </c>
      <c r="D128" s="23" t="s">
        <v>11</v>
      </c>
      <c r="E128" s="23">
        <v>10819</v>
      </c>
      <c r="F128" s="36">
        <v>25688</v>
      </c>
      <c r="G128" s="16">
        <v>2789002000</v>
      </c>
      <c r="H128" t="s">
        <v>252</v>
      </c>
      <c r="I128" t="s">
        <v>644</v>
      </c>
      <c r="J128" s="64">
        <v>309.5</v>
      </c>
    </row>
    <row r="129" spans="1:10" x14ac:dyDescent="0.25">
      <c r="A129" s="68">
        <v>381</v>
      </c>
      <c r="B129" s="23" t="s">
        <v>10</v>
      </c>
      <c r="C129" s="23" t="s">
        <v>18</v>
      </c>
      <c r="D129" s="23" t="s">
        <v>19</v>
      </c>
      <c r="E129" s="23">
        <v>7654</v>
      </c>
      <c r="F129" s="36">
        <v>25688</v>
      </c>
      <c r="G129" s="16">
        <v>1014002</v>
      </c>
      <c r="H129" t="s">
        <v>191</v>
      </c>
      <c r="J129" s="64">
        <v>1154</v>
      </c>
    </row>
    <row r="130" spans="1:10" x14ac:dyDescent="0.25">
      <c r="A130" s="68">
        <v>382</v>
      </c>
      <c r="B130" s="23" t="s">
        <v>10</v>
      </c>
      <c r="C130" s="23" t="s">
        <v>18</v>
      </c>
      <c r="D130" s="23" t="s">
        <v>26</v>
      </c>
      <c r="E130" s="23">
        <v>1740</v>
      </c>
      <c r="F130" s="36">
        <v>25688</v>
      </c>
      <c r="G130" s="16">
        <v>3234014000</v>
      </c>
      <c r="H130" t="s">
        <v>253</v>
      </c>
      <c r="I130" t="s">
        <v>644</v>
      </c>
      <c r="J130" s="64">
        <v>532</v>
      </c>
    </row>
    <row r="131" spans="1:10" x14ac:dyDescent="0.25">
      <c r="A131" s="68">
        <v>385</v>
      </c>
      <c r="B131" s="23" t="s">
        <v>6</v>
      </c>
      <c r="C131" s="23" t="s">
        <v>7</v>
      </c>
      <c r="D131" s="23" t="s">
        <v>14</v>
      </c>
      <c r="F131" s="36">
        <v>25688</v>
      </c>
      <c r="G131" s="16">
        <v>3042036001</v>
      </c>
      <c r="H131" t="s">
        <v>254</v>
      </c>
      <c r="I131" t="s">
        <v>643</v>
      </c>
      <c r="J131" s="64">
        <v>1212</v>
      </c>
    </row>
    <row r="132" spans="1:10" x14ac:dyDescent="0.25">
      <c r="A132" s="68">
        <v>388</v>
      </c>
      <c r="B132" s="23" t="s">
        <v>6</v>
      </c>
      <c r="C132" s="23" t="s">
        <v>12</v>
      </c>
      <c r="D132" s="23" t="s">
        <v>13</v>
      </c>
      <c r="F132" s="36">
        <v>25688</v>
      </c>
      <c r="G132" s="16">
        <v>1165067000</v>
      </c>
      <c r="H132" t="s">
        <v>255</v>
      </c>
      <c r="I132" t="s">
        <v>644</v>
      </c>
      <c r="J132" s="64">
        <v>1091</v>
      </c>
    </row>
    <row r="133" spans="1:10" x14ac:dyDescent="0.25">
      <c r="A133" s="68">
        <v>394</v>
      </c>
      <c r="B133" s="23" t="s">
        <v>6</v>
      </c>
      <c r="C133" s="23" t="s">
        <v>18</v>
      </c>
      <c r="D133" s="23">
        <v>2812</v>
      </c>
      <c r="E133" s="23">
        <v>19488</v>
      </c>
      <c r="F133" s="36">
        <v>25688</v>
      </c>
      <c r="G133" s="16">
        <v>1014001</v>
      </c>
      <c r="H133" t="s">
        <v>163</v>
      </c>
      <c r="J133" s="64">
        <v>921</v>
      </c>
    </row>
    <row r="134" spans="1:10" x14ac:dyDescent="0.25">
      <c r="A134" s="68">
        <v>395</v>
      </c>
      <c r="B134" s="23" t="s">
        <v>6</v>
      </c>
      <c r="C134" s="23" t="s">
        <v>12</v>
      </c>
      <c r="D134" s="23" t="s">
        <v>13</v>
      </c>
      <c r="F134" s="36">
        <v>25688</v>
      </c>
      <c r="G134" s="16">
        <v>211002000</v>
      </c>
      <c r="H134" t="s">
        <v>256</v>
      </c>
      <c r="I134" t="s">
        <v>644</v>
      </c>
      <c r="J134" s="64">
        <v>1091</v>
      </c>
    </row>
    <row r="135" spans="1:10" x14ac:dyDescent="0.25">
      <c r="A135" s="68">
        <v>397</v>
      </c>
      <c r="B135" s="23" t="s">
        <v>6</v>
      </c>
      <c r="C135" s="23" t="s">
        <v>12</v>
      </c>
      <c r="D135" s="23" t="s">
        <v>13</v>
      </c>
      <c r="E135" s="23">
        <v>117630</v>
      </c>
      <c r="F135" s="36">
        <v>25688</v>
      </c>
      <c r="G135" s="16">
        <v>3200001000</v>
      </c>
      <c r="H135" t="s">
        <v>257</v>
      </c>
      <c r="I135" t="s">
        <v>644</v>
      </c>
      <c r="J135" s="64">
        <v>1091</v>
      </c>
    </row>
    <row r="136" spans="1:10" x14ac:dyDescent="0.25">
      <c r="A136" s="68">
        <v>398</v>
      </c>
      <c r="B136" s="23" t="s">
        <v>10</v>
      </c>
      <c r="C136" s="23" t="s">
        <v>7</v>
      </c>
      <c r="D136" s="23" t="s">
        <v>11</v>
      </c>
      <c r="E136" s="23">
        <v>5152</v>
      </c>
      <c r="F136" s="36">
        <v>25688</v>
      </c>
      <c r="G136" s="16">
        <v>2558002000</v>
      </c>
      <c r="H136" t="s">
        <v>195</v>
      </c>
      <c r="I136" t="s">
        <v>644</v>
      </c>
      <c r="J136" s="64">
        <v>309.5</v>
      </c>
    </row>
    <row r="137" spans="1:10" x14ac:dyDescent="0.25">
      <c r="A137" s="68">
        <v>399</v>
      </c>
      <c r="B137" s="23" t="s">
        <v>10</v>
      </c>
      <c r="C137" s="23" t="s">
        <v>18</v>
      </c>
      <c r="D137" s="23" t="s">
        <v>19</v>
      </c>
      <c r="E137" s="23">
        <v>4424</v>
      </c>
      <c r="F137" s="36">
        <v>25688</v>
      </c>
      <c r="G137" s="16">
        <v>3042095001</v>
      </c>
      <c r="H137" t="s">
        <v>258</v>
      </c>
      <c r="I137" t="s">
        <v>643</v>
      </c>
      <c r="J137" s="64">
        <v>1154</v>
      </c>
    </row>
    <row r="138" spans="1:10" x14ac:dyDescent="0.25">
      <c r="A138" s="68">
        <v>400</v>
      </c>
      <c r="B138" s="23" t="s">
        <v>10</v>
      </c>
      <c r="C138" s="23" t="s">
        <v>18</v>
      </c>
      <c r="D138" s="23" t="s">
        <v>11</v>
      </c>
      <c r="F138" s="36">
        <v>25688</v>
      </c>
      <c r="G138" s="16">
        <v>1014001</v>
      </c>
      <c r="H138" t="s">
        <v>163</v>
      </c>
      <c r="J138" s="64">
        <v>318.5</v>
      </c>
    </row>
    <row r="139" spans="1:10" x14ac:dyDescent="0.25">
      <c r="A139" s="68">
        <v>404</v>
      </c>
      <c r="B139" s="23" t="s">
        <v>6</v>
      </c>
      <c r="C139" s="23" t="s">
        <v>12</v>
      </c>
      <c r="D139" s="23" t="s">
        <v>13</v>
      </c>
      <c r="E139" s="23">
        <v>117514</v>
      </c>
      <c r="F139" s="36">
        <v>25688</v>
      </c>
      <c r="G139" s="16">
        <v>2548095000</v>
      </c>
      <c r="H139" t="s">
        <v>182</v>
      </c>
      <c r="I139" t="s">
        <v>644</v>
      </c>
      <c r="J139" s="64">
        <v>1091</v>
      </c>
    </row>
    <row r="140" spans="1:10" x14ac:dyDescent="0.25">
      <c r="A140" s="68">
        <v>408</v>
      </c>
      <c r="B140" s="23" t="s">
        <v>34</v>
      </c>
      <c r="C140" s="23" t="s">
        <v>18</v>
      </c>
      <c r="D140" s="23" t="s">
        <v>19</v>
      </c>
      <c r="E140" s="23">
        <v>8765432</v>
      </c>
      <c r="F140" s="36">
        <v>25688</v>
      </c>
      <c r="G140" s="16">
        <v>3288001000</v>
      </c>
      <c r="H140" t="s">
        <v>183</v>
      </c>
      <c r="I140" t="s">
        <v>644</v>
      </c>
      <c r="J140" s="64">
        <v>1154</v>
      </c>
    </row>
    <row r="141" spans="1:10" x14ac:dyDescent="0.25">
      <c r="A141" s="68">
        <v>410</v>
      </c>
      <c r="B141" s="23" t="s">
        <v>6</v>
      </c>
      <c r="C141" s="23" t="s">
        <v>36</v>
      </c>
      <c r="D141" s="23" t="s">
        <v>43</v>
      </c>
      <c r="F141" s="36">
        <v>25688</v>
      </c>
      <c r="G141" s="16">
        <v>3116001000</v>
      </c>
      <c r="H141" t="s">
        <v>188</v>
      </c>
      <c r="I141" t="s">
        <v>644</v>
      </c>
      <c r="J141" s="40">
        <v>1202.5</v>
      </c>
    </row>
    <row r="142" spans="1:10" x14ac:dyDescent="0.25">
      <c r="A142" s="68">
        <v>411</v>
      </c>
      <c r="B142" s="23" t="s">
        <v>6</v>
      </c>
      <c r="C142" s="23" t="s">
        <v>12</v>
      </c>
      <c r="D142" s="23" t="s">
        <v>13</v>
      </c>
      <c r="E142" s="23" t="s">
        <v>259</v>
      </c>
      <c r="F142" s="36">
        <v>25688</v>
      </c>
      <c r="G142" s="16">
        <v>1068016000</v>
      </c>
      <c r="H142" t="s">
        <v>260</v>
      </c>
      <c r="I142" t="s">
        <v>644</v>
      </c>
      <c r="J142" s="64">
        <v>1091</v>
      </c>
    </row>
    <row r="143" spans="1:10" x14ac:dyDescent="0.25">
      <c r="A143" s="68">
        <v>412</v>
      </c>
      <c r="B143" s="23" t="s">
        <v>6</v>
      </c>
      <c r="C143" s="23" t="s">
        <v>7</v>
      </c>
      <c r="F143" s="36">
        <v>42210</v>
      </c>
      <c r="G143" s="16">
        <v>371001000</v>
      </c>
      <c r="H143" t="s">
        <v>261</v>
      </c>
      <c r="I143" t="s">
        <v>644</v>
      </c>
      <c r="J143" s="64">
        <v>1212</v>
      </c>
    </row>
    <row r="144" spans="1:10" x14ac:dyDescent="0.25">
      <c r="A144" s="68">
        <v>413</v>
      </c>
      <c r="B144" s="23" t="s">
        <v>6</v>
      </c>
      <c r="C144" s="23" t="s">
        <v>12</v>
      </c>
      <c r="D144" s="23" t="s">
        <v>13</v>
      </c>
      <c r="F144" s="36">
        <v>25688</v>
      </c>
      <c r="G144" s="16">
        <v>3328001000</v>
      </c>
      <c r="H144" t="s">
        <v>187</v>
      </c>
      <c r="I144" t="s">
        <v>643</v>
      </c>
      <c r="J144" s="64">
        <v>1091</v>
      </c>
    </row>
    <row r="145" spans="1:10" x14ac:dyDescent="0.25">
      <c r="A145" s="68">
        <v>415</v>
      </c>
      <c r="B145" s="23" t="s">
        <v>34</v>
      </c>
      <c r="C145" s="23" t="s">
        <v>7</v>
      </c>
      <c r="D145" s="23" t="s">
        <v>11</v>
      </c>
      <c r="E145" s="23">
        <v>1</v>
      </c>
      <c r="F145" s="36">
        <v>25688</v>
      </c>
      <c r="G145" s="16">
        <v>3288001000</v>
      </c>
      <c r="H145" t="s">
        <v>183</v>
      </c>
      <c r="I145" t="s">
        <v>644</v>
      </c>
      <c r="J145" s="64">
        <v>309.5</v>
      </c>
    </row>
    <row r="146" spans="1:10" x14ac:dyDescent="0.25">
      <c r="A146" s="68">
        <v>416</v>
      </c>
      <c r="B146" s="23" t="s">
        <v>10</v>
      </c>
      <c r="C146" s="23" t="s">
        <v>18</v>
      </c>
      <c r="D146" s="23" t="s">
        <v>19</v>
      </c>
      <c r="F146" s="36">
        <v>25688</v>
      </c>
      <c r="G146" s="16">
        <v>3317001000</v>
      </c>
      <c r="H146" t="s">
        <v>262</v>
      </c>
      <c r="I146" t="s">
        <v>644</v>
      </c>
      <c r="J146" s="64">
        <v>1154</v>
      </c>
    </row>
    <row r="147" spans="1:10" x14ac:dyDescent="0.25">
      <c r="A147" s="68">
        <v>420</v>
      </c>
      <c r="B147" s="23" t="s">
        <v>6</v>
      </c>
      <c r="C147" s="23" t="s">
        <v>7</v>
      </c>
      <c r="D147" s="23" t="s">
        <v>14</v>
      </c>
      <c r="E147" s="23">
        <v>12203</v>
      </c>
      <c r="F147" s="36">
        <v>25688</v>
      </c>
      <c r="G147" s="16">
        <v>3042119000</v>
      </c>
      <c r="H147" t="s">
        <v>263</v>
      </c>
      <c r="I147" t="s">
        <v>643</v>
      </c>
      <c r="J147" s="64">
        <v>1212</v>
      </c>
    </row>
    <row r="148" spans="1:10" x14ac:dyDescent="0.25">
      <c r="A148" s="68">
        <v>421</v>
      </c>
      <c r="B148" s="23" t="s">
        <v>6</v>
      </c>
      <c r="C148" s="23" t="s">
        <v>18</v>
      </c>
      <c r="D148" s="23">
        <v>2812</v>
      </c>
      <c r="E148" s="23">
        <v>16195</v>
      </c>
      <c r="F148" s="36">
        <v>25688</v>
      </c>
      <c r="G148" s="16">
        <v>1068013000</v>
      </c>
      <c r="H148" t="s">
        <v>264</v>
      </c>
      <c r="I148" t="s">
        <v>644</v>
      </c>
      <c r="J148" s="64">
        <v>921</v>
      </c>
    </row>
    <row r="149" spans="1:10" x14ac:dyDescent="0.25">
      <c r="A149" s="68">
        <v>423</v>
      </c>
      <c r="B149" s="23" t="s">
        <v>10</v>
      </c>
      <c r="C149" s="23" t="s">
        <v>7</v>
      </c>
      <c r="D149" s="23" t="s">
        <v>11</v>
      </c>
      <c r="E149" s="23">
        <v>1564</v>
      </c>
      <c r="F149" s="36">
        <v>25688</v>
      </c>
      <c r="G149" s="16">
        <v>1165000000</v>
      </c>
      <c r="H149" t="s">
        <v>184</v>
      </c>
      <c r="I149" t="s">
        <v>644</v>
      </c>
      <c r="J149" s="64">
        <v>309.5</v>
      </c>
    </row>
    <row r="150" spans="1:10" x14ac:dyDescent="0.25">
      <c r="A150" s="68">
        <v>426</v>
      </c>
      <c r="B150" s="23" t="s">
        <v>34</v>
      </c>
      <c r="C150" s="23" t="s">
        <v>7</v>
      </c>
      <c r="D150" s="23" t="s">
        <v>11</v>
      </c>
      <c r="F150" s="36">
        <v>25688</v>
      </c>
      <c r="G150" s="16">
        <v>66031000</v>
      </c>
      <c r="H150" t="s">
        <v>185</v>
      </c>
      <c r="I150" t="s">
        <v>644</v>
      </c>
      <c r="J150" s="64">
        <v>309.5</v>
      </c>
    </row>
    <row r="151" spans="1:10" x14ac:dyDescent="0.25">
      <c r="A151" s="68">
        <v>428</v>
      </c>
      <c r="B151" s="23" t="s">
        <v>10</v>
      </c>
      <c r="C151" s="23" t="s">
        <v>18</v>
      </c>
      <c r="D151" s="23" t="s">
        <v>19</v>
      </c>
      <c r="E151" s="23">
        <v>543</v>
      </c>
      <c r="F151" s="36">
        <v>25688</v>
      </c>
      <c r="G151" s="16">
        <v>193012000</v>
      </c>
      <c r="H151" t="s">
        <v>200</v>
      </c>
      <c r="I151" t="s">
        <v>644</v>
      </c>
      <c r="J151" s="64">
        <v>1154</v>
      </c>
    </row>
    <row r="152" spans="1:10" x14ac:dyDescent="0.25">
      <c r="A152" s="68">
        <v>433</v>
      </c>
      <c r="B152" s="23" t="s">
        <v>10</v>
      </c>
      <c r="C152" s="23" t="s">
        <v>18</v>
      </c>
      <c r="D152" s="23" t="s">
        <v>19</v>
      </c>
      <c r="E152" s="23">
        <v>23456789</v>
      </c>
      <c r="F152" s="36">
        <v>25688</v>
      </c>
      <c r="G152" s="16">
        <v>2916001000</v>
      </c>
      <c r="H152" t="s">
        <v>265</v>
      </c>
      <c r="I152" t="s">
        <v>644</v>
      </c>
      <c r="J152" s="64">
        <v>1154</v>
      </c>
    </row>
    <row r="153" spans="1:10" x14ac:dyDescent="0.25">
      <c r="A153" s="68">
        <v>435</v>
      </c>
      <c r="B153" s="23" t="s">
        <v>6</v>
      </c>
      <c r="C153" s="23" t="s">
        <v>7</v>
      </c>
      <c r="D153" s="23" t="s">
        <v>14</v>
      </c>
      <c r="F153" s="36">
        <v>25688</v>
      </c>
      <c r="G153" s="16">
        <v>3219002000</v>
      </c>
      <c r="H153" t="s">
        <v>266</v>
      </c>
      <c r="I153" t="s">
        <v>644</v>
      </c>
      <c r="J153" s="64">
        <v>1212</v>
      </c>
    </row>
    <row r="154" spans="1:10" x14ac:dyDescent="0.25">
      <c r="A154" s="68">
        <v>436</v>
      </c>
      <c r="B154" s="23" t="s">
        <v>6</v>
      </c>
      <c r="C154" s="23" t="s">
        <v>18</v>
      </c>
      <c r="D154" s="23">
        <v>2812</v>
      </c>
      <c r="E154" s="23">
        <v>19490</v>
      </c>
      <c r="F154" s="36">
        <v>25688</v>
      </c>
      <c r="G154" s="16">
        <v>1165000000</v>
      </c>
      <c r="H154" t="s">
        <v>184</v>
      </c>
      <c r="I154" t="s">
        <v>644</v>
      </c>
      <c r="J154" s="64">
        <v>921</v>
      </c>
    </row>
    <row r="155" spans="1:10" x14ac:dyDescent="0.25">
      <c r="A155" s="68">
        <v>437</v>
      </c>
      <c r="B155" s="23" t="s">
        <v>10</v>
      </c>
      <c r="C155" s="23" t="s">
        <v>7</v>
      </c>
      <c r="D155" s="23" t="s">
        <v>11</v>
      </c>
      <c r="E155" s="23">
        <v>673</v>
      </c>
      <c r="F155" s="36">
        <v>25688</v>
      </c>
      <c r="G155" s="16">
        <v>1014002</v>
      </c>
      <c r="H155" t="s">
        <v>191</v>
      </c>
      <c r="J155" s="64">
        <v>309.5</v>
      </c>
    </row>
    <row r="156" spans="1:10" x14ac:dyDescent="0.25">
      <c r="A156" s="68">
        <v>438</v>
      </c>
      <c r="B156" s="23" t="s">
        <v>6</v>
      </c>
      <c r="C156" s="23" t="s">
        <v>12</v>
      </c>
      <c r="D156" s="23" t="s">
        <v>13</v>
      </c>
      <c r="F156" s="36">
        <v>25688</v>
      </c>
      <c r="G156" s="16">
        <v>3207001000</v>
      </c>
      <c r="H156" t="s">
        <v>176</v>
      </c>
      <c r="I156" t="s">
        <v>644</v>
      </c>
      <c r="J156" s="64">
        <v>1091</v>
      </c>
    </row>
    <row r="157" spans="1:10" x14ac:dyDescent="0.25">
      <c r="A157" s="68">
        <v>440</v>
      </c>
      <c r="B157" s="23" t="s">
        <v>6</v>
      </c>
      <c r="C157" s="23" t="s">
        <v>18</v>
      </c>
      <c r="D157" s="23">
        <v>2812</v>
      </c>
      <c r="E157" s="23">
        <v>19449</v>
      </c>
      <c r="F157" s="36">
        <v>25688</v>
      </c>
      <c r="G157" s="16">
        <v>2173001000</v>
      </c>
      <c r="H157" t="s">
        <v>267</v>
      </c>
      <c r="I157" t="s">
        <v>644</v>
      </c>
      <c r="J157" s="64">
        <v>921</v>
      </c>
    </row>
    <row r="158" spans="1:10" x14ac:dyDescent="0.25">
      <c r="A158" s="68">
        <v>442</v>
      </c>
      <c r="B158" s="23" t="s">
        <v>10</v>
      </c>
      <c r="C158" s="23" t="s">
        <v>7</v>
      </c>
      <c r="D158" s="23" t="s">
        <v>11</v>
      </c>
      <c r="E158" s="23">
        <v>675</v>
      </c>
      <c r="F158" s="36">
        <v>25688</v>
      </c>
      <c r="G158" s="16">
        <v>157005000</v>
      </c>
      <c r="H158" t="s">
        <v>268</v>
      </c>
      <c r="I158" t="s">
        <v>644</v>
      </c>
      <c r="J158" s="64">
        <v>309.5</v>
      </c>
    </row>
    <row r="159" spans="1:10" x14ac:dyDescent="0.25">
      <c r="A159" s="68">
        <v>445</v>
      </c>
      <c r="B159" s="23" t="s">
        <v>6</v>
      </c>
      <c r="C159" s="23" t="s">
        <v>12</v>
      </c>
      <c r="D159" s="23" t="s">
        <v>13</v>
      </c>
      <c r="E159" s="23">
        <v>115328</v>
      </c>
      <c r="F159" s="36">
        <v>25688</v>
      </c>
      <c r="G159" s="16">
        <v>3234003000</v>
      </c>
      <c r="H159" t="s">
        <v>269</v>
      </c>
      <c r="I159" t="s">
        <v>644</v>
      </c>
      <c r="J159" s="64">
        <v>1091</v>
      </c>
    </row>
    <row r="160" spans="1:10" x14ac:dyDescent="0.25">
      <c r="A160" s="68">
        <v>446</v>
      </c>
      <c r="B160" s="23" t="s">
        <v>6</v>
      </c>
      <c r="C160" s="23" t="s">
        <v>7</v>
      </c>
      <c r="D160" s="23" t="s">
        <v>14</v>
      </c>
      <c r="E160" s="23">
        <v>12191</v>
      </c>
      <c r="F160" s="36">
        <v>25688</v>
      </c>
      <c r="G160" s="16">
        <v>3042127004</v>
      </c>
      <c r="H160" t="s">
        <v>270</v>
      </c>
      <c r="I160" t="s">
        <v>643</v>
      </c>
      <c r="J160" s="64">
        <v>1212</v>
      </c>
    </row>
    <row r="161" spans="1:10" x14ac:dyDescent="0.25">
      <c r="A161" s="68">
        <v>447</v>
      </c>
      <c r="B161" s="23" t="s">
        <v>10</v>
      </c>
      <c r="C161" s="23" t="s">
        <v>18</v>
      </c>
      <c r="D161" s="23" t="s">
        <v>19</v>
      </c>
      <c r="E161" s="23">
        <v>987654</v>
      </c>
      <c r="F161" s="36">
        <v>25688</v>
      </c>
      <c r="G161" s="16">
        <v>66031000</v>
      </c>
      <c r="H161" t="s">
        <v>185</v>
      </c>
      <c r="I161" t="s">
        <v>644</v>
      </c>
      <c r="J161" s="64">
        <v>1154</v>
      </c>
    </row>
    <row r="162" spans="1:10" x14ac:dyDescent="0.25">
      <c r="A162" s="68">
        <v>451</v>
      </c>
      <c r="B162" s="23" t="s">
        <v>34</v>
      </c>
      <c r="C162" s="23" t="s">
        <v>7</v>
      </c>
      <c r="D162" s="23" t="s">
        <v>11</v>
      </c>
      <c r="E162" s="23">
        <v>2175</v>
      </c>
      <c r="F162" s="36">
        <v>25688</v>
      </c>
      <c r="G162" s="16">
        <v>1817001000</v>
      </c>
      <c r="H162" t="s">
        <v>271</v>
      </c>
      <c r="I162" t="s">
        <v>644</v>
      </c>
      <c r="J162" s="64">
        <v>309.5</v>
      </c>
    </row>
    <row r="163" spans="1:10" x14ac:dyDescent="0.25">
      <c r="A163" s="68">
        <v>452</v>
      </c>
      <c r="B163" s="23" t="s">
        <v>6</v>
      </c>
      <c r="C163" s="23" t="s">
        <v>32</v>
      </c>
      <c r="D163" s="23" t="s">
        <v>103</v>
      </c>
      <c r="E163" s="23">
        <v>415</v>
      </c>
      <c r="F163" s="36">
        <v>36770</v>
      </c>
      <c r="G163" s="16">
        <v>953011000</v>
      </c>
      <c r="H163" t="s">
        <v>272</v>
      </c>
      <c r="I163" t="s">
        <v>644</v>
      </c>
      <c r="J163" s="40">
        <v>1107.5</v>
      </c>
    </row>
    <row r="164" spans="1:10" x14ac:dyDescent="0.25">
      <c r="A164" s="68">
        <v>453</v>
      </c>
      <c r="B164" s="23" t="s">
        <v>6</v>
      </c>
      <c r="C164" s="23" t="s">
        <v>7</v>
      </c>
      <c r="D164" s="23" t="s">
        <v>14</v>
      </c>
      <c r="E164" s="23">
        <v>13741</v>
      </c>
      <c r="F164" s="36">
        <v>25688</v>
      </c>
      <c r="G164" s="16">
        <v>2126001000</v>
      </c>
      <c r="H164" t="s">
        <v>180</v>
      </c>
      <c r="I164" t="s">
        <v>644</v>
      </c>
      <c r="J164" s="64">
        <v>1212</v>
      </c>
    </row>
    <row r="165" spans="1:10" x14ac:dyDescent="0.25">
      <c r="A165" s="68">
        <v>456</v>
      </c>
      <c r="B165" s="23" t="s">
        <v>6</v>
      </c>
      <c r="C165" s="23" t="s">
        <v>12</v>
      </c>
      <c r="D165" s="23" t="s">
        <v>13</v>
      </c>
      <c r="F165" s="36">
        <v>25688</v>
      </c>
      <c r="G165" s="16">
        <v>193012000</v>
      </c>
      <c r="H165" t="s">
        <v>200</v>
      </c>
      <c r="I165" t="s">
        <v>644</v>
      </c>
      <c r="J165" s="64">
        <v>1091</v>
      </c>
    </row>
    <row r="166" spans="1:10" x14ac:dyDescent="0.25">
      <c r="A166" s="68">
        <v>457</v>
      </c>
      <c r="B166" s="23" t="s">
        <v>34</v>
      </c>
      <c r="C166" s="23" t="s">
        <v>18</v>
      </c>
      <c r="D166" s="23" t="s">
        <v>19</v>
      </c>
      <c r="E166" s="23">
        <v>45678</v>
      </c>
      <c r="F166" s="36">
        <v>25688</v>
      </c>
      <c r="G166" s="16">
        <v>66011000</v>
      </c>
      <c r="H166" t="s">
        <v>166</v>
      </c>
      <c r="I166" t="s">
        <v>644</v>
      </c>
      <c r="J166" s="64">
        <v>1154</v>
      </c>
    </row>
    <row r="167" spans="1:10" x14ac:dyDescent="0.25">
      <c r="A167" s="68">
        <v>460</v>
      </c>
      <c r="B167" s="23" t="s">
        <v>34</v>
      </c>
      <c r="C167" s="23" t="s">
        <v>7</v>
      </c>
      <c r="D167" s="23" t="s">
        <v>11</v>
      </c>
      <c r="E167" s="23">
        <v>10511</v>
      </c>
      <c r="F167" s="36">
        <v>25688</v>
      </c>
      <c r="G167" s="16">
        <v>1967012000</v>
      </c>
      <c r="H167" t="s">
        <v>273</v>
      </c>
      <c r="I167" t="s">
        <v>644</v>
      </c>
      <c r="J167" s="64">
        <v>309.5</v>
      </c>
    </row>
    <row r="168" spans="1:10" x14ac:dyDescent="0.25">
      <c r="A168" s="68">
        <v>463</v>
      </c>
      <c r="B168" s="23" t="s">
        <v>10</v>
      </c>
      <c r="C168" s="23" t="s">
        <v>7</v>
      </c>
      <c r="D168" s="23" t="s">
        <v>11</v>
      </c>
      <c r="E168" s="23">
        <v>1087</v>
      </c>
      <c r="F168" s="36">
        <v>25688</v>
      </c>
      <c r="G168" s="16">
        <v>1068010000</v>
      </c>
      <c r="H168" t="s">
        <v>274</v>
      </c>
      <c r="I168" t="s">
        <v>644</v>
      </c>
      <c r="J168" s="64">
        <v>309.5</v>
      </c>
    </row>
    <row r="169" spans="1:10" x14ac:dyDescent="0.25">
      <c r="A169" s="68">
        <v>465</v>
      </c>
      <c r="B169" s="23" t="s">
        <v>6</v>
      </c>
      <c r="C169" s="23" t="s">
        <v>7</v>
      </c>
      <c r="D169" s="23" t="s">
        <v>14</v>
      </c>
      <c r="E169" s="23">
        <v>4093</v>
      </c>
      <c r="F169" s="36">
        <v>25688</v>
      </c>
      <c r="G169" s="16">
        <v>2886002000</v>
      </c>
      <c r="H169" t="s">
        <v>275</v>
      </c>
      <c r="I169" t="s">
        <v>644</v>
      </c>
      <c r="J169" s="64">
        <v>1212</v>
      </c>
    </row>
    <row r="170" spans="1:10" x14ac:dyDescent="0.25">
      <c r="A170" s="68">
        <v>469</v>
      </c>
      <c r="B170" s="23" t="s">
        <v>6</v>
      </c>
      <c r="C170" s="23" t="s">
        <v>36</v>
      </c>
      <c r="D170" s="23" t="s">
        <v>43</v>
      </c>
      <c r="F170" s="36">
        <v>25688</v>
      </c>
      <c r="G170" s="16">
        <v>1165066000</v>
      </c>
      <c r="H170" t="s">
        <v>276</v>
      </c>
      <c r="I170" t="s">
        <v>644</v>
      </c>
      <c r="J170" s="40">
        <v>1202.5</v>
      </c>
    </row>
    <row r="171" spans="1:10" x14ac:dyDescent="0.25">
      <c r="A171" s="68">
        <v>470</v>
      </c>
      <c r="B171" s="23" t="s">
        <v>10</v>
      </c>
      <c r="C171" s="23" t="s">
        <v>18</v>
      </c>
      <c r="D171" s="23" t="s">
        <v>19</v>
      </c>
      <c r="E171" s="23">
        <v>87654</v>
      </c>
      <c r="F171" s="36">
        <v>25688</v>
      </c>
      <c r="G171" s="16">
        <v>43001000</v>
      </c>
      <c r="H171" t="s">
        <v>173</v>
      </c>
      <c r="I171" t="s">
        <v>644</v>
      </c>
      <c r="J171" s="64">
        <v>1154</v>
      </c>
    </row>
    <row r="172" spans="1:10" x14ac:dyDescent="0.25">
      <c r="A172" s="68">
        <v>471</v>
      </c>
      <c r="B172" s="23" t="s">
        <v>6</v>
      </c>
      <c r="C172" s="23" t="s">
        <v>12</v>
      </c>
      <c r="D172" s="23" t="s">
        <v>13</v>
      </c>
      <c r="E172" s="23" t="s">
        <v>277</v>
      </c>
      <c r="F172" s="36">
        <v>25688</v>
      </c>
      <c r="G172" s="16">
        <v>66031000</v>
      </c>
      <c r="H172" t="s">
        <v>185</v>
      </c>
      <c r="I172" t="s">
        <v>644</v>
      </c>
      <c r="J172" s="64">
        <v>1091</v>
      </c>
    </row>
    <row r="173" spans="1:10" x14ac:dyDescent="0.25">
      <c r="A173" s="68">
        <v>474</v>
      </c>
      <c r="B173" s="23" t="s">
        <v>10</v>
      </c>
      <c r="C173" s="23" t="s">
        <v>7</v>
      </c>
      <c r="D173" s="23" t="s">
        <v>11</v>
      </c>
      <c r="E173" s="23">
        <v>7252</v>
      </c>
      <c r="F173" s="36">
        <v>28975</v>
      </c>
      <c r="G173" s="16">
        <v>3212001000</v>
      </c>
      <c r="H173" t="s">
        <v>278</v>
      </c>
      <c r="I173" t="s">
        <v>644</v>
      </c>
      <c r="J173" s="64">
        <v>309.5</v>
      </c>
    </row>
    <row r="174" spans="1:10" x14ac:dyDescent="0.25">
      <c r="A174" s="68">
        <v>483</v>
      </c>
      <c r="B174" s="23" t="s">
        <v>6</v>
      </c>
      <c r="C174" s="23" t="s">
        <v>36</v>
      </c>
      <c r="D174" s="23" t="s">
        <v>43</v>
      </c>
      <c r="F174" s="36">
        <v>25688</v>
      </c>
      <c r="G174" s="16">
        <v>1014001</v>
      </c>
      <c r="H174" t="s">
        <v>163</v>
      </c>
      <c r="J174" s="40">
        <v>1202.5</v>
      </c>
    </row>
    <row r="175" spans="1:10" x14ac:dyDescent="0.25">
      <c r="A175" s="68">
        <v>485</v>
      </c>
      <c r="B175" s="23" t="s">
        <v>6</v>
      </c>
      <c r="C175" s="23" t="s">
        <v>12</v>
      </c>
      <c r="D175" s="23" t="s">
        <v>13</v>
      </c>
      <c r="E175" s="23">
        <v>117557</v>
      </c>
      <c r="F175" s="36">
        <v>25688</v>
      </c>
      <c r="G175" s="16">
        <v>193012000</v>
      </c>
      <c r="H175" t="s">
        <v>200</v>
      </c>
      <c r="I175" t="s">
        <v>644</v>
      </c>
      <c r="J175" s="64">
        <v>1091</v>
      </c>
    </row>
    <row r="176" spans="1:10" x14ac:dyDescent="0.25">
      <c r="A176" s="68">
        <v>488</v>
      </c>
      <c r="B176" s="23" t="s">
        <v>6</v>
      </c>
      <c r="C176" s="23" t="s">
        <v>7</v>
      </c>
      <c r="D176" s="23" t="s">
        <v>14</v>
      </c>
      <c r="E176" s="23">
        <v>8178</v>
      </c>
      <c r="F176" s="36">
        <v>25688</v>
      </c>
      <c r="G176" s="16">
        <v>2814003000</v>
      </c>
      <c r="H176" t="s">
        <v>279</v>
      </c>
      <c r="I176" t="s">
        <v>644</v>
      </c>
      <c r="J176" s="64">
        <v>1212</v>
      </c>
    </row>
    <row r="177" spans="1:10" x14ac:dyDescent="0.25">
      <c r="A177" s="68">
        <v>489</v>
      </c>
      <c r="B177" s="23" t="s">
        <v>10</v>
      </c>
      <c r="C177" s="23" t="s">
        <v>18</v>
      </c>
      <c r="D177" s="23" t="s">
        <v>26</v>
      </c>
      <c r="F177" s="36">
        <v>25688</v>
      </c>
      <c r="G177" s="16">
        <v>153002000</v>
      </c>
      <c r="H177" t="s">
        <v>189</v>
      </c>
      <c r="I177" t="s">
        <v>644</v>
      </c>
      <c r="J177" s="64">
        <v>532</v>
      </c>
    </row>
    <row r="178" spans="1:10" ht="15.75" x14ac:dyDescent="0.25">
      <c r="A178" s="68">
        <v>493</v>
      </c>
      <c r="B178" s="23" t="s">
        <v>10</v>
      </c>
      <c r="C178" s="23" t="s">
        <v>7</v>
      </c>
      <c r="D178" s="23" t="s">
        <v>20</v>
      </c>
      <c r="E178" s="23">
        <v>10138</v>
      </c>
      <c r="F178" s="36">
        <v>25688</v>
      </c>
      <c r="G178" s="16">
        <v>1014001</v>
      </c>
      <c r="H178" t="s">
        <v>163</v>
      </c>
      <c r="J178" s="65">
        <v>461</v>
      </c>
    </row>
    <row r="179" spans="1:10" x14ac:dyDescent="0.25">
      <c r="A179" s="68">
        <v>494</v>
      </c>
      <c r="B179" s="23" t="s">
        <v>6</v>
      </c>
      <c r="C179" s="23" t="s">
        <v>7</v>
      </c>
      <c r="D179" s="23" t="s">
        <v>8</v>
      </c>
      <c r="E179" s="23">
        <v>8203</v>
      </c>
      <c r="F179" s="36">
        <v>25688</v>
      </c>
      <c r="G179" s="16">
        <v>1967012000</v>
      </c>
      <c r="H179" t="s">
        <v>273</v>
      </c>
      <c r="I179" t="s">
        <v>644</v>
      </c>
      <c r="J179" s="64">
        <v>1212</v>
      </c>
    </row>
    <row r="180" spans="1:10" x14ac:dyDescent="0.25">
      <c r="A180" s="68">
        <v>497</v>
      </c>
      <c r="B180" s="23" t="s">
        <v>34</v>
      </c>
      <c r="C180" s="23" t="s">
        <v>18</v>
      </c>
      <c r="D180" s="23" t="s">
        <v>19</v>
      </c>
      <c r="E180" s="23">
        <v>18395</v>
      </c>
      <c r="F180" s="36">
        <v>25688</v>
      </c>
      <c r="G180" s="16">
        <v>3119003000</v>
      </c>
      <c r="H180" t="s">
        <v>280</v>
      </c>
      <c r="I180" t="s">
        <v>644</v>
      </c>
      <c r="J180" s="64">
        <v>1154</v>
      </c>
    </row>
    <row r="181" spans="1:10" x14ac:dyDescent="0.25">
      <c r="A181" s="68">
        <v>498</v>
      </c>
      <c r="B181" s="23" t="s">
        <v>10</v>
      </c>
      <c r="C181" s="23" t="s">
        <v>7</v>
      </c>
      <c r="D181" s="23" t="s">
        <v>11</v>
      </c>
      <c r="E181" s="23">
        <v>3</v>
      </c>
      <c r="F181" s="36">
        <v>25688</v>
      </c>
      <c r="G181" s="16">
        <v>165001000</v>
      </c>
      <c r="H181" t="s">
        <v>198</v>
      </c>
      <c r="I181" t="s">
        <v>644</v>
      </c>
      <c r="J181" s="64">
        <v>309.5</v>
      </c>
    </row>
    <row r="182" spans="1:10" x14ac:dyDescent="0.25">
      <c r="A182" s="68">
        <v>507</v>
      </c>
      <c r="B182" s="23" t="s">
        <v>10</v>
      </c>
      <c r="C182" s="23" t="s">
        <v>7</v>
      </c>
      <c r="D182" s="23" t="s">
        <v>11</v>
      </c>
      <c r="E182" s="23">
        <v>1375</v>
      </c>
      <c r="F182" s="36">
        <v>25688</v>
      </c>
      <c r="G182" s="16">
        <v>3042104001</v>
      </c>
      <c r="H182" t="s">
        <v>186</v>
      </c>
      <c r="I182" t="s">
        <v>643</v>
      </c>
      <c r="J182" s="64">
        <v>309.5</v>
      </c>
    </row>
    <row r="183" spans="1:10" x14ac:dyDescent="0.25">
      <c r="A183" s="68">
        <v>509</v>
      </c>
      <c r="B183" s="23" t="s">
        <v>10</v>
      </c>
      <c r="C183" s="23" t="s">
        <v>18</v>
      </c>
      <c r="D183" s="23" t="s">
        <v>19</v>
      </c>
      <c r="E183" s="23">
        <v>12345</v>
      </c>
      <c r="F183" s="36">
        <v>25688</v>
      </c>
      <c r="G183" s="16">
        <v>2995001000</v>
      </c>
      <c r="H183" t="s">
        <v>281</v>
      </c>
      <c r="I183" t="s">
        <v>644</v>
      </c>
      <c r="J183" s="64">
        <v>1154</v>
      </c>
    </row>
    <row r="184" spans="1:10" x14ac:dyDescent="0.25">
      <c r="A184" s="68">
        <v>511</v>
      </c>
      <c r="B184" s="23" t="s">
        <v>6</v>
      </c>
      <c r="C184" s="23" t="s">
        <v>36</v>
      </c>
      <c r="D184" s="23" t="s">
        <v>43</v>
      </c>
      <c r="F184" s="36">
        <v>25688</v>
      </c>
      <c r="G184" s="16">
        <v>3319002000</v>
      </c>
      <c r="H184" t="s">
        <v>224</v>
      </c>
      <c r="I184" t="s">
        <v>644</v>
      </c>
      <c r="J184" s="40">
        <v>1202.5</v>
      </c>
    </row>
    <row r="185" spans="1:10" x14ac:dyDescent="0.25">
      <c r="A185" s="68">
        <v>512</v>
      </c>
      <c r="B185" s="23" t="s">
        <v>34</v>
      </c>
      <c r="C185" s="23" t="s">
        <v>7</v>
      </c>
      <c r="D185" s="23" t="s">
        <v>11</v>
      </c>
      <c r="E185" s="23">
        <v>7483</v>
      </c>
      <c r="F185" s="36">
        <v>25688</v>
      </c>
      <c r="G185" s="16">
        <v>1967007000</v>
      </c>
      <c r="H185" t="s">
        <v>282</v>
      </c>
      <c r="I185" t="s">
        <v>644</v>
      </c>
      <c r="J185" s="64">
        <v>309.5</v>
      </c>
    </row>
    <row r="186" spans="1:10" x14ac:dyDescent="0.25">
      <c r="A186" s="68">
        <v>515</v>
      </c>
      <c r="B186" s="23" t="s">
        <v>10</v>
      </c>
      <c r="C186" s="23" t="s">
        <v>7</v>
      </c>
      <c r="D186" s="23" t="s">
        <v>11</v>
      </c>
      <c r="E186" s="23">
        <v>5</v>
      </c>
      <c r="F186" s="36">
        <v>25688</v>
      </c>
      <c r="G186" s="16">
        <v>3178003000</v>
      </c>
      <c r="H186" t="s">
        <v>283</v>
      </c>
      <c r="I186" t="s">
        <v>644</v>
      </c>
      <c r="J186" s="64">
        <v>309.5</v>
      </c>
    </row>
    <row r="187" spans="1:10" x14ac:dyDescent="0.25">
      <c r="A187" s="68">
        <v>516</v>
      </c>
      <c r="B187" s="23" t="s">
        <v>6</v>
      </c>
      <c r="C187" s="23" t="s">
        <v>7</v>
      </c>
      <c r="D187" s="23" t="s">
        <v>8</v>
      </c>
      <c r="E187" s="23">
        <v>13683</v>
      </c>
      <c r="F187" s="36">
        <v>25688</v>
      </c>
      <c r="G187" s="16">
        <v>1014001</v>
      </c>
      <c r="H187" t="s">
        <v>163</v>
      </c>
      <c r="J187" s="64">
        <v>1212</v>
      </c>
    </row>
    <row r="188" spans="1:10" x14ac:dyDescent="0.25">
      <c r="A188" s="68">
        <v>518</v>
      </c>
      <c r="B188" s="23" t="s">
        <v>10</v>
      </c>
      <c r="C188" s="23" t="s">
        <v>18</v>
      </c>
      <c r="D188" s="23" t="s">
        <v>39</v>
      </c>
      <c r="F188" s="36">
        <v>25688</v>
      </c>
      <c r="G188" s="16">
        <v>2994001000</v>
      </c>
      <c r="H188" t="s">
        <v>284</v>
      </c>
      <c r="I188" t="s">
        <v>644</v>
      </c>
      <c r="J188" s="64">
        <v>318.5</v>
      </c>
    </row>
    <row r="189" spans="1:10" x14ac:dyDescent="0.25">
      <c r="A189" s="68">
        <v>519</v>
      </c>
      <c r="B189" s="23" t="s">
        <v>6</v>
      </c>
      <c r="C189" s="23" t="s">
        <v>7</v>
      </c>
      <c r="D189" s="23" t="s">
        <v>14</v>
      </c>
      <c r="E189" s="23">
        <v>13737</v>
      </c>
      <c r="F189" s="36">
        <v>25688</v>
      </c>
      <c r="G189" s="16">
        <v>2126010000</v>
      </c>
      <c r="H189" t="s">
        <v>285</v>
      </c>
      <c r="I189" t="s">
        <v>644</v>
      </c>
      <c r="J189" s="64">
        <v>1212</v>
      </c>
    </row>
    <row r="190" spans="1:10" x14ac:dyDescent="0.25">
      <c r="A190" s="68">
        <v>520</v>
      </c>
      <c r="B190" s="23" t="s">
        <v>10</v>
      </c>
      <c r="C190" s="23" t="s">
        <v>12</v>
      </c>
      <c r="D190" s="23" t="s">
        <v>90</v>
      </c>
      <c r="F190" s="36">
        <v>25688</v>
      </c>
      <c r="G190" s="16">
        <v>66035000</v>
      </c>
      <c r="H190" t="s">
        <v>242</v>
      </c>
      <c r="I190" t="s">
        <v>644</v>
      </c>
      <c r="J190" s="64">
        <v>629</v>
      </c>
    </row>
    <row r="191" spans="1:10" x14ac:dyDescent="0.25">
      <c r="A191" s="68">
        <v>522</v>
      </c>
      <c r="B191" s="23" t="s">
        <v>6</v>
      </c>
      <c r="C191" s="23" t="s">
        <v>7</v>
      </c>
      <c r="D191" s="23" t="s">
        <v>14</v>
      </c>
      <c r="E191" s="23">
        <v>8173</v>
      </c>
      <c r="F191" s="36">
        <v>25688</v>
      </c>
      <c r="G191" s="16">
        <v>2548068000</v>
      </c>
      <c r="H191" t="s">
        <v>286</v>
      </c>
      <c r="I191" t="s">
        <v>644</v>
      </c>
      <c r="J191" s="64">
        <v>1212</v>
      </c>
    </row>
    <row r="192" spans="1:10" ht="15.75" x14ac:dyDescent="0.25">
      <c r="A192" s="68">
        <v>528</v>
      </c>
      <c r="B192" s="23" t="s">
        <v>10</v>
      </c>
      <c r="C192" s="23" t="s">
        <v>7</v>
      </c>
      <c r="D192" s="23" t="s">
        <v>20</v>
      </c>
      <c r="E192" s="23">
        <v>10124</v>
      </c>
      <c r="F192" s="36">
        <v>25688</v>
      </c>
      <c r="G192" s="16">
        <v>2554001000</v>
      </c>
      <c r="H192" t="s">
        <v>287</v>
      </c>
      <c r="I192" t="s">
        <v>644</v>
      </c>
      <c r="J192" s="65">
        <v>461</v>
      </c>
    </row>
    <row r="193" spans="1:10" ht="15.75" x14ac:dyDescent="0.25">
      <c r="A193" s="68">
        <v>530</v>
      </c>
      <c r="B193" s="23" t="s">
        <v>10</v>
      </c>
      <c r="C193" s="23" t="s">
        <v>7</v>
      </c>
      <c r="D193" s="23" t="s">
        <v>20</v>
      </c>
      <c r="E193" s="23">
        <v>13615</v>
      </c>
      <c r="F193" s="36">
        <v>25688</v>
      </c>
      <c r="G193" s="16">
        <v>2548010000</v>
      </c>
      <c r="H193" t="s">
        <v>288</v>
      </c>
      <c r="I193" t="s">
        <v>644</v>
      </c>
      <c r="J193" s="65">
        <v>461</v>
      </c>
    </row>
    <row r="194" spans="1:10" x14ac:dyDescent="0.25">
      <c r="A194" s="68">
        <v>531</v>
      </c>
      <c r="B194" s="23" t="s">
        <v>10</v>
      </c>
      <c r="C194" s="23" t="s">
        <v>7</v>
      </c>
      <c r="D194" s="23" t="s">
        <v>11</v>
      </c>
      <c r="E194" s="23">
        <v>600</v>
      </c>
      <c r="F194" s="36">
        <v>25688</v>
      </c>
      <c r="G194" s="16">
        <v>2514001000</v>
      </c>
      <c r="H194" t="s">
        <v>289</v>
      </c>
      <c r="I194" t="s">
        <v>644</v>
      </c>
      <c r="J194" s="64">
        <v>309.5</v>
      </c>
    </row>
    <row r="195" spans="1:10" x14ac:dyDescent="0.25">
      <c r="A195" s="68">
        <v>536</v>
      </c>
      <c r="B195" s="23" t="s">
        <v>6</v>
      </c>
      <c r="C195" s="23" t="s">
        <v>18</v>
      </c>
      <c r="D195" s="23">
        <v>2815</v>
      </c>
      <c r="E195" s="23">
        <v>20298</v>
      </c>
      <c r="F195" s="36">
        <v>25688</v>
      </c>
      <c r="G195" s="16">
        <v>1925001000</v>
      </c>
      <c r="H195" t="s">
        <v>290</v>
      </c>
      <c r="I195" t="s">
        <v>644</v>
      </c>
      <c r="J195" s="64">
        <v>1154</v>
      </c>
    </row>
    <row r="196" spans="1:10" x14ac:dyDescent="0.25">
      <c r="A196" s="68">
        <v>537</v>
      </c>
      <c r="B196" s="23" t="s">
        <v>6</v>
      </c>
      <c r="C196" s="23" t="s">
        <v>12</v>
      </c>
      <c r="D196" s="23" t="s">
        <v>91</v>
      </c>
      <c r="F196" s="36">
        <v>25688</v>
      </c>
      <c r="G196" s="16">
        <v>61007000</v>
      </c>
      <c r="H196" t="s">
        <v>291</v>
      </c>
      <c r="I196" t="s">
        <v>644</v>
      </c>
      <c r="J196" s="64">
        <v>1176</v>
      </c>
    </row>
    <row r="197" spans="1:10" x14ac:dyDescent="0.25">
      <c r="A197" s="68">
        <v>539</v>
      </c>
      <c r="B197" s="23" t="s">
        <v>6</v>
      </c>
      <c r="C197" s="23" t="s">
        <v>7</v>
      </c>
      <c r="D197" s="23" t="s">
        <v>8</v>
      </c>
      <c r="E197" s="23">
        <v>4100</v>
      </c>
      <c r="F197" s="36">
        <v>25688</v>
      </c>
      <c r="G197" s="16">
        <v>157004000</v>
      </c>
      <c r="H197" t="s">
        <v>292</v>
      </c>
      <c r="I197" t="s">
        <v>644</v>
      </c>
      <c r="J197" s="64">
        <v>1212</v>
      </c>
    </row>
    <row r="198" spans="1:10" ht="15.75" x14ac:dyDescent="0.25">
      <c r="A198" s="68">
        <v>540</v>
      </c>
      <c r="B198" s="23" t="s">
        <v>10</v>
      </c>
      <c r="C198" s="23" t="s">
        <v>7</v>
      </c>
      <c r="D198" s="23" t="s">
        <v>20</v>
      </c>
      <c r="F198" s="36">
        <v>25688</v>
      </c>
      <c r="G198" s="16">
        <v>43001000</v>
      </c>
      <c r="H198" t="s">
        <v>173</v>
      </c>
      <c r="I198" t="s">
        <v>644</v>
      </c>
      <c r="J198" s="65">
        <v>461</v>
      </c>
    </row>
    <row r="199" spans="1:10" x14ac:dyDescent="0.25">
      <c r="A199" s="68">
        <v>542</v>
      </c>
      <c r="B199" s="23" t="s">
        <v>10</v>
      </c>
      <c r="C199" s="23" t="s">
        <v>7</v>
      </c>
      <c r="D199" s="23" t="s">
        <v>11</v>
      </c>
      <c r="E199" s="23">
        <v>1429</v>
      </c>
      <c r="F199" s="36">
        <v>25688</v>
      </c>
      <c r="G199" s="16">
        <v>193012000</v>
      </c>
      <c r="H199" t="s">
        <v>200</v>
      </c>
      <c r="I199" t="s">
        <v>644</v>
      </c>
      <c r="J199" s="64">
        <v>309.5</v>
      </c>
    </row>
    <row r="200" spans="1:10" x14ac:dyDescent="0.25">
      <c r="A200" s="68">
        <v>544</v>
      </c>
      <c r="B200" s="23" t="s">
        <v>10</v>
      </c>
      <c r="C200" s="23" t="s">
        <v>18</v>
      </c>
      <c r="D200" s="23" t="s">
        <v>19</v>
      </c>
      <c r="E200" s="23">
        <v>1042656</v>
      </c>
      <c r="F200" s="36">
        <v>25688</v>
      </c>
      <c r="G200" s="16">
        <v>1014002</v>
      </c>
      <c r="H200" t="s">
        <v>191</v>
      </c>
      <c r="J200" s="64">
        <v>1154</v>
      </c>
    </row>
    <row r="201" spans="1:10" x14ac:dyDescent="0.25">
      <c r="A201" s="68">
        <v>545</v>
      </c>
      <c r="B201" s="23" t="s">
        <v>10</v>
      </c>
      <c r="C201" s="23" t="s">
        <v>7</v>
      </c>
      <c r="D201" s="23" t="s">
        <v>11</v>
      </c>
      <c r="E201" s="23">
        <v>6769</v>
      </c>
      <c r="F201" s="36">
        <v>25688</v>
      </c>
      <c r="G201" s="16">
        <v>3319002000</v>
      </c>
      <c r="H201" t="s">
        <v>224</v>
      </c>
      <c r="I201" t="s">
        <v>644</v>
      </c>
      <c r="J201" s="64">
        <v>309.5</v>
      </c>
    </row>
    <row r="202" spans="1:10" x14ac:dyDescent="0.25">
      <c r="A202" s="68">
        <v>549</v>
      </c>
      <c r="B202" s="23" t="s">
        <v>10</v>
      </c>
      <c r="C202" s="23" t="s">
        <v>7</v>
      </c>
      <c r="D202" s="23" t="s">
        <v>11</v>
      </c>
      <c r="E202" s="23">
        <v>1853</v>
      </c>
      <c r="F202" s="36">
        <v>25688</v>
      </c>
      <c r="G202" s="16">
        <v>2514001000</v>
      </c>
      <c r="H202" t="s">
        <v>289</v>
      </c>
      <c r="I202" t="s">
        <v>644</v>
      </c>
      <c r="J202" s="64">
        <v>309.5</v>
      </c>
    </row>
    <row r="203" spans="1:10" x14ac:dyDescent="0.25">
      <c r="A203" s="68">
        <v>550</v>
      </c>
      <c r="B203" s="23" t="s">
        <v>10</v>
      </c>
      <c r="C203" s="23" t="s">
        <v>18</v>
      </c>
      <c r="D203" s="23" t="s">
        <v>19</v>
      </c>
      <c r="E203" s="23">
        <v>987654</v>
      </c>
      <c r="F203" s="36">
        <v>25688</v>
      </c>
      <c r="G203" s="16">
        <v>2641001000</v>
      </c>
      <c r="H203" t="s">
        <v>293</v>
      </c>
      <c r="I203" t="s">
        <v>644</v>
      </c>
      <c r="J203" s="64">
        <v>1154</v>
      </c>
    </row>
    <row r="204" spans="1:10" x14ac:dyDescent="0.25">
      <c r="A204" s="68">
        <v>553</v>
      </c>
      <c r="B204" s="23" t="s">
        <v>6</v>
      </c>
      <c r="C204" s="23" t="s">
        <v>36</v>
      </c>
      <c r="D204" s="23" t="s">
        <v>43</v>
      </c>
      <c r="F204" s="36">
        <v>25688</v>
      </c>
      <c r="G204" s="16">
        <v>1014001</v>
      </c>
      <c r="H204" t="s">
        <v>163</v>
      </c>
      <c r="J204" s="40">
        <v>1202.5</v>
      </c>
    </row>
    <row r="205" spans="1:10" x14ac:dyDescent="0.25">
      <c r="A205" s="68">
        <v>555</v>
      </c>
      <c r="B205" s="23" t="s">
        <v>6</v>
      </c>
      <c r="C205" s="23" t="s">
        <v>36</v>
      </c>
      <c r="D205" s="23" t="s">
        <v>43</v>
      </c>
      <c r="F205" s="36">
        <v>25688</v>
      </c>
      <c r="G205" s="16">
        <v>2558002000</v>
      </c>
      <c r="H205" t="s">
        <v>195</v>
      </c>
      <c r="I205" t="s">
        <v>644</v>
      </c>
      <c r="J205" s="40">
        <v>1202.5</v>
      </c>
    </row>
    <row r="206" spans="1:10" x14ac:dyDescent="0.25">
      <c r="A206" s="68">
        <v>561</v>
      </c>
      <c r="B206" s="23" t="s">
        <v>34</v>
      </c>
      <c r="C206" s="23" t="s">
        <v>7</v>
      </c>
      <c r="D206" s="23" t="s">
        <v>11</v>
      </c>
      <c r="E206" s="23">
        <v>1984</v>
      </c>
      <c r="F206" s="36">
        <v>25688</v>
      </c>
      <c r="G206" s="16">
        <v>1652002001</v>
      </c>
      <c r="H206" t="s">
        <v>294</v>
      </c>
      <c r="I206" t="s">
        <v>644</v>
      </c>
      <c r="J206" s="64">
        <v>309.5</v>
      </c>
    </row>
    <row r="207" spans="1:10" ht="15.75" x14ac:dyDescent="0.25">
      <c r="A207" s="68">
        <v>563</v>
      </c>
      <c r="B207" s="23" t="s">
        <v>10</v>
      </c>
      <c r="C207" s="23" t="s">
        <v>7</v>
      </c>
      <c r="D207" s="23" t="s">
        <v>20</v>
      </c>
      <c r="E207" s="23">
        <v>13625</v>
      </c>
      <c r="F207" s="36">
        <v>25688</v>
      </c>
      <c r="G207" s="16">
        <v>3042074001</v>
      </c>
      <c r="H207" t="s">
        <v>295</v>
      </c>
      <c r="I207" t="s">
        <v>643</v>
      </c>
      <c r="J207" s="65">
        <v>461</v>
      </c>
    </row>
    <row r="208" spans="1:10" x14ac:dyDescent="0.25">
      <c r="A208" s="68">
        <v>564</v>
      </c>
      <c r="B208" s="23" t="s">
        <v>34</v>
      </c>
      <c r="C208" s="23" t="s">
        <v>7</v>
      </c>
      <c r="D208" s="23" t="s">
        <v>11</v>
      </c>
      <c r="E208" s="23">
        <v>7402</v>
      </c>
      <c r="F208" s="36">
        <v>25688</v>
      </c>
      <c r="G208" s="16">
        <v>2994001000</v>
      </c>
      <c r="H208" t="s">
        <v>284</v>
      </c>
      <c r="I208" t="s">
        <v>644</v>
      </c>
      <c r="J208" s="64">
        <v>309.5</v>
      </c>
    </row>
    <row r="209" spans="1:10" x14ac:dyDescent="0.25">
      <c r="A209" s="68">
        <v>568</v>
      </c>
      <c r="B209" s="23" t="s">
        <v>6</v>
      </c>
      <c r="C209" s="23" t="s">
        <v>7</v>
      </c>
      <c r="D209" s="23" t="s">
        <v>14</v>
      </c>
      <c r="E209" s="23">
        <v>14208</v>
      </c>
      <c r="F209" s="36">
        <v>25688</v>
      </c>
      <c r="G209" s="16">
        <v>2126001000</v>
      </c>
      <c r="H209" t="s">
        <v>180</v>
      </c>
      <c r="I209" t="s">
        <v>644</v>
      </c>
      <c r="J209" s="64">
        <v>1212</v>
      </c>
    </row>
    <row r="210" spans="1:10" x14ac:dyDescent="0.25">
      <c r="A210" s="68">
        <v>570</v>
      </c>
      <c r="B210" s="23" t="s">
        <v>6</v>
      </c>
      <c r="C210" s="23" t="s">
        <v>7</v>
      </c>
      <c r="D210" s="23" t="s">
        <v>14</v>
      </c>
      <c r="E210" s="23">
        <v>14190</v>
      </c>
      <c r="F210" s="36">
        <v>25688</v>
      </c>
      <c r="G210" s="16">
        <v>1652002001</v>
      </c>
      <c r="H210" t="s">
        <v>294</v>
      </c>
      <c r="I210" t="s">
        <v>644</v>
      </c>
      <c r="J210" s="64">
        <v>1212</v>
      </c>
    </row>
    <row r="211" spans="1:10" x14ac:dyDescent="0.25">
      <c r="A211" s="68">
        <v>571</v>
      </c>
      <c r="B211" s="23" t="s">
        <v>6</v>
      </c>
      <c r="C211" s="23" t="s">
        <v>7</v>
      </c>
      <c r="D211" s="23" t="s">
        <v>8</v>
      </c>
      <c r="E211" s="23">
        <v>14189</v>
      </c>
      <c r="F211" s="36">
        <v>25688</v>
      </c>
      <c r="G211" s="16">
        <v>3042058002</v>
      </c>
      <c r="H211" t="s">
        <v>223</v>
      </c>
      <c r="I211" t="s">
        <v>643</v>
      </c>
      <c r="J211" s="64">
        <v>1212</v>
      </c>
    </row>
    <row r="212" spans="1:10" x14ac:dyDescent="0.25">
      <c r="A212" s="68">
        <v>572</v>
      </c>
      <c r="B212" s="23" t="s">
        <v>6</v>
      </c>
      <c r="C212" s="23" t="s">
        <v>7</v>
      </c>
      <c r="D212" s="23" t="s">
        <v>14</v>
      </c>
      <c r="E212" s="23">
        <v>14188</v>
      </c>
      <c r="F212" s="36">
        <v>25688</v>
      </c>
      <c r="G212" s="16">
        <v>1014001</v>
      </c>
      <c r="H212" t="s">
        <v>163</v>
      </c>
      <c r="J212" s="64">
        <v>1212</v>
      </c>
    </row>
    <row r="213" spans="1:10" x14ac:dyDescent="0.25">
      <c r="A213" s="68">
        <v>573</v>
      </c>
      <c r="B213" s="23" t="s">
        <v>6</v>
      </c>
      <c r="C213" s="23" t="s">
        <v>7</v>
      </c>
      <c r="D213" s="23" t="s">
        <v>14</v>
      </c>
      <c r="E213" s="23">
        <v>14185</v>
      </c>
      <c r="F213" s="36">
        <v>25688</v>
      </c>
      <c r="G213" s="16">
        <v>1068019000</v>
      </c>
      <c r="H213" t="s">
        <v>296</v>
      </c>
      <c r="I213" t="s">
        <v>644</v>
      </c>
      <c r="J213" s="64">
        <v>1212</v>
      </c>
    </row>
    <row r="214" spans="1:10" x14ac:dyDescent="0.25">
      <c r="A214" s="68">
        <v>575</v>
      </c>
      <c r="B214" s="23" t="s">
        <v>6</v>
      </c>
      <c r="C214" s="23" t="s">
        <v>7</v>
      </c>
      <c r="D214" s="23" t="s">
        <v>14</v>
      </c>
      <c r="E214" s="23">
        <v>14203</v>
      </c>
      <c r="F214" s="36">
        <v>25688</v>
      </c>
      <c r="G214" s="16">
        <v>2548063000</v>
      </c>
      <c r="H214" t="s">
        <v>297</v>
      </c>
      <c r="I214" t="s">
        <v>644</v>
      </c>
      <c r="J214" s="64">
        <v>1212</v>
      </c>
    </row>
    <row r="215" spans="1:10" x14ac:dyDescent="0.25">
      <c r="A215" s="68">
        <v>576</v>
      </c>
      <c r="B215" s="23" t="s">
        <v>6</v>
      </c>
      <c r="C215" s="23" t="s">
        <v>7</v>
      </c>
      <c r="D215" s="23" t="s">
        <v>8</v>
      </c>
      <c r="E215" s="23">
        <v>14195</v>
      </c>
      <c r="F215" s="36">
        <v>25688</v>
      </c>
      <c r="G215" s="16">
        <v>61007000</v>
      </c>
      <c r="H215" t="s">
        <v>291</v>
      </c>
      <c r="I215" t="s">
        <v>644</v>
      </c>
      <c r="J215" s="64">
        <v>1212</v>
      </c>
    </row>
    <row r="216" spans="1:10" x14ac:dyDescent="0.25">
      <c r="A216" s="68">
        <v>577</v>
      </c>
      <c r="B216" s="23" t="s">
        <v>6</v>
      </c>
      <c r="C216" s="23" t="s">
        <v>7</v>
      </c>
      <c r="D216" s="23" t="s">
        <v>14</v>
      </c>
      <c r="E216" s="23">
        <v>14193</v>
      </c>
      <c r="F216" s="36">
        <v>25688</v>
      </c>
      <c r="G216" s="16">
        <v>3042004002</v>
      </c>
      <c r="H216" t="s">
        <v>247</v>
      </c>
      <c r="I216" t="s">
        <v>643</v>
      </c>
      <c r="J216" s="64">
        <v>1212</v>
      </c>
    </row>
    <row r="217" spans="1:10" x14ac:dyDescent="0.25">
      <c r="A217" s="68">
        <v>579</v>
      </c>
      <c r="B217" s="23" t="s">
        <v>6</v>
      </c>
      <c r="C217" s="23" t="s">
        <v>12</v>
      </c>
      <c r="D217" s="23" t="s">
        <v>13</v>
      </c>
      <c r="E217" s="23">
        <v>117412</v>
      </c>
      <c r="F217" s="36">
        <v>25688</v>
      </c>
      <c r="G217" s="16">
        <v>1068009000</v>
      </c>
      <c r="H217" t="s">
        <v>298</v>
      </c>
      <c r="I217" t="s">
        <v>644</v>
      </c>
      <c r="J217" s="64">
        <v>1091</v>
      </c>
    </row>
    <row r="218" spans="1:10" x14ac:dyDescent="0.25">
      <c r="A218" s="68">
        <v>585</v>
      </c>
      <c r="B218" s="23" t="s">
        <v>6</v>
      </c>
      <c r="C218" s="23" t="s">
        <v>12</v>
      </c>
      <c r="D218" s="23" t="s">
        <v>299</v>
      </c>
      <c r="E218" s="23">
        <v>158</v>
      </c>
      <c r="F218" s="36">
        <v>25688</v>
      </c>
      <c r="G218" s="16">
        <v>2053001000</v>
      </c>
      <c r="H218" t="s">
        <v>300</v>
      </c>
      <c r="I218" t="s">
        <v>644</v>
      </c>
      <c r="J218" s="61"/>
    </row>
    <row r="219" spans="1:10" x14ac:dyDescent="0.25">
      <c r="A219" s="68">
        <v>587</v>
      </c>
      <c r="B219" s="23" t="s">
        <v>6</v>
      </c>
      <c r="C219" s="23" t="s">
        <v>12</v>
      </c>
      <c r="D219" s="23" t="s">
        <v>76</v>
      </c>
      <c r="E219" s="23">
        <v>3838</v>
      </c>
      <c r="F219" s="36">
        <v>35765</v>
      </c>
      <c r="G219" s="16">
        <v>1165000000</v>
      </c>
      <c r="H219" t="s">
        <v>184</v>
      </c>
      <c r="I219" t="s">
        <v>644</v>
      </c>
      <c r="J219" s="64">
        <v>1243.5</v>
      </c>
    </row>
    <row r="220" spans="1:10" x14ac:dyDescent="0.25">
      <c r="A220" s="68">
        <v>589</v>
      </c>
      <c r="B220" s="23" t="s">
        <v>6</v>
      </c>
      <c r="C220" s="23" t="s">
        <v>18</v>
      </c>
      <c r="D220" s="23">
        <v>2815</v>
      </c>
      <c r="F220" s="36">
        <v>25688</v>
      </c>
      <c r="G220" s="16">
        <v>1068016000</v>
      </c>
      <c r="H220" t="s">
        <v>260</v>
      </c>
      <c r="I220" t="s">
        <v>644</v>
      </c>
      <c r="J220" s="64">
        <v>1154</v>
      </c>
    </row>
    <row r="221" spans="1:10" x14ac:dyDescent="0.25">
      <c r="A221" s="68">
        <v>590</v>
      </c>
      <c r="B221" s="23" t="s">
        <v>6</v>
      </c>
      <c r="C221" s="23" t="s">
        <v>12</v>
      </c>
      <c r="D221" s="23" t="s">
        <v>13</v>
      </c>
      <c r="E221" s="23">
        <v>117618</v>
      </c>
      <c r="F221" s="36">
        <v>25688</v>
      </c>
      <c r="G221" s="16">
        <v>193012000</v>
      </c>
      <c r="H221" t="s">
        <v>200</v>
      </c>
      <c r="I221" t="s">
        <v>644</v>
      </c>
      <c r="J221" s="64">
        <v>1091</v>
      </c>
    </row>
    <row r="222" spans="1:10" ht="15.75" x14ac:dyDescent="0.25">
      <c r="A222" s="68">
        <v>595</v>
      </c>
      <c r="B222" s="23" t="s">
        <v>10</v>
      </c>
      <c r="C222" s="23" t="s">
        <v>7</v>
      </c>
      <c r="D222" s="23" t="s">
        <v>20</v>
      </c>
      <c r="E222" s="23">
        <v>8732</v>
      </c>
      <c r="F222" s="36">
        <v>25688</v>
      </c>
      <c r="G222" s="16">
        <v>193012000</v>
      </c>
      <c r="H222" t="s">
        <v>200</v>
      </c>
      <c r="I222" t="s">
        <v>644</v>
      </c>
      <c r="J222" s="65">
        <v>461</v>
      </c>
    </row>
    <row r="223" spans="1:10" x14ac:dyDescent="0.25">
      <c r="A223" s="68">
        <v>596</v>
      </c>
      <c r="B223" s="23" t="s">
        <v>6</v>
      </c>
      <c r="C223" s="23" t="s">
        <v>12</v>
      </c>
      <c r="D223" s="23" t="s">
        <v>13</v>
      </c>
      <c r="E223" s="23">
        <v>115722</v>
      </c>
      <c r="F223" s="36">
        <v>25688</v>
      </c>
      <c r="G223" s="16">
        <v>1747001000</v>
      </c>
      <c r="H223" t="s">
        <v>246</v>
      </c>
      <c r="I223" t="s">
        <v>644</v>
      </c>
      <c r="J223" s="64">
        <v>1091</v>
      </c>
    </row>
    <row r="224" spans="1:10" x14ac:dyDescent="0.25">
      <c r="A224" s="68">
        <v>597</v>
      </c>
      <c r="B224" s="23" t="s">
        <v>10</v>
      </c>
      <c r="C224" s="23" t="s">
        <v>7</v>
      </c>
      <c r="D224" s="23" t="s">
        <v>11</v>
      </c>
      <c r="E224" s="23">
        <v>6949</v>
      </c>
      <c r="F224" s="36">
        <v>25688</v>
      </c>
      <c r="G224" s="16">
        <v>3178010000</v>
      </c>
      <c r="H224" t="s">
        <v>301</v>
      </c>
      <c r="I224" t="s">
        <v>644</v>
      </c>
      <c r="J224" s="64">
        <v>309.5</v>
      </c>
    </row>
    <row r="225" spans="1:10" x14ac:dyDescent="0.25">
      <c r="A225" s="68">
        <v>598</v>
      </c>
      <c r="B225" s="23" t="s">
        <v>10</v>
      </c>
      <c r="C225" s="23" t="s">
        <v>302</v>
      </c>
      <c r="D225" s="23" t="s">
        <v>303</v>
      </c>
      <c r="F225" s="36">
        <v>25688</v>
      </c>
      <c r="G225" s="16">
        <v>1014001</v>
      </c>
      <c r="H225" t="s">
        <v>163</v>
      </c>
      <c r="J225" s="64">
        <v>1091</v>
      </c>
    </row>
    <row r="226" spans="1:10" x14ac:dyDescent="0.25">
      <c r="A226" s="68">
        <v>606</v>
      </c>
      <c r="B226" s="23" t="s">
        <v>6</v>
      </c>
      <c r="C226" s="23" t="s">
        <v>7</v>
      </c>
      <c r="D226" s="23" t="s">
        <v>14</v>
      </c>
      <c r="E226" s="23">
        <v>8184</v>
      </c>
      <c r="F226" s="36">
        <v>25688</v>
      </c>
      <c r="G226" s="16">
        <v>1550001000</v>
      </c>
      <c r="H226" t="s">
        <v>304</v>
      </c>
      <c r="I226" t="s">
        <v>644</v>
      </c>
      <c r="J226" s="64">
        <v>1212</v>
      </c>
    </row>
    <row r="227" spans="1:10" x14ac:dyDescent="0.25">
      <c r="A227" s="68">
        <v>607</v>
      </c>
      <c r="B227" s="23" t="s">
        <v>10</v>
      </c>
      <c r="C227" s="23" t="s">
        <v>18</v>
      </c>
      <c r="D227" s="23" t="s">
        <v>19</v>
      </c>
      <c r="F227" s="36">
        <v>25688</v>
      </c>
      <c r="G227" s="16">
        <v>1652002001</v>
      </c>
      <c r="H227" t="s">
        <v>294</v>
      </c>
      <c r="I227" t="s">
        <v>644</v>
      </c>
      <c r="J227" s="64">
        <v>1154</v>
      </c>
    </row>
    <row r="228" spans="1:10" x14ac:dyDescent="0.25">
      <c r="A228" s="68">
        <v>609</v>
      </c>
      <c r="B228" s="23" t="s">
        <v>6</v>
      </c>
      <c r="C228" s="23" t="s">
        <v>18</v>
      </c>
      <c r="D228" s="23">
        <v>2815</v>
      </c>
      <c r="E228" s="23">
        <v>19703</v>
      </c>
      <c r="F228" s="36">
        <v>25688</v>
      </c>
      <c r="G228" s="16">
        <v>1014001</v>
      </c>
      <c r="H228" t="s">
        <v>163</v>
      </c>
      <c r="J228" s="64">
        <v>1154</v>
      </c>
    </row>
    <row r="229" spans="1:10" x14ac:dyDescent="0.25">
      <c r="A229" s="68">
        <v>620</v>
      </c>
      <c r="B229" s="23" t="s">
        <v>10</v>
      </c>
      <c r="C229" s="23" t="s">
        <v>18</v>
      </c>
      <c r="D229" s="23" t="s">
        <v>19</v>
      </c>
      <c r="F229" s="36">
        <v>25688</v>
      </c>
      <c r="G229" s="16">
        <v>1550001000</v>
      </c>
      <c r="H229" t="s">
        <v>304</v>
      </c>
      <c r="I229" t="s">
        <v>644</v>
      </c>
      <c r="J229" s="64">
        <v>1154</v>
      </c>
    </row>
    <row r="230" spans="1:10" x14ac:dyDescent="0.25">
      <c r="A230" s="68">
        <v>622</v>
      </c>
      <c r="B230" s="23" t="s">
        <v>34</v>
      </c>
      <c r="C230" s="23" t="s">
        <v>7</v>
      </c>
      <c r="D230" s="23" t="s">
        <v>11</v>
      </c>
      <c r="E230" s="23">
        <v>1224</v>
      </c>
      <c r="F230" s="36">
        <v>25688</v>
      </c>
      <c r="G230" s="16">
        <v>1614002000</v>
      </c>
      <c r="H230" t="s">
        <v>305</v>
      </c>
      <c r="I230" t="s">
        <v>644</v>
      </c>
      <c r="J230" s="64">
        <v>309.5</v>
      </c>
    </row>
    <row r="231" spans="1:10" x14ac:dyDescent="0.25">
      <c r="A231" s="68">
        <v>625</v>
      </c>
      <c r="B231" s="23" t="s">
        <v>6</v>
      </c>
      <c r="C231" s="23" t="s">
        <v>12</v>
      </c>
      <c r="D231" s="23" t="s">
        <v>13</v>
      </c>
      <c r="E231" s="23">
        <v>117595</v>
      </c>
      <c r="F231" s="36">
        <v>25688</v>
      </c>
      <c r="G231" s="16">
        <v>1014001</v>
      </c>
      <c r="H231" t="s">
        <v>163</v>
      </c>
      <c r="J231" s="64">
        <v>1091</v>
      </c>
    </row>
    <row r="232" spans="1:10" x14ac:dyDescent="0.25">
      <c r="A232" s="68">
        <v>626</v>
      </c>
      <c r="B232" s="23" t="s">
        <v>10</v>
      </c>
      <c r="C232" s="23" t="s">
        <v>7</v>
      </c>
      <c r="D232" s="23" t="s">
        <v>11</v>
      </c>
      <c r="E232" s="23">
        <v>7236</v>
      </c>
      <c r="F232" s="36">
        <v>25688</v>
      </c>
      <c r="G232" s="16">
        <v>953011000</v>
      </c>
      <c r="H232" t="s">
        <v>272</v>
      </c>
      <c r="I232" t="s">
        <v>644</v>
      </c>
      <c r="J232" s="64">
        <v>309.5</v>
      </c>
    </row>
    <row r="233" spans="1:10" x14ac:dyDescent="0.25">
      <c r="A233" s="68">
        <v>628</v>
      </c>
      <c r="B233" s="23" t="s">
        <v>6</v>
      </c>
      <c r="C233" s="23" t="s">
        <v>12</v>
      </c>
      <c r="D233" s="23" t="s">
        <v>13</v>
      </c>
      <c r="E233" s="23">
        <v>116864</v>
      </c>
      <c r="F233" s="36">
        <v>25688</v>
      </c>
      <c r="G233" s="16">
        <v>66011000</v>
      </c>
      <c r="H233" t="s">
        <v>166</v>
      </c>
      <c r="I233" t="s">
        <v>644</v>
      </c>
      <c r="J233" s="64">
        <v>1091</v>
      </c>
    </row>
    <row r="234" spans="1:10" x14ac:dyDescent="0.25">
      <c r="A234" s="68">
        <v>629</v>
      </c>
      <c r="B234" s="23" t="s">
        <v>144</v>
      </c>
      <c r="C234" s="23" t="s">
        <v>306</v>
      </c>
      <c r="D234" s="23" t="s">
        <v>19</v>
      </c>
      <c r="E234" s="23">
        <v>7707</v>
      </c>
      <c r="F234" s="36">
        <v>25688</v>
      </c>
      <c r="G234" s="16">
        <v>1014001</v>
      </c>
      <c r="H234" t="s">
        <v>163</v>
      </c>
      <c r="J234" s="64">
        <v>2854</v>
      </c>
    </row>
    <row r="235" spans="1:10" x14ac:dyDescent="0.25">
      <c r="A235" s="68">
        <v>649</v>
      </c>
      <c r="B235" s="23" t="s">
        <v>83</v>
      </c>
      <c r="C235" s="23" t="s">
        <v>12</v>
      </c>
      <c r="D235" s="23" t="s">
        <v>84</v>
      </c>
      <c r="E235" s="23">
        <v>22560</v>
      </c>
      <c r="F235" s="36">
        <v>25688</v>
      </c>
      <c r="G235" s="16">
        <v>1165000000</v>
      </c>
      <c r="H235" t="s">
        <v>184</v>
      </c>
      <c r="I235" t="s">
        <v>644</v>
      </c>
      <c r="J235" s="64">
        <v>512</v>
      </c>
    </row>
    <row r="236" spans="1:10" x14ac:dyDescent="0.25">
      <c r="A236" s="68">
        <v>651</v>
      </c>
      <c r="B236" s="23" t="s">
        <v>10</v>
      </c>
      <c r="C236" s="23" t="s">
        <v>12</v>
      </c>
      <c r="D236" s="23" t="s">
        <v>90</v>
      </c>
      <c r="E236" s="23">
        <v>22984</v>
      </c>
      <c r="F236" s="36">
        <v>25688</v>
      </c>
      <c r="G236" s="16">
        <v>3135003000</v>
      </c>
      <c r="H236" t="s">
        <v>307</v>
      </c>
      <c r="I236" t="s">
        <v>644</v>
      </c>
      <c r="J236" s="64">
        <v>629</v>
      </c>
    </row>
    <row r="237" spans="1:10" x14ac:dyDescent="0.25">
      <c r="A237" s="68">
        <v>652</v>
      </c>
      <c r="B237" s="23" t="s">
        <v>34</v>
      </c>
      <c r="C237" s="23" t="s">
        <v>18</v>
      </c>
      <c r="D237" s="23" t="s">
        <v>19</v>
      </c>
      <c r="E237" s="23">
        <v>56789</v>
      </c>
      <c r="F237" s="36">
        <v>25688</v>
      </c>
      <c r="G237" s="16">
        <v>1165000000</v>
      </c>
      <c r="H237" t="s">
        <v>184</v>
      </c>
      <c r="I237" t="s">
        <v>644</v>
      </c>
      <c r="J237" s="64">
        <v>1154</v>
      </c>
    </row>
    <row r="238" spans="1:10" x14ac:dyDescent="0.25">
      <c r="A238" s="68">
        <v>654</v>
      </c>
      <c r="B238" s="23" t="s">
        <v>10</v>
      </c>
      <c r="C238" s="23" t="s">
        <v>7</v>
      </c>
      <c r="D238" s="23" t="s">
        <v>11</v>
      </c>
      <c r="E238" s="23">
        <v>1072</v>
      </c>
      <c r="F238" s="36">
        <v>25688</v>
      </c>
      <c r="G238" s="16">
        <v>3288001000</v>
      </c>
      <c r="H238" t="s">
        <v>183</v>
      </c>
      <c r="I238" t="s">
        <v>644</v>
      </c>
      <c r="J238" s="64">
        <v>309.5</v>
      </c>
    </row>
    <row r="239" spans="1:10" x14ac:dyDescent="0.25">
      <c r="A239" s="68">
        <v>655</v>
      </c>
      <c r="B239" s="23" t="s">
        <v>10</v>
      </c>
      <c r="C239" s="23" t="s">
        <v>7</v>
      </c>
      <c r="D239" s="23" t="s">
        <v>11</v>
      </c>
      <c r="E239" s="23">
        <v>7946</v>
      </c>
      <c r="F239" s="36">
        <v>25688</v>
      </c>
      <c r="G239" s="16">
        <v>3178005000</v>
      </c>
      <c r="H239" t="s">
        <v>308</v>
      </c>
      <c r="I239" t="s">
        <v>644</v>
      </c>
      <c r="J239" s="64">
        <v>309.5</v>
      </c>
    </row>
    <row r="240" spans="1:10" x14ac:dyDescent="0.25">
      <c r="A240" s="68">
        <v>658</v>
      </c>
      <c r="B240" s="23" t="s">
        <v>10</v>
      </c>
      <c r="C240" s="23" t="s">
        <v>7</v>
      </c>
      <c r="D240" s="23" t="s">
        <v>11</v>
      </c>
      <c r="E240" s="23">
        <v>11290</v>
      </c>
      <c r="F240" s="36">
        <v>25688</v>
      </c>
      <c r="G240" s="16">
        <v>1532001000</v>
      </c>
      <c r="H240" t="s">
        <v>309</v>
      </c>
      <c r="I240" t="s">
        <v>644</v>
      </c>
      <c r="J240" s="64">
        <v>309.5</v>
      </c>
    </row>
    <row r="241" spans="1:10" x14ac:dyDescent="0.25">
      <c r="A241" s="68">
        <v>666</v>
      </c>
      <c r="B241" s="23" t="s">
        <v>10</v>
      </c>
      <c r="C241" s="23" t="s">
        <v>7</v>
      </c>
      <c r="D241" s="23" t="s">
        <v>11</v>
      </c>
      <c r="E241" s="23">
        <v>832</v>
      </c>
      <c r="F241" s="36">
        <v>25688</v>
      </c>
      <c r="G241" s="16">
        <v>3042127001</v>
      </c>
      <c r="H241" t="s">
        <v>310</v>
      </c>
      <c r="I241" t="s">
        <v>643</v>
      </c>
      <c r="J241" s="64">
        <v>309.5</v>
      </c>
    </row>
    <row r="242" spans="1:10" x14ac:dyDescent="0.25">
      <c r="A242" s="68">
        <v>670</v>
      </c>
      <c r="B242" s="23" t="s">
        <v>34</v>
      </c>
      <c r="C242" s="23" t="s">
        <v>18</v>
      </c>
      <c r="D242" s="23" t="s">
        <v>19</v>
      </c>
      <c r="E242" s="23">
        <v>34567890</v>
      </c>
      <c r="F242" s="36">
        <v>25688</v>
      </c>
      <c r="G242" s="16">
        <v>1165000000</v>
      </c>
      <c r="H242" t="s">
        <v>184</v>
      </c>
      <c r="I242" t="s">
        <v>644</v>
      </c>
      <c r="J242" s="64">
        <v>1154</v>
      </c>
    </row>
    <row r="243" spans="1:10" x14ac:dyDescent="0.25">
      <c r="A243" s="68">
        <v>674</v>
      </c>
      <c r="B243" s="23" t="s">
        <v>10</v>
      </c>
      <c r="C243" s="23" t="s">
        <v>12</v>
      </c>
      <c r="D243" s="23" t="s">
        <v>85</v>
      </c>
      <c r="E243" s="23" t="s">
        <v>311</v>
      </c>
      <c r="F243" s="36">
        <v>25688</v>
      </c>
      <c r="G243" s="16">
        <v>66035000</v>
      </c>
      <c r="H243" t="s">
        <v>242</v>
      </c>
      <c r="I243" t="s">
        <v>644</v>
      </c>
      <c r="J243" s="64">
        <v>629</v>
      </c>
    </row>
    <row r="244" spans="1:10" x14ac:dyDescent="0.25">
      <c r="A244" s="68">
        <v>678</v>
      </c>
      <c r="B244" s="23" t="s">
        <v>10</v>
      </c>
      <c r="C244" s="23" t="s">
        <v>7</v>
      </c>
      <c r="D244" s="23" t="s">
        <v>11</v>
      </c>
      <c r="E244" s="23">
        <v>854</v>
      </c>
      <c r="F244" s="36">
        <v>25688</v>
      </c>
      <c r="G244" s="16">
        <v>1165000000</v>
      </c>
      <c r="H244" t="s">
        <v>184</v>
      </c>
      <c r="I244" t="s">
        <v>644</v>
      </c>
      <c r="J244" s="64">
        <v>309.5</v>
      </c>
    </row>
    <row r="245" spans="1:10" x14ac:dyDescent="0.25">
      <c r="A245" s="68">
        <v>679</v>
      </c>
      <c r="B245" s="23" t="s">
        <v>10</v>
      </c>
      <c r="C245" s="23" t="s">
        <v>18</v>
      </c>
      <c r="D245" s="23" t="s">
        <v>19</v>
      </c>
      <c r="E245" s="23">
        <v>18411</v>
      </c>
      <c r="F245" s="36">
        <v>25688</v>
      </c>
      <c r="G245" s="16">
        <v>3134001000</v>
      </c>
      <c r="H245" t="s">
        <v>312</v>
      </c>
      <c r="I245" t="s">
        <v>644</v>
      </c>
      <c r="J245" s="64">
        <v>1154</v>
      </c>
    </row>
    <row r="246" spans="1:10" x14ac:dyDescent="0.25">
      <c r="A246" s="68">
        <v>680</v>
      </c>
      <c r="B246" s="23" t="s">
        <v>6</v>
      </c>
      <c r="C246" s="23" t="s">
        <v>12</v>
      </c>
      <c r="D246" s="23" t="s">
        <v>13</v>
      </c>
      <c r="E246" s="23" t="s">
        <v>313</v>
      </c>
      <c r="F246" s="36">
        <v>25688</v>
      </c>
      <c r="G246" s="16">
        <v>1014001</v>
      </c>
      <c r="H246" t="s">
        <v>163</v>
      </c>
      <c r="J246" s="64">
        <v>1091</v>
      </c>
    </row>
    <row r="247" spans="1:10" x14ac:dyDescent="0.25">
      <c r="A247" s="68">
        <v>683</v>
      </c>
      <c r="B247" s="23" t="s">
        <v>6</v>
      </c>
      <c r="C247" s="23" t="s">
        <v>7</v>
      </c>
      <c r="D247" s="23" t="s">
        <v>14</v>
      </c>
      <c r="F247" s="36">
        <v>25688</v>
      </c>
      <c r="G247" s="16">
        <v>1165000000</v>
      </c>
      <c r="H247" t="s">
        <v>184</v>
      </c>
      <c r="I247" t="s">
        <v>644</v>
      </c>
      <c r="J247" s="64">
        <v>1212</v>
      </c>
    </row>
    <row r="248" spans="1:10" x14ac:dyDescent="0.25">
      <c r="A248" s="68">
        <v>684</v>
      </c>
      <c r="B248" s="23" t="s">
        <v>6</v>
      </c>
      <c r="C248" s="23" t="s">
        <v>7</v>
      </c>
      <c r="D248" s="23" t="s">
        <v>14</v>
      </c>
      <c r="E248" s="23">
        <v>8177</v>
      </c>
      <c r="F248" s="36">
        <v>25688</v>
      </c>
      <c r="G248" s="16">
        <v>3127001000</v>
      </c>
      <c r="H248" t="s">
        <v>314</v>
      </c>
      <c r="I248" t="s">
        <v>644</v>
      </c>
      <c r="J248" s="64">
        <v>1212</v>
      </c>
    </row>
    <row r="249" spans="1:10" x14ac:dyDescent="0.25">
      <c r="A249" s="68">
        <v>688</v>
      </c>
      <c r="B249" s="23" t="s">
        <v>34</v>
      </c>
      <c r="C249" s="23" t="s">
        <v>18</v>
      </c>
      <c r="D249" s="23" t="s">
        <v>26</v>
      </c>
      <c r="E249" s="23">
        <v>2345</v>
      </c>
      <c r="F249" s="36">
        <v>25688</v>
      </c>
      <c r="G249" s="16">
        <v>2995001000</v>
      </c>
      <c r="H249" t="s">
        <v>281</v>
      </c>
      <c r="I249" t="s">
        <v>644</v>
      </c>
      <c r="J249" s="64">
        <v>532</v>
      </c>
    </row>
    <row r="250" spans="1:10" x14ac:dyDescent="0.25">
      <c r="A250" s="68">
        <v>693</v>
      </c>
      <c r="B250" s="23" t="s">
        <v>6</v>
      </c>
      <c r="C250" s="23" t="s">
        <v>12</v>
      </c>
      <c r="D250" s="23" t="s">
        <v>13</v>
      </c>
      <c r="E250" s="23" t="s">
        <v>315</v>
      </c>
      <c r="F250" s="36">
        <v>25688</v>
      </c>
      <c r="G250" s="16">
        <v>43002000</v>
      </c>
      <c r="H250" t="s">
        <v>316</v>
      </c>
      <c r="I250" t="s">
        <v>644</v>
      </c>
      <c r="J250" s="64">
        <v>1091</v>
      </c>
    </row>
    <row r="251" spans="1:10" x14ac:dyDescent="0.25">
      <c r="A251" s="68">
        <v>695</v>
      </c>
      <c r="B251" s="23" t="s">
        <v>10</v>
      </c>
      <c r="C251" s="23" t="s">
        <v>7</v>
      </c>
      <c r="D251" s="23" t="s">
        <v>11</v>
      </c>
      <c r="E251" s="23">
        <v>10140</v>
      </c>
      <c r="F251" s="36">
        <v>25688</v>
      </c>
      <c r="G251" s="16">
        <v>1014001</v>
      </c>
      <c r="H251" t="s">
        <v>163</v>
      </c>
      <c r="J251" s="64">
        <v>309.5</v>
      </c>
    </row>
    <row r="252" spans="1:10" x14ac:dyDescent="0.25">
      <c r="A252" s="68">
        <v>698</v>
      </c>
      <c r="B252" s="23" t="s">
        <v>6</v>
      </c>
      <c r="C252" s="23" t="s">
        <v>12</v>
      </c>
      <c r="D252" s="23" t="s">
        <v>317</v>
      </c>
      <c r="E252" s="23">
        <v>674</v>
      </c>
      <c r="F252" s="36">
        <v>25688</v>
      </c>
      <c r="G252" s="16">
        <v>1014001</v>
      </c>
      <c r="H252" t="s">
        <v>163</v>
      </c>
      <c r="J252" s="61"/>
    </row>
    <row r="253" spans="1:10" x14ac:dyDescent="0.25">
      <c r="A253" s="68">
        <v>701</v>
      </c>
      <c r="B253" s="23" t="s">
        <v>10</v>
      </c>
      <c r="C253" s="23" t="s">
        <v>12</v>
      </c>
      <c r="D253" s="23" t="s">
        <v>85</v>
      </c>
      <c r="E253" s="23">
        <v>5846</v>
      </c>
      <c r="F253" s="36">
        <v>25688</v>
      </c>
      <c r="G253" s="16">
        <v>3207016000</v>
      </c>
      <c r="H253" t="s">
        <v>318</v>
      </c>
      <c r="I253" t="s">
        <v>644</v>
      </c>
      <c r="J253" s="64">
        <v>629</v>
      </c>
    </row>
    <row r="254" spans="1:10" x14ac:dyDescent="0.25">
      <c r="A254" s="68">
        <v>711</v>
      </c>
      <c r="B254" s="23" t="s">
        <v>34</v>
      </c>
      <c r="C254" s="23" t="s">
        <v>18</v>
      </c>
      <c r="D254" s="23" t="s">
        <v>19</v>
      </c>
      <c r="F254" s="36">
        <v>25688</v>
      </c>
      <c r="G254" s="16">
        <v>2548013000</v>
      </c>
      <c r="H254" t="s">
        <v>319</v>
      </c>
      <c r="I254" t="s">
        <v>644</v>
      </c>
      <c r="J254" s="64">
        <v>1154</v>
      </c>
    </row>
    <row r="255" spans="1:10" x14ac:dyDescent="0.25">
      <c r="A255" s="68">
        <v>712</v>
      </c>
      <c r="B255" s="23" t="s">
        <v>10</v>
      </c>
      <c r="C255" s="23" t="s">
        <v>7</v>
      </c>
      <c r="D255" s="23" t="s">
        <v>11</v>
      </c>
      <c r="E255" s="23">
        <v>7241</v>
      </c>
      <c r="F255" s="36">
        <v>25688</v>
      </c>
      <c r="G255" s="16">
        <v>193012000</v>
      </c>
      <c r="H255" t="s">
        <v>200</v>
      </c>
      <c r="I255" t="s">
        <v>644</v>
      </c>
      <c r="J255" s="64">
        <v>309.5</v>
      </c>
    </row>
    <row r="256" spans="1:10" x14ac:dyDescent="0.25">
      <c r="A256" s="68">
        <v>714</v>
      </c>
      <c r="B256" s="23" t="s">
        <v>6</v>
      </c>
      <c r="C256" s="23" t="s">
        <v>36</v>
      </c>
      <c r="D256" s="23" t="s">
        <v>43</v>
      </c>
      <c r="F256" s="36">
        <v>25688</v>
      </c>
      <c r="G256" s="16">
        <v>1022000</v>
      </c>
      <c r="H256" t="s">
        <v>320</v>
      </c>
      <c r="J256" s="40">
        <v>1202.5</v>
      </c>
    </row>
    <row r="257" spans="1:10" x14ac:dyDescent="0.25">
      <c r="A257" s="68">
        <v>719</v>
      </c>
      <c r="B257" s="23" t="s">
        <v>10</v>
      </c>
      <c r="C257" s="23" t="s">
        <v>18</v>
      </c>
      <c r="D257" s="23" t="s">
        <v>19</v>
      </c>
      <c r="F257" s="36">
        <v>25688</v>
      </c>
      <c r="G257" s="16">
        <v>3178002000</v>
      </c>
      <c r="H257" t="s">
        <v>321</v>
      </c>
      <c r="I257" t="s">
        <v>644</v>
      </c>
      <c r="J257" s="64">
        <v>1154</v>
      </c>
    </row>
    <row r="258" spans="1:10" x14ac:dyDescent="0.25">
      <c r="A258" s="68">
        <v>721</v>
      </c>
      <c r="B258" s="23" t="s">
        <v>6</v>
      </c>
      <c r="C258" s="23" t="s">
        <v>7</v>
      </c>
      <c r="D258" s="23" t="s">
        <v>14</v>
      </c>
      <c r="F258" s="36">
        <v>25688</v>
      </c>
      <c r="G258" s="16">
        <v>1165113000</v>
      </c>
      <c r="H258" t="s">
        <v>322</v>
      </c>
      <c r="I258" t="s">
        <v>644</v>
      </c>
      <c r="J258" s="64">
        <v>1212</v>
      </c>
    </row>
    <row r="259" spans="1:10" ht="15.75" x14ac:dyDescent="0.25">
      <c r="A259" s="68">
        <v>722</v>
      </c>
      <c r="B259" s="23" t="s">
        <v>10</v>
      </c>
      <c r="C259" s="23" t="s">
        <v>7</v>
      </c>
      <c r="D259" s="23" t="s">
        <v>20</v>
      </c>
      <c r="E259" s="23">
        <v>11353</v>
      </c>
      <c r="F259" s="36">
        <v>25688</v>
      </c>
      <c r="G259" s="16">
        <v>1014001</v>
      </c>
      <c r="H259" t="s">
        <v>163</v>
      </c>
      <c r="J259" s="65">
        <v>461</v>
      </c>
    </row>
    <row r="260" spans="1:10" ht="15.75" x14ac:dyDescent="0.25">
      <c r="A260" s="68">
        <v>724</v>
      </c>
      <c r="B260" s="23" t="s">
        <v>10</v>
      </c>
      <c r="C260" s="23" t="s">
        <v>7</v>
      </c>
      <c r="D260" s="23" t="s">
        <v>20</v>
      </c>
      <c r="E260" s="23">
        <v>7943</v>
      </c>
      <c r="F260" s="36">
        <v>25688</v>
      </c>
      <c r="G260" s="16">
        <v>193012000</v>
      </c>
      <c r="H260" t="s">
        <v>200</v>
      </c>
      <c r="I260" t="s">
        <v>644</v>
      </c>
      <c r="J260" s="65">
        <v>461</v>
      </c>
    </row>
    <row r="261" spans="1:10" x14ac:dyDescent="0.25">
      <c r="A261" s="68">
        <v>727</v>
      </c>
      <c r="B261" s="23" t="s">
        <v>10</v>
      </c>
      <c r="C261" s="23" t="s">
        <v>7</v>
      </c>
      <c r="D261" s="23" t="s">
        <v>11</v>
      </c>
      <c r="E261" s="23">
        <v>994</v>
      </c>
      <c r="F261" s="36">
        <v>25688</v>
      </c>
      <c r="G261" s="16">
        <v>2789001000</v>
      </c>
      <c r="H261" t="s">
        <v>323</v>
      </c>
      <c r="I261" t="s">
        <v>644</v>
      </c>
      <c r="J261" s="64">
        <v>309.5</v>
      </c>
    </row>
    <row r="262" spans="1:10" x14ac:dyDescent="0.25">
      <c r="A262" s="68">
        <v>732</v>
      </c>
      <c r="B262" s="23" t="s">
        <v>10</v>
      </c>
      <c r="C262" s="23" t="s">
        <v>7</v>
      </c>
      <c r="D262" s="23" t="s">
        <v>11</v>
      </c>
      <c r="E262" s="23">
        <v>3226</v>
      </c>
      <c r="F262" s="36">
        <v>25688</v>
      </c>
      <c r="G262" s="16">
        <v>2924001000</v>
      </c>
      <c r="H262" t="s">
        <v>324</v>
      </c>
      <c r="I262" t="s">
        <v>644</v>
      </c>
      <c r="J262" s="64">
        <v>309.5</v>
      </c>
    </row>
    <row r="263" spans="1:10" x14ac:dyDescent="0.25">
      <c r="A263" s="68">
        <v>735</v>
      </c>
      <c r="B263" s="23" t="s">
        <v>6</v>
      </c>
      <c r="C263" s="23" t="s">
        <v>36</v>
      </c>
      <c r="D263" s="23" t="s">
        <v>43</v>
      </c>
      <c r="F263" s="36">
        <v>25688</v>
      </c>
      <c r="G263" s="16">
        <v>1014001</v>
      </c>
      <c r="H263" t="s">
        <v>163</v>
      </c>
      <c r="J263" s="40">
        <v>1202.5</v>
      </c>
    </row>
    <row r="264" spans="1:10" x14ac:dyDescent="0.25">
      <c r="A264" s="68">
        <v>738</v>
      </c>
      <c r="B264" s="23" t="s">
        <v>6</v>
      </c>
      <c r="C264" s="23" t="s">
        <v>12</v>
      </c>
      <c r="D264" s="23" t="s">
        <v>13</v>
      </c>
      <c r="F264" s="36">
        <v>25688</v>
      </c>
      <c r="G264" s="16">
        <v>1406001000</v>
      </c>
      <c r="H264" t="s">
        <v>215</v>
      </c>
      <c r="I264" t="s">
        <v>644</v>
      </c>
      <c r="J264" s="64">
        <v>1091</v>
      </c>
    </row>
    <row r="265" spans="1:10" x14ac:dyDescent="0.25">
      <c r="A265" s="68">
        <v>743</v>
      </c>
      <c r="B265" s="23" t="s">
        <v>10</v>
      </c>
      <c r="C265" s="23" t="s">
        <v>12</v>
      </c>
      <c r="D265" s="23" t="s">
        <v>90</v>
      </c>
      <c r="F265" s="36">
        <v>25688</v>
      </c>
      <c r="G265" s="16">
        <v>2548098000</v>
      </c>
      <c r="H265" t="s">
        <v>325</v>
      </c>
      <c r="I265" t="s">
        <v>644</v>
      </c>
      <c r="J265" s="64">
        <v>629</v>
      </c>
    </row>
    <row r="266" spans="1:10" x14ac:dyDescent="0.25">
      <c r="A266" s="68">
        <v>746</v>
      </c>
      <c r="B266" s="23" t="s">
        <v>83</v>
      </c>
      <c r="C266" s="23" t="s">
        <v>12</v>
      </c>
      <c r="D266" s="23" t="s">
        <v>96</v>
      </c>
      <c r="F266" s="36">
        <v>35796</v>
      </c>
      <c r="G266" s="16">
        <v>1000012</v>
      </c>
      <c r="H266" t="s">
        <v>199</v>
      </c>
      <c r="J266" s="64">
        <v>512</v>
      </c>
    </row>
    <row r="267" spans="1:10" x14ac:dyDescent="0.25">
      <c r="A267" s="68">
        <v>748</v>
      </c>
      <c r="B267" s="23" t="s">
        <v>10</v>
      </c>
      <c r="C267" s="23" t="s">
        <v>7</v>
      </c>
      <c r="D267" s="23" t="s">
        <v>11</v>
      </c>
      <c r="E267" s="23">
        <v>1525</v>
      </c>
      <c r="F267" s="36">
        <v>25688</v>
      </c>
      <c r="G267" s="16">
        <v>1014001</v>
      </c>
      <c r="H267" t="s">
        <v>163</v>
      </c>
      <c r="J267" s="64">
        <v>309.5</v>
      </c>
    </row>
    <row r="268" spans="1:10" x14ac:dyDescent="0.25">
      <c r="A268" s="68">
        <v>750</v>
      </c>
      <c r="B268" s="23" t="s">
        <v>10</v>
      </c>
      <c r="C268" s="23" t="s">
        <v>7</v>
      </c>
      <c r="D268" s="23" t="s">
        <v>11</v>
      </c>
      <c r="E268" s="23">
        <v>975</v>
      </c>
      <c r="F268" s="36">
        <v>25688</v>
      </c>
      <c r="G268" s="16">
        <v>3300202000</v>
      </c>
      <c r="H268" t="s">
        <v>220</v>
      </c>
      <c r="I268" t="s">
        <v>644</v>
      </c>
      <c r="J268" s="64">
        <v>309.5</v>
      </c>
    </row>
    <row r="269" spans="1:10" x14ac:dyDescent="0.25">
      <c r="A269" s="68">
        <v>752</v>
      </c>
      <c r="B269" s="23" t="s">
        <v>6</v>
      </c>
      <c r="C269" s="23" t="s">
        <v>7</v>
      </c>
      <c r="D269" s="23" t="s">
        <v>14</v>
      </c>
      <c r="E269" s="23">
        <v>12161</v>
      </c>
      <c r="F269" s="36">
        <v>25688</v>
      </c>
      <c r="G269" s="16">
        <v>1165112000</v>
      </c>
      <c r="H269" t="s">
        <v>326</v>
      </c>
      <c r="I269" t="s">
        <v>644</v>
      </c>
      <c r="J269" s="64">
        <v>1212</v>
      </c>
    </row>
    <row r="270" spans="1:10" x14ac:dyDescent="0.25">
      <c r="A270" s="68">
        <v>753</v>
      </c>
      <c r="B270" s="23" t="s">
        <v>10</v>
      </c>
      <c r="C270" s="23" t="s">
        <v>7</v>
      </c>
      <c r="D270" s="23" t="s">
        <v>11</v>
      </c>
      <c r="E270" s="23">
        <v>1552</v>
      </c>
      <c r="F270" s="36">
        <v>25688</v>
      </c>
      <c r="G270" s="16">
        <v>2126001000</v>
      </c>
      <c r="H270" t="s">
        <v>180</v>
      </c>
      <c r="I270" t="s">
        <v>644</v>
      </c>
      <c r="J270" s="64">
        <v>309.5</v>
      </c>
    </row>
    <row r="271" spans="1:10" x14ac:dyDescent="0.25">
      <c r="A271" s="68">
        <v>757</v>
      </c>
      <c r="B271" s="23" t="s">
        <v>6</v>
      </c>
      <c r="C271" s="23" t="s">
        <v>7</v>
      </c>
      <c r="D271" s="23" t="s">
        <v>8</v>
      </c>
      <c r="E271" s="23">
        <v>12244</v>
      </c>
      <c r="F271" s="36">
        <v>25688</v>
      </c>
      <c r="G271" s="16">
        <v>165001000</v>
      </c>
      <c r="H271" t="s">
        <v>198</v>
      </c>
      <c r="I271" t="s">
        <v>644</v>
      </c>
      <c r="J271" s="64">
        <v>1212</v>
      </c>
    </row>
    <row r="272" spans="1:10" x14ac:dyDescent="0.25">
      <c r="A272" s="68">
        <v>760</v>
      </c>
      <c r="B272" s="23" t="s">
        <v>34</v>
      </c>
      <c r="C272" s="23" t="s">
        <v>18</v>
      </c>
      <c r="D272" s="23" t="s">
        <v>26</v>
      </c>
      <c r="F272" s="36">
        <v>25688</v>
      </c>
      <c r="G272" s="16">
        <v>2514002000</v>
      </c>
      <c r="H272" t="s">
        <v>217</v>
      </c>
      <c r="I272" t="s">
        <v>644</v>
      </c>
      <c r="J272" s="64">
        <v>532</v>
      </c>
    </row>
    <row r="273" spans="1:10" x14ac:dyDescent="0.25">
      <c r="A273" s="68">
        <v>761</v>
      </c>
      <c r="B273" s="23" t="s">
        <v>6</v>
      </c>
      <c r="C273" s="23" t="s">
        <v>12</v>
      </c>
      <c r="D273" s="23" t="s">
        <v>13</v>
      </c>
      <c r="E273" s="23">
        <v>117549</v>
      </c>
      <c r="F273" s="36">
        <v>25688</v>
      </c>
      <c r="G273" s="16">
        <v>1014001</v>
      </c>
      <c r="H273" t="s">
        <v>163</v>
      </c>
      <c r="J273" s="64">
        <v>1091</v>
      </c>
    </row>
    <row r="274" spans="1:10" x14ac:dyDescent="0.25">
      <c r="A274" s="68">
        <v>762</v>
      </c>
      <c r="B274" s="23" t="s">
        <v>6</v>
      </c>
      <c r="C274" s="23" t="s">
        <v>12</v>
      </c>
      <c r="D274" s="23" t="s">
        <v>13</v>
      </c>
      <c r="E274" s="23">
        <v>117509</v>
      </c>
      <c r="F274" s="36">
        <v>25688</v>
      </c>
      <c r="G274" s="16">
        <v>1014001</v>
      </c>
      <c r="H274" t="s">
        <v>163</v>
      </c>
      <c r="J274" s="64">
        <v>1091</v>
      </c>
    </row>
    <row r="275" spans="1:10" x14ac:dyDescent="0.25">
      <c r="A275" s="68">
        <v>763</v>
      </c>
      <c r="B275" s="23" t="s">
        <v>6</v>
      </c>
      <c r="C275" s="23" t="s">
        <v>32</v>
      </c>
      <c r="D275" s="23" t="s">
        <v>132</v>
      </c>
      <c r="E275" s="23">
        <v>629</v>
      </c>
      <c r="F275" s="36">
        <v>36770</v>
      </c>
      <c r="G275" s="16">
        <v>2905001000</v>
      </c>
      <c r="H275" t="s">
        <v>327</v>
      </c>
      <c r="I275" t="s">
        <v>644</v>
      </c>
    </row>
    <row r="276" spans="1:10" x14ac:dyDescent="0.25">
      <c r="A276" s="68">
        <v>764</v>
      </c>
      <c r="B276" s="23" t="s">
        <v>10</v>
      </c>
      <c r="C276" s="23" t="s">
        <v>7</v>
      </c>
      <c r="D276" s="23" t="s">
        <v>11</v>
      </c>
      <c r="F276" s="36">
        <v>25688</v>
      </c>
      <c r="G276" s="16">
        <v>1817001000</v>
      </c>
      <c r="H276" t="s">
        <v>271</v>
      </c>
      <c r="I276" t="s">
        <v>644</v>
      </c>
      <c r="J276" s="64">
        <v>309.5</v>
      </c>
    </row>
    <row r="277" spans="1:10" x14ac:dyDescent="0.25">
      <c r="A277" s="68">
        <v>774</v>
      </c>
      <c r="B277" s="23" t="s">
        <v>22</v>
      </c>
      <c r="C277" s="23" t="s">
        <v>328</v>
      </c>
      <c r="D277" s="23" t="s">
        <v>19</v>
      </c>
      <c r="E277" s="23" t="s">
        <v>329</v>
      </c>
      <c r="F277" s="36">
        <v>25688</v>
      </c>
      <c r="G277" s="16">
        <v>1014001</v>
      </c>
      <c r="H277" t="s">
        <v>163</v>
      </c>
      <c r="J277" s="61"/>
    </row>
    <row r="278" spans="1:10" x14ac:dyDescent="0.25">
      <c r="A278" s="68">
        <v>775</v>
      </c>
      <c r="B278" s="23" t="s">
        <v>34</v>
      </c>
      <c r="C278" s="23" t="s">
        <v>7</v>
      </c>
      <c r="D278" s="23" t="s">
        <v>11</v>
      </c>
      <c r="E278" s="23">
        <v>777</v>
      </c>
      <c r="F278" s="36">
        <v>25688</v>
      </c>
      <c r="G278" s="16">
        <v>3319002000</v>
      </c>
      <c r="H278" t="s">
        <v>224</v>
      </c>
      <c r="I278" t="s">
        <v>644</v>
      </c>
      <c r="J278" s="64">
        <v>309.5</v>
      </c>
    </row>
    <row r="279" spans="1:10" x14ac:dyDescent="0.25">
      <c r="A279" s="68">
        <v>776</v>
      </c>
      <c r="B279" s="23" t="s">
        <v>6</v>
      </c>
      <c r="C279" s="23" t="s">
        <v>7</v>
      </c>
      <c r="D279" s="23" t="s">
        <v>8</v>
      </c>
      <c r="E279" s="23">
        <v>8179</v>
      </c>
      <c r="F279" s="36">
        <v>25688</v>
      </c>
      <c r="G279" s="16">
        <v>3042116001</v>
      </c>
      <c r="H279" t="s">
        <v>330</v>
      </c>
      <c r="I279" t="s">
        <v>643</v>
      </c>
      <c r="J279" s="64">
        <v>1212</v>
      </c>
    </row>
    <row r="280" spans="1:10" x14ac:dyDescent="0.25">
      <c r="A280" s="68">
        <v>780</v>
      </c>
      <c r="B280" s="23" t="s">
        <v>34</v>
      </c>
      <c r="C280" s="23" t="s">
        <v>18</v>
      </c>
      <c r="D280" s="23" t="s">
        <v>19</v>
      </c>
      <c r="F280" s="36">
        <v>25688</v>
      </c>
      <c r="G280" s="16">
        <v>1967003000</v>
      </c>
      <c r="H280" t="s">
        <v>233</v>
      </c>
      <c r="I280" t="s">
        <v>644</v>
      </c>
      <c r="J280" s="64">
        <v>1154</v>
      </c>
    </row>
    <row r="281" spans="1:10" x14ac:dyDescent="0.25">
      <c r="A281" s="68">
        <v>786</v>
      </c>
      <c r="B281" s="23" t="s">
        <v>6</v>
      </c>
      <c r="C281" s="23" t="s">
        <v>7</v>
      </c>
      <c r="D281" s="23" t="s">
        <v>8</v>
      </c>
      <c r="E281" s="23">
        <v>8210</v>
      </c>
      <c r="F281" s="36">
        <v>25688</v>
      </c>
      <c r="G281" s="16">
        <v>2548092000</v>
      </c>
      <c r="H281" t="s">
        <v>331</v>
      </c>
      <c r="I281" t="s">
        <v>644</v>
      </c>
      <c r="J281" s="64">
        <v>1212</v>
      </c>
    </row>
    <row r="282" spans="1:10" x14ac:dyDescent="0.25">
      <c r="A282" s="68">
        <v>795</v>
      </c>
      <c r="B282" s="23" t="s">
        <v>34</v>
      </c>
      <c r="C282" s="23" t="s">
        <v>7</v>
      </c>
      <c r="D282" s="23" t="s">
        <v>11</v>
      </c>
      <c r="E282" s="23">
        <v>7369</v>
      </c>
      <c r="F282" s="36">
        <v>25688</v>
      </c>
      <c r="G282" s="16">
        <v>1652002001</v>
      </c>
      <c r="H282" t="s">
        <v>294</v>
      </c>
      <c r="I282" t="s">
        <v>644</v>
      </c>
      <c r="J282" s="64">
        <v>309.5</v>
      </c>
    </row>
    <row r="283" spans="1:10" x14ac:dyDescent="0.25">
      <c r="A283" s="68">
        <v>796</v>
      </c>
      <c r="B283" s="23" t="s">
        <v>10</v>
      </c>
      <c r="C283" s="23" t="s">
        <v>7</v>
      </c>
      <c r="D283" s="23" t="s">
        <v>11</v>
      </c>
      <c r="E283" s="23">
        <v>1429</v>
      </c>
      <c r="F283" s="36">
        <v>25688</v>
      </c>
      <c r="G283">
        <v>127002000</v>
      </c>
      <c r="H283" t="s">
        <v>332</v>
      </c>
      <c r="I283" t="s">
        <v>643</v>
      </c>
      <c r="J283" s="64">
        <v>309.5</v>
      </c>
    </row>
    <row r="284" spans="1:10" x14ac:dyDescent="0.25">
      <c r="A284" s="68">
        <v>805</v>
      </c>
      <c r="B284" s="23" t="s">
        <v>10</v>
      </c>
      <c r="C284" s="23" t="s">
        <v>12</v>
      </c>
      <c r="D284" s="23" t="s">
        <v>333</v>
      </c>
      <c r="E284" s="23">
        <v>22753</v>
      </c>
      <c r="F284" s="36">
        <v>25688</v>
      </c>
      <c r="G284" s="16">
        <v>1014001</v>
      </c>
      <c r="H284" t="s">
        <v>163</v>
      </c>
      <c r="J284" s="64">
        <v>822</v>
      </c>
    </row>
    <row r="285" spans="1:10" x14ac:dyDescent="0.25">
      <c r="A285" s="68">
        <v>825</v>
      </c>
      <c r="B285" s="23" t="s">
        <v>10</v>
      </c>
      <c r="C285" s="23" t="s">
        <v>7</v>
      </c>
      <c r="D285" s="23" t="s">
        <v>11</v>
      </c>
      <c r="E285" s="23">
        <v>6763</v>
      </c>
      <c r="F285" s="36">
        <v>25688</v>
      </c>
      <c r="G285" s="16">
        <v>1978003000</v>
      </c>
      <c r="H285" t="s">
        <v>334</v>
      </c>
      <c r="I285" t="s">
        <v>644</v>
      </c>
      <c r="J285" s="64">
        <v>309.5</v>
      </c>
    </row>
    <row r="286" spans="1:10" x14ac:dyDescent="0.25">
      <c r="A286" s="68">
        <v>832</v>
      </c>
      <c r="B286" s="23" t="s">
        <v>34</v>
      </c>
      <c r="C286" s="23" t="s">
        <v>7</v>
      </c>
      <c r="D286" s="23" t="s">
        <v>11</v>
      </c>
      <c r="E286" s="23">
        <v>6968</v>
      </c>
      <c r="F286" s="36">
        <v>25688</v>
      </c>
      <c r="G286" s="16">
        <v>2126001000</v>
      </c>
      <c r="H286" t="s">
        <v>180</v>
      </c>
      <c r="I286" t="s">
        <v>644</v>
      </c>
      <c r="J286" s="64">
        <v>309.5</v>
      </c>
    </row>
    <row r="287" spans="1:10" x14ac:dyDescent="0.25">
      <c r="A287" s="68">
        <v>833</v>
      </c>
      <c r="B287" s="23" t="s">
        <v>10</v>
      </c>
      <c r="C287" s="23" t="s">
        <v>12</v>
      </c>
      <c r="D287" s="23" t="s">
        <v>333</v>
      </c>
      <c r="E287" s="23">
        <v>23487</v>
      </c>
      <c r="F287" s="36">
        <v>25688</v>
      </c>
      <c r="G287" s="16">
        <v>1014001</v>
      </c>
      <c r="H287" t="s">
        <v>163</v>
      </c>
      <c r="J287" s="64">
        <v>822</v>
      </c>
    </row>
    <row r="288" spans="1:10" x14ac:dyDescent="0.25">
      <c r="A288" s="68">
        <v>840</v>
      </c>
      <c r="B288" s="23" t="s">
        <v>6</v>
      </c>
      <c r="C288" s="23" t="s">
        <v>12</v>
      </c>
      <c r="D288" s="23" t="s">
        <v>13</v>
      </c>
      <c r="E288" s="23">
        <v>115301</v>
      </c>
      <c r="F288" s="36">
        <v>25688</v>
      </c>
      <c r="G288" s="16">
        <v>2840001000</v>
      </c>
      <c r="H288" t="s">
        <v>208</v>
      </c>
      <c r="I288" t="s">
        <v>644</v>
      </c>
      <c r="J288" s="64">
        <v>1091</v>
      </c>
    </row>
    <row r="289" spans="1:10" x14ac:dyDescent="0.25">
      <c r="A289" s="68">
        <v>844</v>
      </c>
      <c r="B289" s="23" t="s">
        <v>10</v>
      </c>
      <c r="C289" s="23" t="s">
        <v>7</v>
      </c>
      <c r="D289" s="23" t="s">
        <v>11</v>
      </c>
      <c r="E289" s="23">
        <v>6985</v>
      </c>
      <c r="F289" s="36">
        <v>25688</v>
      </c>
      <c r="G289" s="16">
        <v>165001000</v>
      </c>
      <c r="H289" t="s">
        <v>198</v>
      </c>
      <c r="I289" t="s">
        <v>644</v>
      </c>
      <c r="J289" s="64">
        <v>309.5</v>
      </c>
    </row>
    <row r="290" spans="1:10" x14ac:dyDescent="0.25">
      <c r="A290" s="68">
        <v>846</v>
      </c>
      <c r="B290" s="23" t="s">
        <v>6</v>
      </c>
      <c r="C290" s="23" t="s">
        <v>7</v>
      </c>
      <c r="D290" s="23" t="s">
        <v>8</v>
      </c>
      <c r="E290" s="23">
        <v>13700</v>
      </c>
      <c r="F290" s="36">
        <v>25688</v>
      </c>
      <c r="G290" s="16">
        <v>2548051000</v>
      </c>
      <c r="H290" t="s">
        <v>335</v>
      </c>
      <c r="I290" t="s">
        <v>644</v>
      </c>
      <c r="J290" s="64">
        <v>1212</v>
      </c>
    </row>
    <row r="291" spans="1:10" x14ac:dyDescent="0.25">
      <c r="A291" s="68">
        <v>847</v>
      </c>
      <c r="B291" s="23" t="s">
        <v>10</v>
      </c>
      <c r="C291" s="23" t="s">
        <v>7</v>
      </c>
      <c r="D291" s="23" t="s">
        <v>11</v>
      </c>
      <c r="E291" s="23">
        <v>6993</v>
      </c>
      <c r="F291" s="36">
        <v>25688</v>
      </c>
      <c r="G291" s="16">
        <v>1014002</v>
      </c>
      <c r="H291" t="s">
        <v>191</v>
      </c>
      <c r="J291" s="64">
        <v>309.5</v>
      </c>
    </row>
    <row r="292" spans="1:10" x14ac:dyDescent="0.25">
      <c r="A292" s="68">
        <v>848</v>
      </c>
      <c r="B292" s="23" t="s">
        <v>6</v>
      </c>
      <c r="C292" s="23" t="s">
        <v>7</v>
      </c>
      <c r="D292" s="23" t="s">
        <v>14</v>
      </c>
      <c r="E292" s="23">
        <v>13696</v>
      </c>
      <c r="F292" s="36">
        <v>25688</v>
      </c>
      <c r="G292" s="16">
        <v>66011000</v>
      </c>
      <c r="H292" t="s">
        <v>166</v>
      </c>
      <c r="I292" t="s">
        <v>644</v>
      </c>
      <c r="J292" s="64">
        <v>1212</v>
      </c>
    </row>
    <row r="293" spans="1:10" x14ac:dyDescent="0.25">
      <c r="A293" s="68">
        <v>849</v>
      </c>
      <c r="B293" s="23" t="s">
        <v>6</v>
      </c>
      <c r="C293" s="23" t="s">
        <v>7</v>
      </c>
      <c r="D293" s="23" t="s">
        <v>14</v>
      </c>
      <c r="E293" s="23">
        <v>13733</v>
      </c>
      <c r="F293" s="36">
        <v>25688</v>
      </c>
      <c r="G293" s="16">
        <v>3372001000</v>
      </c>
      <c r="H293" t="s">
        <v>336</v>
      </c>
      <c r="I293" t="s">
        <v>644</v>
      </c>
      <c r="J293" s="64">
        <v>1212</v>
      </c>
    </row>
    <row r="294" spans="1:10" x14ac:dyDescent="0.25">
      <c r="A294" s="68">
        <v>851</v>
      </c>
      <c r="B294" s="23" t="s">
        <v>10</v>
      </c>
      <c r="C294" s="23" t="s">
        <v>7</v>
      </c>
      <c r="D294" s="23" t="s">
        <v>11</v>
      </c>
      <c r="E294" s="23">
        <v>2125</v>
      </c>
      <c r="F294" s="36">
        <v>25688</v>
      </c>
      <c r="G294" s="16">
        <v>3370003000</v>
      </c>
      <c r="H294" t="s">
        <v>172</v>
      </c>
      <c r="I294" t="s">
        <v>644</v>
      </c>
      <c r="J294" s="64">
        <v>309.5</v>
      </c>
    </row>
    <row r="295" spans="1:10" x14ac:dyDescent="0.25">
      <c r="A295" s="68">
        <v>852</v>
      </c>
      <c r="B295" s="23" t="s">
        <v>10</v>
      </c>
      <c r="C295" s="23" t="s">
        <v>7</v>
      </c>
      <c r="D295" s="23" t="s">
        <v>11</v>
      </c>
      <c r="E295" s="23">
        <v>21712</v>
      </c>
      <c r="F295" s="36">
        <v>25688</v>
      </c>
      <c r="G295" s="16">
        <v>1165000000</v>
      </c>
      <c r="H295" t="s">
        <v>184</v>
      </c>
      <c r="I295" t="s">
        <v>644</v>
      </c>
      <c r="J295" s="64">
        <v>309.5</v>
      </c>
    </row>
    <row r="296" spans="1:10" x14ac:dyDescent="0.25">
      <c r="A296" s="68">
        <v>853</v>
      </c>
      <c r="B296" s="23" t="s">
        <v>10</v>
      </c>
      <c r="C296" s="23" t="s">
        <v>18</v>
      </c>
      <c r="D296" s="23" t="s">
        <v>26</v>
      </c>
      <c r="F296" s="36">
        <v>25688</v>
      </c>
      <c r="G296" s="16">
        <v>1014001</v>
      </c>
      <c r="H296" t="s">
        <v>163</v>
      </c>
      <c r="J296" s="64">
        <v>532</v>
      </c>
    </row>
    <row r="297" spans="1:10" x14ac:dyDescent="0.25">
      <c r="A297" s="68">
        <v>863</v>
      </c>
      <c r="B297" s="23" t="s">
        <v>10</v>
      </c>
      <c r="C297" s="23" t="s">
        <v>7</v>
      </c>
      <c r="D297" s="23" t="s">
        <v>11</v>
      </c>
      <c r="E297" s="23">
        <v>1378</v>
      </c>
      <c r="F297" s="36">
        <v>25688</v>
      </c>
      <c r="G297" s="16">
        <v>1748001000</v>
      </c>
      <c r="H297" t="s">
        <v>337</v>
      </c>
      <c r="I297" t="s">
        <v>644</v>
      </c>
      <c r="J297" s="64">
        <v>309.5</v>
      </c>
    </row>
    <row r="298" spans="1:10" x14ac:dyDescent="0.25">
      <c r="A298" s="68">
        <v>866</v>
      </c>
      <c r="B298" s="23" t="s">
        <v>6</v>
      </c>
      <c r="C298" s="23" t="s">
        <v>7</v>
      </c>
      <c r="D298" s="23" t="s">
        <v>14</v>
      </c>
      <c r="E298" s="23">
        <v>16000</v>
      </c>
      <c r="F298" s="36">
        <v>25688</v>
      </c>
      <c r="G298" s="16">
        <v>3370002000</v>
      </c>
      <c r="H298" t="s">
        <v>338</v>
      </c>
      <c r="I298" t="s">
        <v>644</v>
      </c>
      <c r="J298" s="64">
        <v>1212</v>
      </c>
    </row>
    <row r="299" spans="1:10" x14ac:dyDescent="0.25">
      <c r="A299" s="68">
        <v>868</v>
      </c>
      <c r="B299" s="23" t="s">
        <v>6</v>
      </c>
      <c r="C299" s="23" t="s">
        <v>12</v>
      </c>
      <c r="D299" s="23" t="s">
        <v>21</v>
      </c>
      <c r="E299" s="23">
        <v>223</v>
      </c>
      <c r="F299" s="36">
        <v>35797</v>
      </c>
      <c r="G299" s="16">
        <v>2126001000</v>
      </c>
      <c r="H299" t="s">
        <v>180</v>
      </c>
      <c r="I299" t="s">
        <v>644</v>
      </c>
      <c r="J299" s="64">
        <v>992.5</v>
      </c>
    </row>
    <row r="300" spans="1:10" x14ac:dyDescent="0.25">
      <c r="A300" s="68">
        <v>869</v>
      </c>
      <c r="B300" s="23" t="s">
        <v>10</v>
      </c>
      <c r="C300" s="23" t="s">
        <v>18</v>
      </c>
      <c r="D300" s="23" t="s">
        <v>26</v>
      </c>
      <c r="E300" s="23">
        <v>1042662</v>
      </c>
      <c r="F300" s="36">
        <v>25688</v>
      </c>
      <c r="G300" s="16">
        <v>3043001000</v>
      </c>
      <c r="H300" t="s">
        <v>339</v>
      </c>
      <c r="I300" t="s">
        <v>644</v>
      </c>
      <c r="J300" s="64">
        <v>532</v>
      </c>
    </row>
    <row r="301" spans="1:10" x14ac:dyDescent="0.25">
      <c r="A301" s="68">
        <v>871</v>
      </c>
      <c r="B301" s="23" t="s">
        <v>6</v>
      </c>
      <c r="C301" s="23" t="s">
        <v>36</v>
      </c>
      <c r="D301" s="23" t="s">
        <v>43</v>
      </c>
      <c r="F301" s="36">
        <v>25688</v>
      </c>
      <c r="G301" s="16">
        <v>165001000</v>
      </c>
      <c r="H301" t="s">
        <v>198</v>
      </c>
      <c r="I301" t="s">
        <v>644</v>
      </c>
      <c r="J301" s="40">
        <v>1202.5</v>
      </c>
    </row>
    <row r="302" spans="1:10" ht="15.75" x14ac:dyDescent="0.25">
      <c r="A302" s="68">
        <v>872</v>
      </c>
      <c r="B302" s="23" t="s">
        <v>10</v>
      </c>
      <c r="C302" s="23" t="s">
        <v>7</v>
      </c>
      <c r="D302" s="23" t="s">
        <v>20</v>
      </c>
      <c r="E302" s="23">
        <v>7989</v>
      </c>
      <c r="F302" s="36">
        <v>25688</v>
      </c>
      <c r="G302" s="16">
        <v>1014001</v>
      </c>
      <c r="H302" t="s">
        <v>163</v>
      </c>
      <c r="J302" s="65">
        <v>461</v>
      </c>
    </row>
    <row r="303" spans="1:10" x14ac:dyDescent="0.25">
      <c r="A303" s="68">
        <v>873</v>
      </c>
      <c r="B303" s="23" t="s">
        <v>10</v>
      </c>
      <c r="C303" s="23" t="s">
        <v>7</v>
      </c>
      <c r="D303" s="23" t="s">
        <v>11</v>
      </c>
      <c r="E303" s="23">
        <v>1220</v>
      </c>
      <c r="F303" s="36">
        <v>25688</v>
      </c>
      <c r="G303" s="16">
        <v>2675001000</v>
      </c>
      <c r="H303" t="s">
        <v>340</v>
      </c>
      <c r="I303" t="s">
        <v>644</v>
      </c>
      <c r="J303" s="64">
        <v>309.5</v>
      </c>
    </row>
    <row r="304" spans="1:10" x14ac:dyDescent="0.25">
      <c r="A304" s="68">
        <v>876</v>
      </c>
      <c r="B304" s="23" t="s">
        <v>10</v>
      </c>
      <c r="C304" s="23" t="s">
        <v>7</v>
      </c>
      <c r="D304" s="23" t="s">
        <v>11</v>
      </c>
      <c r="E304" s="23">
        <v>776</v>
      </c>
      <c r="F304" s="36">
        <v>25688</v>
      </c>
      <c r="G304" s="16">
        <v>193012000</v>
      </c>
      <c r="H304" t="s">
        <v>200</v>
      </c>
      <c r="I304" t="s">
        <v>644</v>
      </c>
      <c r="J304" s="64">
        <v>309.5</v>
      </c>
    </row>
    <row r="305" spans="1:10" ht="15.75" x14ac:dyDescent="0.25">
      <c r="A305" s="68">
        <v>884</v>
      </c>
      <c r="B305" s="23" t="s">
        <v>10</v>
      </c>
      <c r="C305" s="23" t="s">
        <v>7</v>
      </c>
      <c r="D305" s="23" t="s">
        <v>20</v>
      </c>
      <c r="E305" s="23">
        <v>17446</v>
      </c>
      <c r="F305" s="36">
        <v>25688</v>
      </c>
      <c r="G305" s="16">
        <v>1000005</v>
      </c>
      <c r="H305" t="s">
        <v>341</v>
      </c>
      <c r="J305" s="65">
        <v>461</v>
      </c>
    </row>
    <row r="306" spans="1:10" x14ac:dyDescent="0.25">
      <c r="A306" s="68">
        <v>894</v>
      </c>
      <c r="B306" s="23" t="s">
        <v>10</v>
      </c>
      <c r="C306" s="23" t="s">
        <v>7</v>
      </c>
      <c r="D306" s="23" t="s">
        <v>11</v>
      </c>
      <c r="F306" s="36">
        <v>25688</v>
      </c>
      <c r="G306" s="16">
        <v>3207012000</v>
      </c>
      <c r="H306" t="s">
        <v>342</v>
      </c>
      <c r="I306" t="s">
        <v>644</v>
      </c>
      <c r="J306" s="64">
        <v>309.5</v>
      </c>
    </row>
    <row r="307" spans="1:10" x14ac:dyDescent="0.25">
      <c r="A307" s="68">
        <v>897</v>
      </c>
      <c r="B307" s="23" t="s">
        <v>10</v>
      </c>
      <c r="C307" s="23" t="s">
        <v>12</v>
      </c>
      <c r="D307" s="23" t="s">
        <v>94</v>
      </c>
      <c r="E307" s="23">
        <v>2329</v>
      </c>
      <c r="F307" s="36">
        <v>25688</v>
      </c>
      <c r="G307" s="16">
        <v>2126001000</v>
      </c>
      <c r="H307" t="s">
        <v>180</v>
      </c>
      <c r="I307" t="s">
        <v>644</v>
      </c>
      <c r="J307" s="61"/>
    </row>
    <row r="308" spans="1:10" x14ac:dyDescent="0.25">
      <c r="A308" s="68">
        <v>899</v>
      </c>
      <c r="B308" s="23" t="s">
        <v>10</v>
      </c>
      <c r="C308" s="23" t="s">
        <v>7</v>
      </c>
      <c r="D308" s="23" t="s">
        <v>11</v>
      </c>
      <c r="E308" s="23">
        <v>1460</v>
      </c>
      <c r="F308" s="36">
        <v>25688</v>
      </c>
      <c r="G308" s="16">
        <v>1406006000</v>
      </c>
      <c r="H308" t="s">
        <v>343</v>
      </c>
      <c r="I308" t="s">
        <v>644</v>
      </c>
      <c r="J308" s="64">
        <v>309.5</v>
      </c>
    </row>
    <row r="309" spans="1:10" x14ac:dyDescent="0.25">
      <c r="A309" s="68">
        <v>910</v>
      </c>
      <c r="B309" s="23" t="s">
        <v>10</v>
      </c>
      <c r="C309" s="23" t="s">
        <v>7</v>
      </c>
      <c r="D309" s="23" t="s">
        <v>11</v>
      </c>
      <c r="E309" s="23">
        <v>11270</v>
      </c>
      <c r="F309" s="36">
        <v>25688</v>
      </c>
      <c r="G309" s="16">
        <v>3042060001</v>
      </c>
      <c r="H309" t="s">
        <v>344</v>
      </c>
      <c r="I309" t="s">
        <v>643</v>
      </c>
      <c r="J309" s="64">
        <v>309.5</v>
      </c>
    </row>
    <row r="310" spans="1:10" x14ac:dyDescent="0.25">
      <c r="A310" s="68">
        <v>915</v>
      </c>
      <c r="B310" s="23" t="s">
        <v>10</v>
      </c>
      <c r="C310" s="23" t="s">
        <v>7</v>
      </c>
      <c r="D310" s="23" t="s">
        <v>11</v>
      </c>
      <c r="F310" s="36">
        <v>25688</v>
      </c>
      <c r="G310" s="16">
        <v>2315001000</v>
      </c>
      <c r="H310" t="s">
        <v>345</v>
      </c>
      <c r="I310" t="s">
        <v>644</v>
      </c>
      <c r="J310" s="64">
        <v>309.5</v>
      </c>
    </row>
    <row r="311" spans="1:10" x14ac:dyDescent="0.25">
      <c r="A311" s="68">
        <v>919</v>
      </c>
      <c r="B311" s="23" t="s">
        <v>6</v>
      </c>
      <c r="C311" s="23" t="s">
        <v>12</v>
      </c>
      <c r="D311" s="23" t="s">
        <v>19</v>
      </c>
      <c r="E311" s="23">
        <v>117419</v>
      </c>
      <c r="F311" s="36">
        <v>25688</v>
      </c>
      <c r="G311" s="16">
        <v>2548101000</v>
      </c>
      <c r="H311" t="s">
        <v>346</v>
      </c>
      <c r="I311" t="s">
        <v>644</v>
      </c>
      <c r="J311" s="64">
        <v>1289</v>
      </c>
    </row>
    <row r="312" spans="1:10" x14ac:dyDescent="0.25">
      <c r="A312" s="68">
        <v>920</v>
      </c>
      <c r="B312" s="23" t="s">
        <v>10</v>
      </c>
      <c r="C312" s="23" t="s">
        <v>18</v>
      </c>
      <c r="D312" s="23" t="s">
        <v>19</v>
      </c>
      <c r="F312" s="36">
        <v>25688</v>
      </c>
      <c r="G312" s="16">
        <v>2777001000</v>
      </c>
      <c r="H312" t="s">
        <v>347</v>
      </c>
      <c r="I312" t="s">
        <v>644</v>
      </c>
      <c r="J312" s="64">
        <v>1154</v>
      </c>
    </row>
    <row r="313" spans="1:10" x14ac:dyDescent="0.25">
      <c r="A313" s="68">
        <v>923</v>
      </c>
      <c r="B313" s="23" t="s">
        <v>10</v>
      </c>
      <c r="C313" s="23" t="s">
        <v>18</v>
      </c>
      <c r="D313" s="23" t="s">
        <v>19</v>
      </c>
      <c r="F313" s="36">
        <v>25688</v>
      </c>
      <c r="G313" s="16">
        <v>1014001</v>
      </c>
      <c r="H313" t="s">
        <v>163</v>
      </c>
      <c r="J313" s="64">
        <v>1154</v>
      </c>
    </row>
    <row r="314" spans="1:10" x14ac:dyDescent="0.25">
      <c r="A314" s="68">
        <v>925</v>
      </c>
      <c r="B314" s="23" t="s">
        <v>6</v>
      </c>
      <c r="C314" s="23" t="s">
        <v>36</v>
      </c>
      <c r="D314" s="23" t="s">
        <v>43</v>
      </c>
      <c r="F314" s="36">
        <v>25688</v>
      </c>
      <c r="G314" s="16">
        <v>1014001</v>
      </c>
      <c r="H314" t="s">
        <v>163</v>
      </c>
      <c r="J314" s="40">
        <v>1202.5</v>
      </c>
    </row>
    <row r="315" spans="1:10" ht="15.75" x14ac:dyDescent="0.25">
      <c r="A315" s="68">
        <v>930</v>
      </c>
      <c r="B315" s="23" t="s">
        <v>10</v>
      </c>
      <c r="C315" s="23" t="s">
        <v>7</v>
      </c>
      <c r="D315" s="23" t="s">
        <v>20</v>
      </c>
      <c r="E315" s="23">
        <v>938</v>
      </c>
      <c r="F315" s="36">
        <v>25688</v>
      </c>
      <c r="G315" s="16">
        <v>3178001000</v>
      </c>
      <c r="H315" t="s">
        <v>348</v>
      </c>
      <c r="I315" t="s">
        <v>644</v>
      </c>
      <c r="J315" s="65">
        <v>461</v>
      </c>
    </row>
    <row r="316" spans="1:10" x14ac:dyDescent="0.25">
      <c r="A316" s="68">
        <v>931</v>
      </c>
      <c r="B316" s="23" t="s">
        <v>10</v>
      </c>
      <c r="C316" s="23" t="s">
        <v>18</v>
      </c>
      <c r="D316" s="23">
        <v>1014</v>
      </c>
      <c r="E316" s="23">
        <v>18782</v>
      </c>
      <c r="F316" s="36">
        <v>25688</v>
      </c>
      <c r="G316" s="16">
        <v>212005000</v>
      </c>
      <c r="H316" t="s">
        <v>349</v>
      </c>
      <c r="I316" t="s">
        <v>644</v>
      </c>
      <c r="J316" s="64">
        <v>241.5</v>
      </c>
    </row>
    <row r="317" spans="1:10" x14ac:dyDescent="0.25">
      <c r="A317" s="68">
        <v>932</v>
      </c>
      <c r="B317" s="23" t="s">
        <v>10</v>
      </c>
      <c r="C317" s="23" t="s">
        <v>7</v>
      </c>
      <c r="D317" s="23" t="s">
        <v>11</v>
      </c>
      <c r="E317" s="23">
        <v>1940</v>
      </c>
      <c r="F317" s="36">
        <v>25688</v>
      </c>
      <c r="G317" s="16">
        <v>1014001</v>
      </c>
      <c r="H317" t="s">
        <v>163</v>
      </c>
      <c r="J317" s="64">
        <v>309.5</v>
      </c>
    </row>
    <row r="318" spans="1:10" x14ac:dyDescent="0.25">
      <c r="A318" s="68">
        <v>934</v>
      </c>
      <c r="B318" s="23" t="s">
        <v>6</v>
      </c>
      <c r="C318" s="23" t="s">
        <v>12</v>
      </c>
      <c r="D318" s="23" t="s">
        <v>13</v>
      </c>
      <c r="E318" s="23">
        <v>117380</v>
      </c>
      <c r="F318" s="36">
        <v>25688</v>
      </c>
      <c r="G318" s="16">
        <v>1165001000</v>
      </c>
      <c r="H318" t="s">
        <v>350</v>
      </c>
      <c r="I318" t="s">
        <v>644</v>
      </c>
      <c r="J318" s="64">
        <v>1091</v>
      </c>
    </row>
    <row r="319" spans="1:10" ht="15.75" x14ac:dyDescent="0.25">
      <c r="A319" s="68">
        <v>935</v>
      </c>
      <c r="B319" s="23" t="s">
        <v>10</v>
      </c>
      <c r="C319" s="23" t="s">
        <v>7</v>
      </c>
      <c r="D319" s="23" t="s">
        <v>20</v>
      </c>
      <c r="E319" s="23">
        <v>101252</v>
      </c>
      <c r="F319" s="36">
        <v>25688</v>
      </c>
      <c r="G319" s="16">
        <v>66011000</v>
      </c>
      <c r="H319" t="s">
        <v>166</v>
      </c>
      <c r="I319" t="s">
        <v>644</v>
      </c>
      <c r="J319" s="65">
        <v>461</v>
      </c>
    </row>
    <row r="320" spans="1:10" x14ac:dyDescent="0.25">
      <c r="A320" s="68">
        <v>936</v>
      </c>
      <c r="B320" s="23" t="s">
        <v>6</v>
      </c>
      <c r="C320" s="23" t="s">
        <v>18</v>
      </c>
      <c r="D320" s="23">
        <v>2625</v>
      </c>
      <c r="E320" s="23">
        <v>17844</v>
      </c>
      <c r="F320" s="36">
        <v>25688</v>
      </c>
      <c r="G320" s="16">
        <v>3370003000</v>
      </c>
      <c r="H320" t="s">
        <v>172</v>
      </c>
      <c r="I320" t="s">
        <v>644</v>
      </c>
    </row>
    <row r="321" spans="1:10" x14ac:dyDescent="0.25">
      <c r="A321" s="68">
        <v>938</v>
      </c>
      <c r="B321" s="23" t="s">
        <v>34</v>
      </c>
      <c r="C321" s="23" t="s">
        <v>7</v>
      </c>
      <c r="D321" s="23" t="s">
        <v>11</v>
      </c>
      <c r="E321" s="23">
        <v>199789</v>
      </c>
      <c r="F321" s="36">
        <v>25688</v>
      </c>
      <c r="G321" s="16">
        <v>165001000</v>
      </c>
      <c r="H321" t="s">
        <v>198</v>
      </c>
      <c r="I321" t="s">
        <v>644</v>
      </c>
      <c r="J321" s="64">
        <v>309.5</v>
      </c>
    </row>
    <row r="322" spans="1:10" x14ac:dyDescent="0.25">
      <c r="A322" s="68">
        <v>945</v>
      </c>
      <c r="B322" s="23" t="s">
        <v>10</v>
      </c>
      <c r="C322" s="23" t="s">
        <v>7</v>
      </c>
      <c r="D322" s="23" t="s">
        <v>11</v>
      </c>
      <c r="E322" s="23">
        <v>10508</v>
      </c>
      <c r="F322" s="36">
        <v>25688</v>
      </c>
      <c r="G322" s="16">
        <v>165001000</v>
      </c>
      <c r="H322" t="s">
        <v>198</v>
      </c>
      <c r="I322" t="s">
        <v>644</v>
      </c>
      <c r="J322" s="64">
        <v>309.5</v>
      </c>
    </row>
    <row r="323" spans="1:10" x14ac:dyDescent="0.25">
      <c r="A323" s="68">
        <v>949</v>
      </c>
      <c r="B323" s="23" t="s">
        <v>6</v>
      </c>
      <c r="C323" s="23" t="s">
        <v>7</v>
      </c>
      <c r="D323" s="23" t="s">
        <v>14</v>
      </c>
      <c r="E323" s="23">
        <v>15998</v>
      </c>
      <c r="F323" s="36">
        <v>25688</v>
      </c>
      <c r="G323" s="16">
        <v>2126001000</v>
      </c>
      <c r="H323" t="s">
        <v>180</v>
      </c>
      <c r="I323" t="s">
        <v>644</v>
      </c>
      <c r="J323" s="64">
        <v>1212</v>
      </c>
    </row>
    <row r="324" spans="1:10" x14ac:dyDescent="0.25">
      <c r="A324" s="68">
        <v>950</v>
      </c>
      <c r="B324" s="23" t="s">
        <v>10</v>
      </c>
      <c r="C324" s="23" t="s">
        <v>18</v>
      </c>
      <c r="D324" s="23" t="s">
        <v>19</v>
      </c>
      <c r="F324" s="36">
        <v>25688</v>
      </c>
      <c r="G324" s="16">
        <v>1967007000</v>
      </c>
      <c r="H324" t="s">
        <v>282</v>
      </c>
      <c r="I324" t="s">
        <v>644</v>
      </c>
      <c r="J324" s="64">
        <v>1154</v>
      </c>
    </row>
    <row r="325" spans="1:10" x14ac:dyDescent="0.25">
      <c r="A325" s="68">
        <v>954</v>
      </c>
      <c r="B325" s="23" t="s">
        <v>10</v>
      </c>
      <c r="C325" s="23" t="s">
        <v>7</v>
      </c>
      <c r="D325" s="23" t="s">
        <v>11</v>
      </c>
      <c r="E325" s="23">
        <v>814</v>
      </c>
      <c r="F325" s="36">
        <v>25688</v>
      </c>
      <c r="G325" s="16">
        <v>165001000</v>
      </c>
      <c r="H325" t="s">
        <v>198</v>
      </c>
      <c r="I325" t="s">
        <v>644</v>
      </c>
      <c r="J325" s="64">
        <v>309.5</v>
      </c>
    </row>
    <row r="326" spans="1:10" x14ac:dyDescent="0.25">
      <c r="A326" s="68">
        <v>955</v>
      </c>
      <c r="B326" s="23" t="s">
        <v>6</v>
      </c>
      <c r="C326" s="23" t="s">
        <v>7</v>
      </c>
      <c r="D326" s="23" t="s">
        <v>14</v>
      </c>
      <c r="E326" s="23">
        <v>2871</v>
      </c>
      <c r="F326" s="36">
        <v>25688</v>
      </c>
      <c r="G326" s="16">
        <v>1406001000</v>
      </c>
      <c r="H326" t="s">
        <v>215</v>
      </c>
      <c r="I326" t="s">
        <v>644</v>
      </c>
      <c r="J326" s="64">
        <v>1212</v>
      </c>
    </row>
    <row r="327" spans="1:10" x14ac:dyDescent="0.25">
      <c r="A327" s="68">
        <v>964</v>
      </c>
      <c r="B327" s="23" t="s">
        <v>10</v>
      </c>
      <c r="C327" s="23" t="s">
        <v>18</v>
      </c>
      <c r="D327" s="23" t="s">
        <v>26</v>
      </c>
      <c r="F327" s="36">
        <v>25688</v>
      </c>
      <c r="G327" s="16">
        <v>43006000</v>
      </c>
      <c r="H327" t="s">
        <v>177</v>
      </c>
      <c r="I327" t="s">
        <v>644</v>
      </c>
      <c r="J327" s="64">
        <v>532</v>
      </c>
    </row>
    <row r="328" spans="1:10" x14ac:dyDescent="0.25">
      <c r="A328" s="68">
        <v>965</v>
      </c>
      <c r="B328" s="23" t="s">
        <v>10</v>
      </c>
      <c r="C328" s="23" t="s">
        <v>18</v>
      </c>
      <c r="D328" s="23" t="s">
        <v>19</v>
      </c>
      <c r="F328" s="36">
        <v>25688</v>
      </c>
      <c r="G328" s="16">
        <v>1165000000</v>
      </c>
      <c r="H328" t="s">
        <v>184</v>
      </c>
      <c r="I328" t="s">
        <v>644</v>
      </c>
      <c r="J328" s="64">
        <v>1154</v>
      </c>
    </row>
    <row r="329" spans="1:10" x14ac:dyDescent="0.25">
      <c r="A329" s="68">
        <v>972</v>
      </c>
      <c r="B329" s="23" t="s">
        <v>6</v>
      </c>
      <c r="C329" s="23" t="s">
        <v>7</v>
      </c>
      <c r="D329" s="23" t="s">
        <v>14</v>
      </c>
      <c r="E329" s="23">
        <v>4081</v>
      </c>
      <c r="F329" s="36">
        <v>25688</v>
      </c>
      <c r="G329" s="16">
        <v>66011000</v>
      </c>
      <c r="H329" t="s">
        <v>166</v>
      </c>
      <c r="I329" t="s">
        <v>644</v>
      </c>
      <c r="J329" s="64">
        <v>1212</v>
      </c>
    </row>
    <row r="330" spans="1:10" x14ac:dyDescent="0.25">
      <c r="A330" s="68">
        <v>979</v>
      </c>
      <c r="B330" s="23" t="s">
        <v>10</v>
      </c>
      <c r="C330" s="23" t="s">
        <v>7</v>
      </c>
      <c r="D330" s="23" t="s">
        <v>11</v>
      </c>
      <c r="E330" s="23">
        <v>10787</v>
      </c>
      <c r="F330" s="36">
        <v>25688</v>
      </c>
      <c r="G330" s="16">
        <v>2548053000</v>
      </c>
      <c r="H330" t="s">
        <v>351</v>
      </c>
      <c r="I330" t="s">
        <v>644</v>
      </c>
      <c r="J330" s="64">
        <v>309.5</v>
      </c>
    </row>
    <row r="331" spans="1:10" x14ac:dyDescent="0.25">
      <c r="A331" s="68">
        <v>997</v>
      </c>
      <c r="B331" s="23" t="s">
        <v>83</v>
      </c>
      <c r="C331" s="23" t="s">
        <v>352</v>
      </c>
      <c r="D331" s="23" t="s">
        <v>19</v>
      </c>
      <c r="E331" s="23">
        <v>492870</v>
      </c>
      <c r="F331" s="36">
        <v>25688</v>
      </c>
      <c r="G331" s="16">
        <v>1014001</v>
      </c>
      <c r="H331" t="s">
        <v>163</v>
      </c>
      <c r="J331" s="61"/>
    </row>
    <row r="332" spans="1:10" ht="15.75" x14ac:dyDescent="0.25">
      <c r="A332" s="68">
        <v>1002</v>
      </c>
      <c r="B332" s="23" t="s">
        <v>10</v>
      </c>
      <c r="C332" s="23" t="s">
        <v>7</v>
      </c>
      <c r="D332" s="23" t="s">
        <v>20</v>
      </c>
      <c r="E332" s="23">
        <v>7941</v>
      </c>
      <c r="F332" s="36">
        <v>25688</v>
      </c>
      <c r="G332" s="16">
        <v>1014001</v>
      </c>
      <c r="H332" t="s">
        <v>163</v>
      </c>
      <c r="J332" s="65">
        <v>461</v>
      </c>
    </row>
    <row r="333" spans="1:10" x14ac:dyDescent="0.25">
      <c r="A333" s="68">
        <v>1003</v>
      </c>
      <c r="B333" s="23" t="s">
        <v>34</v>
      </c>
      <c r="C333" s="23" t="s">
        <v>7</v>
      </c>
      <c r="D333" s="23" t="s">
        <v>11</v>
      </c>
      <c r="F333" s="36">
        <v>25688</v>
      </c>
      <c r="G333" s="16">
        <v>1967007000</v>
      </c>
      <c r="H333" t="s">
        <v>282</v>
      </c>
      <c r="I333" t="s">
        <v>644</v>
      </c>
      <c r="J333" s="64">
        <v>309.5</v>
      </c>
    </row>
    <row r="334" spans="1:10" x14ac:dyDescent="0.25">
      <c r="A334" s="68">
        <v>1004</v>
      </c>
      <c r="B334" s="23" t="s">
        <v>10</v>
      </c>
      <c r="C334" s="23" t="s">
        <v>7</v>
      </c>
      <c r="D334" s="23" t="s">
        <v>11</v>
      </c>
      <c r="E334" s="23">
        <v>579</v>
      </c>
      <c r="F334" s="36">
        <v>25688</v>
      </c>
      <c r="G334" s="16">
        <v>43006000</v>
      </c>
      <c r="H334" t="s">
        <v>177</v>
      </c>
      <c r="I334" t="s">
        <v>644</v>
      </c>
      <c r="J334" s="64">
        <v>309.5</v>
      </c>
    </row>
    <row r="335" spans="1:10" x14ac:dyDescent="0.25">
      <c r="A335" s="68">
        <v>1007</v>
      </c>
      <c r="B335" s="23" t="s">
        <v>34</v>
      </c>
      <c r="C335" s="23" t="s">
        <v>18</v>
      </c>
      <c r="D335" s="23" t="s">
        <v>19</v>
      </c>
      <c r="F335" s="36">
        <v>25688</v>
      </c>
      <c r="G335" s="16">
        <v>1165000000</v>
      </c>
      <c r="H335" t="s">
        <v>184</v>
      </c>
      <c r="I335" t="s">
        <v>644</v>
      </c>
      <c r="J335" s="64">
        <v>1154</v>
      </c>
    </row>
    <row r="336" spans="1:10" x14ac:dyDescent="0.25">
      <c r="A336" s="68">
        <v>1013</v>
      </c>
      <c r="B336" s="23" t="s">
        <v>10</v>
      </c>
      <c r="C336" s="23" t="s">
        <v>12</v>
      </c>
      <c r="D336" s="23" t="s">
        <v>85</v>
      </c>
      <c r="F336" s="36">
        <v>25688</v>
      </c>
      <c r="G336" s="16">
        <v>3319002000</v>
      </c>
      <c r="H336" t="s">
        <v>224</v>
      </c>
      <c r="I336" t="s">
        <v>644</v>
      </c>
      <c r="J336" s="64">
        <v>629</v>
      </c>
    </row>
    <row r="337" spans="1:10" x14ac:dyDescent="0.25">
      <c r="A337" s="68">
        <v>1030</v>
      </c>
      <c r="B337" s="23" t="s">
        <v>6</v>
      </c>
      <c r="C337" s="23" t="s">
        <v>36</v>
      </c>
      <c r="D337" s="23" t="s">
        <v>43</v>
      </c>
      <c r="F337" s="36">
        <v>25688</v>
      </c>
      <c r="G337" s="16">
        <v>2126006000</v>
      </c>
      <c r="H337" t="s">
        <v>353</v>
      </c>
      <c r="I337" t="s">
        <v>644</v>
      </c>
      <c r="J337" s="40">
        <v>1202.5</v>
      </c>
    </row>
    <row r="338" spans="1:10" ht="15.75" x14ac:dyDescent="0.25">
      <c r="A338" s="68">
        <v>1031</v>
      </c>
      <c r="B338" s="23" t="s">
        <v>10</v>
      </c>
      <c r="C338" s="23" t="s">
        <v>7</v>
      </c>
      <c r="D338" s="23" t="s">
        <v>20</v>
      </c>
      <c r="E338" s="23">
        <v>8728</v>
      </c>
      <c r="F338" s="36">
        <v>25688</v>
      </c>
      <c r="G338">
        <v>3300202000</v>
      </c>
      <c r="H338" t="s">
        <v>220</v>
      </c>
      <c r="I338" t="s">
        <v>644</v>
      </c>
      <c r="J338" s="65">
        <v>461</v>
      </c>
    </row>
    <row r="339" spans="1:10" x14ac:dyDescent="0.25">
      <c r="A339" s="68">
        <v>1035</v>
      </c>
      <c r="B339" s="23" t="s">
        <v>10</v>
      </c>
      <c r="C339" s="23" t="s">
        <v>7</v>
      </c>
      <c r="D339" s="23" t="s">
        <v>11</v>
      </c>
      <c r="E339" s="23">
        <v>5176</v>
      </c>
      <c r="F339" s="36">
        <v>25688</v>
      </c>
      <c r="G339" s="16">
        <v>3284001000</v>
      </c>
      <c r="H339" t="s">
        <v>354</v>
      </c>
      <c r="I339" t="s">
        <v>644</v>
      </c>
      <c r="J339" s="64">
        <v>309.5</v>
      </c>
    </row>
    <row r="340" spans="1:10" x14ac:dyDescent="0.25">
      <c r="A340" s="68">
        <v>1042</v>
      </c>
      <c r="B340" s="23" t="s">
        <v>6</v>
      </c>
      <c r="C340" s="23" t="s">
        <v>7</v>
      </c>
      <c r="D340" s="23" t="s">
        <v>14</v>
      </c>
      <c r="F340" s="36">
        <v>25688</v>
      </c>
      <c r="G340" s="16">
        <v>2735001000</v>
      </c>
      <c r="H340" t="s">
        <v>355</v>
      </c>
      <c r="I340" t="s">
        <v>644</v>
      </c>
      <c r="J340" s="64">
        <v>1212</v>
      </c>
    </row>
    <row r="341" spans="1:10" x14ac:dyDescent="0.25">
      <c r="A341" s="68">
        <v>1049</v>
      </c>
      <c r="B341" s="23" t="s">
        <v>10</v>
      </c>
      <c r="C341" s="23" t="s">
        <v>18</v>
      </c>
      <c r="D341" s="23" t="s">
        <v>19</v>
      </c>
      <c r="F341" s="36">
        <v>25688</v>
      </c>
      <c r="G341" s="16">
        <v>3034001000</v>
      </c>
      <c r="H341" t="s">
        <v>356</v>
      </c>
      <c r="I341" t="s">
        <v>644</v>
      </c>
      <c r="J341" s="64">
        <v>1154</v>
      </c>
    </row>
    <row r="342" spans="1:10" x14ac:dyDescent="0.25">
      <c r="A342" s="68">
        <v>1051</v>
      </c>
      <c r="B342" s="23" t="s">
        <v>10</v>
      </c>
      <c r="C342" s="23" t="s">
        <v>7</v>
      </c>
      <c r="D342" s="23" t="s">
        <v>11</v>
      </c>
      <c r="E342" s="23">
        <v>1235</v>
      </c>
      <c r="F342" s="36">
        <v>25688</v>
      </c>
      <c r="G342" s="16">
        <v>3343001000</v>
      </c>
      <c r="H342" t="s">
        <v>216</v>
      </c>
      <c r="I342" t="s">
        <v>644</v>
      </c>
      <c r="J342" s="64">
        <v>309.5</v>
      </c>
    </row>
    <row r="343" spans="1:10" x14ac:dyDescent="0.25">
      <c r="A343" s="68">
        <v>1053</v>
      </c>
      <c r="B343" s="23" t="s">
        <v>10</v>
      </c>
      <c r="C343" s="23" t="s">
        <v>18</v>
      </c>
      <c r="D343" s="23" t="s">
        <v>19</v>
      </c>
      <c r="F343" s="36">
        <v>25688</v>
      </c>
      <c r="G343" s="16">
        <v>3234001000</v>
      </c>
      <c r="H343" t="s">
        <v>192</v>
      </c>
      <c r="I343" t="s">
        <v>644</v>
      </c>
      <c r="J343" s="64">
        <v>1154</v>
      </c>
    </row>
    <row r="344" spans="1:10" x14ac:dyDescent="0.25">
      <c r="A344" s="68">
        <v>1056</v>
      </c>
      <c r="B344" s="23" t="s">
        <v>6</v>
      </c>
      <c r="C344" s="23" t="s">
        <v>18</v>
      </c>
      <c r="D344" s="23">
        <v>2815</v>
      </c>
      <c r="E344" s="23">
        <v>20338</v>
      </c>
      <c r="F344" s="36">
        <v>25688</v>
      </c>
      <c r="G344" s="16">
        <v>66011000</v>
      </c>
      <c r="H344" t="s">
        <v>166</v>
      </c>
      <c r="I344" t="s">
        <v>644</v>
      </c>
      <c r="J344" s="64">
        <v>1154</v>
      </c>
    </row>
    <row r="345" spans="1:10" ht="15.75" x14ac:dyDescent="0.25">
      <c r="A345" s="68">
        <v>1059</v>
      </c>
      <c r="B345" s="23" t="s">
        <v>10</v>
      </c>
      <c r="C345" s="23" t="s">
        <v>7</v>
      </c>
      <c r="D345" s="23" t="s">
        <v>20</v>
      </c>
      <c r="F345" s="36">
        <v>25688</v>
      </c>
      <c r="G345" s="16">
        <v>1022000</v>
      </c>
      <c r="H345" t="s">
        <v>320</v>
      </c>
      <c r="J345" s="65">
        <v>461</v>
      </c>
    </row>
    <row r="346" spans="1:10" ht="15.75" x14ac:dyDescent="0.25">
      <c r="A346" s="68">
        <v>1063</v>
      </c>
      <c r="B346" s="23" t="s">
        <v>10</v>
      </c>
      <c r="C346" s="23" t="s">
        <v>7</v>
      </c>
      <c r="D346" s="23" t="s">
        <v>20</v>
      </c>
      <c r="F346" s="36">
        <v>25688</v>
      </c>
      <c r="G346" s="16">
        <v>1014001</v>
      </c>
      <c r="H346" t="s">
        <v>163</v>
      </c>
      <c r="J346" s="65">
        <v>461</v>
      </c>
    </row>
    <row r="347" spans="1:10" x14ac:dyDescent="0.25">
      <c r="A347" s="68">
        <v>1064</v>
      </c>
      <c r="B347" s="23" t="s">
        <v>6</v>
      </c>
      <c r="C347" s="23" t="s">
        <v>18</v>
      </c>
      <c r="D347" s="23">
        <v>2815</v>
      </c>
      <c r="E347" s="23">
        <v>20331</v>
      </c>
      <c r="F347" s="36">
        <v>25688</v>
      </c>
      <c r="G347" s="16">
        <v>1000008</v>
      </c>
      <c r="H347" t="s">
        <v>357</v>
      </c>
      <c r="J347" s="64">
        <v>1154</v>
      </c>
    </row>
    <row r="348" spans="1:10" x14ac:dyDescent="0.25">
      <c r="A348" s="68">
        <v>1101</v>
      </c>
      <c r="B348" s="23" t="s">
        <v>6</v>
      </c>
      <c r="C348" s="23" t="s">
        <v>12</v>
      </c>
      <c r="D348" s="23" t="s">
        <v>13</v>
      </c>
      <c r="E348" s="23">
        <v>117013</v>
      </c>
      <c r="F348" s="36">
        <v>25688</v>
      </c>
      <c r="G348" s="16">
        <v>1014001</v>
      </c>
      <c r="H348" t="s">
        <v>163</v>
      </c>
      <c r="J348" s="64">
        <v>1091</v>
      </c>
    </row>
    <row r="349" spans="1:10" x14ac:dyDescent="0.25">
      <c r="A349" s="68">
        <v>1111</v>
      </c>
      <c r="B349" s="23" t="s">
        <v>10</v>
      </c>
      <c r="C349" s="23" t="s">
        <v>12</v>
      </c>
      <c r="D349" s="23" t="s">
        <v>90</v>
      </c>
      <c r="E349" s="23">
        <v>11111111</v>
      </c>
      <c r="F349" s="36">
        <v>25688</v>
      </c>
      <c r="G349" s="16">
        <v>3319002000</v>
      </c>
      <c r="H349" t="s">
        <v>224</v>
      </c>
      <c r="I349" t="s">
        <v>644</v>
      </c>
      <c r="J349" s="64">
        <v>629</v>
      </c>
    </row>
    <row r="350" spans="1:10" ht="15.75" x14ac:dyDescent="0.25">
      <c r="A350" s="68">
        <v>1112</v>
      </c>
      <c r="B350" s="23" t="s">
        <v>10</v>
      </c>
      <c r="C350" s="23" t="s">
        <v>7</v>
      </c>
      <c r="D350" s="23" t="s">
        <v>20</v>
      </c>
      <c r="E350" s="23">
        <v>10142</v>
      </c>
      <c r="F350" s="36">
        <v>25688</v>
      </c>
      <c r="G350" s="16">
        <v>1014001</v>
      </c>
      <c r="H350" t="s">
        <v>163</v>
      </c>
      <c r="J350" s="65">
        <v>461</v>
      </c>
    </row>
    <row r="351" spans="1:10" x14ac:dyDescent="0.25">
      <c r="A351" s="68">
        <v>1113</v>
      </c>
      <c r="B351" s="23" t="s">
        <v>10</v>
      </c>
      <c r="C351" s="23" t="s">
        <v>7</v>
      </c>
      <c r="D351" s="23" t="s">
        <v>11</v>
      </c>
      <c r="E351" s="23">
        <v>1</v>
      </c>
      <c r="F351" s="36">
        <v>25688</v>
      </c>
      <c r="G351" s="16">
        <v>165001000</v>
      </c>
      <c r="H351" t="s">
        <v>198</v>
      </c>
      <c r="I351" t="s">
        <v>644</v>
      </c>
      <c r="J351" s="64">
        <v>309.5</v>
      </c>
    </row>
    <row r="352" spans="1:10" x14ac:dyDescent="0.25">
      <c r="A352" s="68">
        <v>1114</v>
      </c>
      <c r="B352" s="23" t="s">
        <v>10</v>
      </c>
      <c r="C352" s="23" t="s">
        <v>12</v>
      </c>
      <c r="D352" s="23" t="s">
        <v>85</v>
      </c>
      <c r="E352" s="23">
        <v>853</v>
      </c>
      <c r="F352" s="36">
        <v>25688</v>
      </c>
      <c r="G352" s="16">
        <v>3319002000</v>
      </c>
      <c r="H352" t="s">
        <v>224</v>
      </c>
      <c r="I352" t="s">
        <v>644</v>
      </c>
      <c r="J352" s="64">
        <v>629</v>
      </c>
    </row>
    <row r="353" spans="1:10" x14ac:dyDescent="0.25">
      <c r="A353" s="68">
        <v>1115</v>
      </c>
      <c r="B353" s="23" t="s">
        <v>10</v>
      </c>
      <c r="C353" s="23" t="s">
        <v>12</v>
      </c>
      <c r="D353" s="23" t="s">
        <v>85</v>
      </c>
      <c r="F353" s="36">
        <v>25688</v>
      </c>
      <c r="G353" s="16">
        <v>2341002000</v>
      </c>
      <c r="H353" t="s">
        <v>358</v>
      </c>
      <c r="I353" t="s">
        <v>644</v>
      </c>
      <c r="J353" s="64">
        <v>629</v>
      </c>
    </row>
    <row r="354" spans="1:10" x14ac:dyDescent="0.25">
      <c r="A354" s="68">
        <v>1118</v>
      </c>
      <c r="B354" s="23" t="s">
        <v>34</v>
      </c>
      <c r="C354" s="23" t="s">
        <v>7</v>
      </c>
      <c r="D354" s="23" t="s">
        <v>11</v>
      </c>
      <c r="E354" s="23">
        <v>702</v>
      </c>
      <c r="F354" s="36">
        <v>25688</v>
      </c>
      <c r="G354" s="16">
        <v>1165000000</v>
      </c>
      <c r="H354" t="s">
        <v>184</v>
      </c>
      <c r="I354" t="s">
        <v>644</v>
      </c>
      <c r="J354" s="64">
        <v>309.5</v>
      </c>
    </row>
    <row r="355" spans="1:10" x14ac:dyDescent="0.25">
      <c r="A355" s="68">
        <v>1121</v>
      </c>
      <c r="B355" s="23" t="s">
        <v>10</v>
      </c>
      <c r="C355" s="23" t="s">
        <v>7</v>
      </c>
      <c r="D355" s="23" t="s">
        <v>11</v>
      </c>
      <c r="E355" s="23">
        <v>1479</v>
      </c>
      <c r="F355" s="36">
        <v>25688</v>
      </c>
      <c r="G355" s="16">
        <v>3042116001</v>
      </c>
      <c r="H355" t="s">
        <v>330</v>
      </c>
      <c r="I355" t="s">
        <v>643</v>
      </c>
      <c r="J355" s="64">
        <v>309.5</v>
      </c>
    </row>
    <row r="356" spans="1:10" ht="15.75" x14ac:dyDescent="0.25">
      <c r="A356" s="68">
        <v>1124</v>
      </c>
      <c r="B356" s="23" t="s">
        <v>10</v>
      </c>
      <c r="C356" s="23" t="s">
        <v>7</v>
      </c>
      <c r="D356" s="23" t="s">
        <v>20</v>
      </c>
      <c r="E356" s="23">
        <v>11116</v>
      </c>
      <c r="F356" s="36">
        <v>25688</v>
      </c>
      <c r="G356" s="16">
        <v>3207001000</v>
      </c>
      <c r="H356" t="s">
        <v>176</v>
      </c>
      <c r="I356" t="s">
        <v>644</v>
      </c>
      <c r="J356" s="65">
        <v>461</v>
      </c>
    </row>
    <row r="357" spans="1:10" x14ac:dyDescent="0.25">
      <c r="A357" s="68">
        <v>1128</v>
      </c>
      <c r="B357" s="23" t="s">
        <v>6</v>
      </c>
      <c r="C357" s="23" t="s">
        <v>18</v>
      </c>
      <c r="D357" s="23">
        <v>2815</v>
      </c>
      <c r="E357" s="23">
        <v>17847</v>
      </c>
      <c r="F357" s="36">
        <v>25688</v>
      </c>
      <c r="G357" s="16">
        <v>66032000</v>
      </c>
      <c r="H357" t="s">
        <v>190</v>
      </c>
      <c r="I357" t="s">
        <v>644</v>
      </c>
      <c r="J357" s="64">
        <v>1154</v>
      </c>
    </row>
    <row r="358" spans="1:10" ht="15.75" x14ac:dyDescent="0.25">
      <c r="A358" s="68">
        <v>1129</v>
      </c>
      <c r="B358" s="23" t="s">
        <v>10</v>
      </c>
      <c r="C358" s="23" t="s">
        <v>7</v>
      </c>
      <c r="D358" s="23" t="s">
        <v>20</v>
      </c>
      <c r="E358" s="23">
        <v>10150</v>
      </c>
      <c r="F358" s="36">
        <v>25688</v>
      </c>
      <c r="G358" s="16">
        <v>3042058002</v>
      </c>
      <c r="H358" t="s">
        <v>223</v>
      </c>
      <c r="I358" t="s">
        <v>643</v>
      </c>
      <c r="J358" s="65">
        <v>461</v>
      </c>
    </row>
    <row r="359" spans="1:10" x14ac:dyDescent="0.25">
      <c r="A359" s="68">
        <v>1132</v>
      </c>
      <c r="B359" s="23" t="s">
        <v>6</v>
      </c>
      <c r="C359" s="23" t="s">
        <v>36</v>
      </c>
      <c r="D359" s="23" t="s">
        <v>43</v>
      </c>
      <c r="F359" s="36">
        <v>25688</v>
      </c>
      <c r="G359" s="16">
        <v>2924001000</v>
      </c>
      <c r="H359" t="s">
        <v>324</v>
      </c>
      <c r="I359" t="s">
        <v>644</v>
      </c>
      <c r="J359" s="40">
        <v>1202.5</v>
      </c>
    </row>
    <row r="360" spans="1:10" x14ac:dyDescent="0.25">
      <c r="A360" s="68">
        <v>1136</v>
      </c>
      <c r="B360" s="23" t="s">
        <v>34</v>
      </c>
      <c r="C360" s="23" t="s">
        <v>18</v>
      </c>
      <c r="D360" s="23" t="s">
        <v>26</v>
      </c>
      <c r="F360" s="36">
        <v>25688</v>
      </c>
      <c r="G360" s="16">
        <v>66011000</v>
      </c>
      <c r="H360" t="s">
        <v>166</v>
      </c>
      <c r="I360" t="s">
        <v>644</v>
      </c>
      <c r="J360" s="64">
        <v>532</v>
      </c>
    </row>
    <row r="361" spans="1:10" x14ac:dyDescent="0.25">
      <c r="A361" s="68">
        <v>1143</v>
      </c>
      <c r="B361" s="23" t="s">
        <v>6</v>
      </c>
      <c r="C361" s="23" t="s">
        <v>18</v>
      </c>
      <c r="D361" s="23" t="s">
        <v>19</v>
      </c>
      <c r="E361" s="23">
        <v>8144</v>
      </c>
      <c r="F361" s="36">
        <v>25688</v>
      </c>
      <c r="G361" s="16">
        <v>193012000</v>
      </c>
      <c r="H361" t="s">
        <v>200</v>
      </c>
      <c r="I361" t="s">
        <v>644</v>
      </c>
      <c r="J361" s="64">
        <v>1154</v>
      </c>
    </row>
    <row r="362" spans="1:10" x14ac:dyDescent="0.25">
      <c r="A362" s="68">
        <v>1145</v>
      </c>
      <c r="B362" s="23" t="s">
        <v>6</v>
      </c>
      <c r="C362" s="23" t="s">
        <v>7</v>
      </c>
      <c r="D362" s="23" t="s">
        <v>14</v>
      </c>
      <c r="E362" s="23">
        <v>13790</v>
      </c>
      <c r="F362" s="36">
        <v>25688</v>
      </c>
      <c r="G362" s="16">
        <v>1817001000</v>
      </c>
      <c r="H362" t="s">
        <v>271</v>
      </c>
      <c r="I362" t="s">
        <v>644</v>
      </c>
      <c r="J362" s="64">
        <v>1212</v>
      </c>
    </row>
    <row r="363" spans="1:10" x14ac:dyDescent="0.25">
      <c r="A363" s="68">
        <v>1146</v>
      </c>
      <c r="B363" s="23" t="s">
        <v>10</v>
      </c>
      <c r="C363" s="23" t="s">
        <v>12</v>
      </c>
      <c r="D363" s="23" t="s">
        <v>212</v>
      </c>
      <c r="E363" s="23">
        <v>5833</v>
      </c>
      <c r="F363" s="36">
        <v>25688</v>
      </c>
      <c r="G363" s="16">
        <v>1014002</v>
      </c>
      <c r="H363" t="s">
        <v>191</v>
      </c>
      <c r="J363" s="64">
        <v>503</v>
      </c>
    </row>
    <row r="364" spans="1:10" x14ac:dyDescent="0.25">
      <c r="A364" s="68">
        <v>1147</v>
      </c>
      <c r="B364" s="23" t="s">
        <v>10</v>
      </c>
      <c r="C364" s="23" t="s">
        <v>7</v>
      </c>
      <c r="D364" s="23" t="s">
        <v>11</v>
      </c>
      <c r="F364" s="36">
        <v>29557</v>
      </c>
      <c r="G364" s="16">
        <v>165001000</v>
      </c>
      <c r="H364" t="s">
        <v>198</v>
      </c>
      <c r="I364" t="s">
        <v>644</v>
      </c>
      <c r="J364" s="64">
        <v>309.5</v>
      </c>
    </row>
    <row r="365" spans="1:10" x14ac:dyDescent="0.25">
      <c r="A365" s="68">
        <v>1151</v>
      </c>
      <c r="B365" s="23" t="s">
        <v>6</v>
      </c>
      <c r="C365" s="23" t="s">
        <v>12</v>
      </c>
      <c r="D365" s="23" t="s">
        <v>13</v>
      </c>
      <c r="F365" s="36">
        <v>25688</v>
      </c>
      <c r="G365" s="16">
        <v>3042104001</v>
      </c>
      <c r="H365" t="s">
        <v>186</v>
      </c>
      <c r="I365" t="s">
        <v>643</v>
      </c>
      <c r="J365" s="64">
        <v>1091</v>
      </c>
    </row>
    <row r="366" spans="1:10" x14ac:dyDescent="0.25">
      <c r="A366" s="68">
        <v>1159</v>
      </c>
      <c r="B366" s="23" t="s">
        <v>10</v>
      </c>
      <c r="C366" s="23" t="s">
        <v>12</v>
      </c>
      <c r="D366" s="23" t="s">
        <v>85</v>
      </c>
      <c r="E366" s="23">
        <v>5690</v>
      </c>
      <c r="F366" s="36">
        <v>25688</v>
      </c>
      <c r="G366" s="16">
        <v>1014001</v>
      </c>
      <c r="H366" t="s">
        <v>163</v>
      </c>
      <c r="J366" s="64">
        <v>629</v>
      </c>
    </row>
    <row r="367" spans="1:10" x14ac:dyDescent="0.25">
      <c r="A367" s="68">
        <v>1162</v>
      </c>
      <c r="B367" s="23" t="s">
        <v>6</v>
      </c>
      <c r="C367" s="23" t="s">
        <v>7</v>
      </c>
      <c r="D367" s="23" t="s">
        <v>14</v>
      </c>
      <c r="E367" s="23">
        <v>8199</v>
      </c>
      <c r="F367" s="36">
        <v>25688</v>
      </c>
      <c r="G367" s="16">
        <v>2053002000</v>
      </c>
      <c r="H367" t="s">
        <v>359</v>
      </c>
      <c r="I367" t="s">
        <v>644</v>
      </c>
      <c r="J367" s="64">
        <v>1212</v>
      </c>
    </row>
    <row r="368" spans="1:10" x14ac:dyDescent="0.25">
      <c r="A368" s="68">
        <v>1165</v>
      </c>
      <c r="B368" s="23" t="s">
        <v>34</v>
      </c>
      <c r="C368" s="23" t="s">
        <v>7</v>
      </c>
      <c r="D368" s="23" t="s">
        <v>11</v>
      </c>
      <c r="E368" s="23">
        <v>1234</v>
      </c>
      <c r="F368" s="36">
        <v>25688</v>
      </c>
      <c r="G368" s="16">
        <v>1023000</v>
      </c>
      <c r="H368" t="s">
        <v>240</v>
      </c>
      <c r="J368" s="64">
        <v>309.5</v>
      </c>
    </row>
    <row r="369" spans="1:10" x14ac:dyDescent="0.25">
      <c r="A369" s="68">
        <v>1168</v>
      </c>
      <c r="B369" s="23" t="s">
        <v>10</v>
      </c>
      <c r="C369" s="23" t="s">
        <v>7</v>
      </c>
      <c r="D369" s="23" t="s">
        <v>11</v>
      </c>
      <c r="E369" s="23">
        <v>2122</v>
      </c>
      <c r="F369" s="36">
        <v>25688</v>
      </c>
      <c r="G369" s="16">
        <v>165001000</v>
      </c>
      <c r="H369" t="s">
        <v>198</v>
      </c>
      <c r="I369" t="s">
        <v>644</v>
      </c>
      <c r="J369" s="64">
        <v>309.5</v>
      </c>
    </row>
    <row r="370" spans="1:10" x14ac:dyDescent="0.25">
      <c r="A370" s="68">
        <v>1169</v>
      </c>
      <c r="B370" s="23" t="s">
        <v>10</v>
      </c>
      <c r="C370" s="23" t="s">
        <v>12</v>
      </c>
      <c r="D370" s="23" t="s">
        <v>212</v>
      </c>
      <c r="F370" s="36">
        <v>25688</v>
      </c>
      <c r="G370" s="16">
        <v>1014001</v>
      </c>
      <c r="H370" t="s">
        <v>163</v>
      </c>
      <c r="J370" s="64">
        <v>503</v>
      </c>
    </row>
    <row r="371" spans="1:10" x14ac:dyDescent="0.25">
      <c r="A371" s="68">
        <v>1172</v>
      </c>
      <c r="B371" s="23" t="s">
        <v>10</v>
      </c>
      <c r="C371" s="23" t="s">
        <v>7</v>
      </c>
      <c r="D371" s="23" t="s">
        <v>11</v>
      </c>
      <c r="E371" s="23">
        <v>1809</v>
      </c>
      <c r="F371" s="36">
        <v>25688</v>
      </c>
      <c r="G371" s="16">
        <v>2126001000</v>
      </c>
      <c r="H371" t="s">
        <v>180</v>
      </c>
      <c r="I371" t="s">
        <v>644</v>
      </c>
      <c r="J371" s="64">
        <v>309.5</v>
      </c>
    </row>
    <row r="372" spans="1:10" ht="15.75" x14ac:dyDescent="0.25">
      <c r="A372" s="68">
        <v>1176</v>
      </c>
      <c r="B372" s="23" t="s">
        <v>10</v>
      </c>
      <c r="C372" s="23" t="s">
        <v>7</v>
      </c>
      <c r="D372" s="23" t="s">
        <v>20</v>
      </c>
      <c r="E372" s="23">
        <v>1110</v>
      </c>
      <c r="F372" s="36">
        <v>25688</v>
      </c>
      <c r="G372" s="16">
        <v>1014001</v>
      </c>
      <c r="H372" t="s">
        <v>163</v>
      </c>
      <c r="J372" s="65">
        <v>461</v>
      </c>
    </row>
    <row r="373" spans="1:10" x14ac:dyDescent="0.25">
      <c r="A373" s="68">
        <v>1180</v>
      </c>
      <c r="B373" s="23" t="s">
        <v>10</v>
      </c>
      <c r="C373" s="23" t="s">
        <v>18</v>
      </c>
      <c r="D373" s="23" t="s">
        <v>11</v>
      </c>
      <c r="F373" s="36">
        <v>25688</v>
      </c>
      <c r="G373" s="16">
        <v>1023006</v>
      </c>
      <c r="H373" t="s">
        <v>360</v>
      </c>
      <c r="J373" s="64">
        <v>318.5</v>
      </c>
    </row>
    <row r="374" spans="1:10" x14ac:dyDescent="0.25">
      <c r="A374" s="68">
        <v>1182</v>
      </c>
      <c r="B374" s="23" t="s">
        <v>34</v>
      </c>
      <c r="C374" s="23" t="s">
        <v>7</v>
      </c>
      <c r="D374" s="23" t="s">
        <v>11</v>
      </c>
      <c r="E374" s="23">
        <v>784</v>
      </c>
      <c r="F374" s="36">
        <v>25688</v>
      </c>
      <c r="G374" s="16">
        <v>3223006000</v>
      </c>
      <c r="H374" t="s">
        <v>361</v>
      </c>
      <c r="I374" t="s">
        <v>644</v>
      </c>
      <c r="J374" s="64">
        <v>309.5</v>
      </c>
    </row>
    <row r="375" spans="1:10" x14ac:dyDescent="0.25">
      <c r="A375" s="68">
        <v>1185</v>
      </c>
      <c r="B375" s="23" t="s">
        <v>34</v>
      </c>
      <c r="C375" s="23" t="s">
        <v>7</v>
      </c>
      <c r="D375" s="23" t="s">
        <v>11</v>
      </c>
      <c r="E375" s="23">
        <v>11268</v>
      </c>
      <c r="F375" s="36">
        <v>25688</v>
      </c>
      <c r="G375" s="16">
        <v>18001000</v>
      </c>
      <c r="H375" t="s">
        <v>193</v>
      </c>
      <c r="I375" t="s">
        <v>644</v>
      </c>
      <c r="J375" s="64">
        <v>309.5</v>
      </c>
    </row>
    <row r="376" spans="1:10" x14ac:dyDescent="0.25">
      <c r="A376" s="68">
        <v>1186</v>
      </c>
      <c r="B376" s="23" t="s">
        <v>6</v>
      </c>
      <c r="C376" s="23" t="s">
        <v>12</v>
      </c>
      <c r="D376" s="23" t="s">
        <v>13</v>
      </c>
      <c r="E376" s="23" t="s">
        <v>362</v>
      </c>
      <c r="F376" s="36">
        <v>25688</v>
      </c>
      <c r="G376" s="16">
        <v>1022000</v>
      </c>
      <c r="H376" t="s">
        <v>320</v>
      </c>
      <c r="J376" s="64">
        <v>1091</v>
      </c>
    </row>
    <row r="377" spans="1:10" x14ac:dyDescent="0.25">
      <c r="A377" s="68">
        <v>1189</v>
      </c>
      <c r="B377" s="23" t="s">
        <v>10</v>
      </c>
      <c r="C377" s="23" t="s">
        <v>7</v>
      </c>
      <c r="D377" s="23" t="s">
        <v>11</v>
      </c>
      <c r="E377" s="23">
        <v>21713</v>
      </c>
      <c r="F377" s="36">
        <v>25688</v>
      </c>
      <c r="G377" s="16">
        <v>2499001000</v>
      </c>
      <c r="H377" t="s">
        <v>363</v>
      </c>
      <c r="I377" t="s">
        <v>644</v>
      </c>
      <c r="J377" s="64">
        <v>309.5</v>
      </c>
    </row>
    <row r="378" spans="1:10" x14ac:dyDescent="0.25">
      <c r="A378" s="68">
        <v>1191</v>
      </c>
      <c r="B378" s="23" t="s">
        <v>10</v>
      </c>
      <c r="C378" s="23" t="s">
        <v>7</v>
      </c>
      <c r="D378" s="23" t="s">
        <v>11</v>
      </c>
      <c r="E378" s="23">
        <v>7445</v>
      </c>
      <c r="F378" s="36">
        <v>25688</v>
      </c>
      <c r="G378" s="16">
        <v>1014001</v>
      </c>
      <c r="H378" t="s">
        <v>163</v>
      </c>
      <c r="J378" s="64">
        <v>309.5</v>
      </c>
    </row>
    <row r="379" spans="1:10" x14ac:dyDescent="0.25">
      <c r="A379" s="68">
        <v>1193</v>
      </c>
      <c r="B379" s="23" t="s">
        <v>10</v>
      </c>
      <c r="C379" s="23" t="s">
        <v>7</v>
      </c>
      <c r="D379" s="23" t="s">
        <v>11</v>
      </c>
      <c r="E379" s="23">
        <v>7836</v>
      </c>
      <c r="F379" s="36">
        <v>25688</v>
      </c>
      <c r="G379" s="16">
        <v>165008000</v>
      </c>
      <c r="H379" t="s">
        <v>203</v>
      </c>
      <c r="I379" t="s">
        <v>644</v>
      </c>
      <c r="J379" s="64">
        <v>309.5</v>
      </c>
    </row>
    <row r="380" spans="1:10" x14ac:dyDescent="0.25">
      <c r="A380" s="68">
        <v>1196</v>
      </c>
      <c r="B380" s="23" t="s">
        <v>10</v>
      </c>
      <c r="C380" s="23" t="s">
        <v>12</v>
      </c>
      <c r="D380" s="23" t="s">
        <v>85</v>
      </c>
      <c r="E380" s="23">
        <v>5275</v>
      </c>
      <c r="F380" s="36">
        <v>25688</v>
      </c>
      <c r="G380" s="16">
        <v>1165000000</v>
      </c>
      <c r="H380" t="s">
        <v>184</v>
      </c>
      <c r="I380" t="s">
        <v>644</v>
      </c>
      <c r="J380" s="64">
        <v>629</v>
      </c>
    </row>
    <row r="381" spans="1:10" x14ac:dyDescent="0.25">
      <c r="A381" s="68">
        <v>1198</v>
      </c>
      <c r="B381" s="23" t="s">
        <v>34</v>
      </c>
      <c r="C381" s="23" t="s">
        <v>7</v>
      </c>
      <c r="D381" s="23" t="s">
        <v>11</v>
      </c>
      <c r="E381" s="23">
        <v>1727</v>
      </c>
      <c r="F381" s="36">
        <v>25688</v>
      </c>
      <c r="G381" s="16">
        <v>1165000000</v>
      </c>
      <c r="H381" t="s">
        <v>184</v>
      </c>
      <c r="I381" t="s">
        <v>644</v>
      </c>
      <c r="J381" s="64">
        <v>309.5</v>
      </c>
    </row>
    <row r="382" spans="1:10" x14ac:dyDescent="0.25">
      <c r="A382" s="68">
        <v>1200</v>
      </c>
      <c r="B382" s="23" t="s">
        <v>10</v>
      </c>
      <c r="C382" s="23" t="s">
        <v>7</v>
      </c>
      <c r="D382" s="23" t="s">
        <v>11</v>
      </c>
      <c r="F382" s="36">
        <v>25688</v>
      </c>
      <c r="G382" s="16">
        <v>3182003000</v>
      </c>
      <c r="H382" t="s">
        <v>364</v>
      </c>
      <c r="I382" t="s">
        <v>644</v>
      </c>
      <c r="J382" s="64">
        <v>309.5</v>
      </c>
    </row>
    <row r="383" spans="1:10" x14ac:dyDescent="0.25">
      <c r="A383" s="68">
        <v>1204</v>
      </c>
      <c r="B383" s="23" t="s">
        <v>10</v>
      </c>
      <c r="C383" s="23" t="s">
        <v>18</v>
      </c>
      <c r="D383" s="23" t="s">
        <v>26</v>
      </c>
      <c r="E383" s="23">
        <v>1111111111</v>
      </c>
      <c r="F383" s="36">
        <v>25688</v>
      </c>
      <c r="G383" s="16">
        <v>3042104001</v>
      </c>
      <c r="H383" t="s">
        <v>186</v>
      </c>
      <c r="I383" t="s">
        <v>643</v>
      </c>
      <c r="J383" s="64">
        <v>532</v>
      </c>
    </row>
    <row r="384" spans="1:10" x14ac:dyDescent="0.25">
      <c r="A384" s="68">
        <v>1205</v>
      </c>
      <c r="B384" s="23" t="s">
        <v>10</v>
      </c>
      <c r="C384" s="23" t="s">
        <v>7</v>
      </c>
      <c r="D384" s="23" t="s">
        <v>11</v>
      </c>
      <c r="E384" s="23">
        <v>7237</v>
      </c>
      <c r="F384" s="36">
        <v>25688</v>
      </c>
      <c r="G384" s="16">
        <v>2126003000</v>
      </c>
      <c r="H384" t="s">
        <v>365</v>
      </c>
      <c r="I384" t="s">
        <v>644</v>
      </c>
      <c r="J384" s="64">
        <v>309.5</v>
      </c>
    </row>
    <row r="385" spans="1:10" x14ac:dyDescent="0.25">
      <c r="A385" s="68">
        <v>1206</v>
      </c>
      <c r="B385" s="23" t="s">
        <v>6</v>
      </c>
      <c r="C385" s="23" t="s">
        <v>7</v>
      </c>
      <c r="D385" s="23" t="s">
        <v>49</v>
      </c>
      <c r="E385" s="23">
        <v>8167</v>
      </c>
      <c r="F385" s="36">
        <v>25688</v>
      </c>
      <c r="G385" s="16">
        <v>2126001000</v>
      </c>
      <c r="H385" t="s">
        <v>180</v>
      </c>
      <c r="I385" t="s">
        <v>644</v>
      </c>
      <c r="J385" s="64">
        <v>1135</v>
      </c>
    </row>
    <row r="386" spans="1:10" x14ac:dyDescent="0.25">
      <c r="A386" s="68">
        <v>1207</v>
      </c>
      <c r="B386" s="23" t="s">
        <v>10</v>
      </c>
      <c r="C386" s="23" t="s">
        <v>7</v>
      </c>
      <c r="D386" s="23" t="s">
        <v>11</v>
      </c>
      <c r="E386" s="23">
        <v>6794</v>
      </c>
      <c r="F386" s="36">
        <v>25688</v>
      </c>
      <c r="G386" s="16">
        <v>165008000</v>
      </c>
      <c r="H386" t="s">
        <v>203</v>
      </c>
      <c r="I386" t="s">
        <v>644</v>
      </c>
      <c r="J386" s="64">
        <v>309.5</v>
      </c>
    </row>
    <row r="387" spans="1:10" x14ac:dyDescent="0.25">
      <c r="A387" s="68">
        <v>1208</v>
      </c>
      <c r="B387" s="23" t="s">
        <v>117</v>
      </c>
      <c r="C387" s="23" t="s">
        <v>36</v>
      </c>
      <c r="D387" s="23" t="s">
        <v>118</v>
      </c>
      <c r="E387" s="23">
        <v>3069</v>
      </c>
      <c r="F387" s="36">
        <v>25688</v>
      </c>
      <c r="G387" s="16">
        <v>1321001000</v>
      </c>
      <c r="H387" t="s">
        <v>366</v>
      </c>
      <c r="I387" t="s">
        <v>644</v>
      </c>
      <c r="J387" s="61"/>
    </row>
    <row r="388" spans="1:10" x14ac:dyDescent="0.25">
      <c r="A388" s="68">
        <v>1209</v>
      </c>
      <c r="B388" s="23" t="s">
        <v>117</v>
      </c>
      <c r="C388" s="23" t="s">
        <v>36</v>
      </c>
      <c r="D388" s="23" t="s">
        <v>367</v>
      </c>
      <c r="F388" s="36">
        <v>25688</v>
      </c>
      <c r="G388" s="16">
        <v>1014001</v>
      </c>
      <c r="H388" t="s">
        <v>163</v>
      </c>
      <c r="J388" s="61"/>
    </row>
    <row r="389" spans="1:10" x14ac:dyDescent="0.25">
      <c r="A389" s="68">
        <v>1216</v>
      </c>
      <c r="B389" s="23" t="s">
        <v>6</v>
      </c>
      <c r="C389" s="23" t="s">
        <v>12</v>
      </c>
      <c r="D389" s="23" t="s">
        <v>76</v>
      </c>
      <c r="E389" s="23">
        <v>3871</v>
      </c>
      <c r="F389" s="36">
        <v>35797</v>
      </c>
      <c r="G389" s="16">
        <v>529001000</v>
      </c>
      <c r="H389" t="s">
        <v>232</v>
      </c>
      <c r="I389" t="s">
        <v>644</v>
      </c>
      <c r="J389" s="64">
        <v>1243.5</v>
      </c>
    </row>
    <row r="390" spans="1:10" x14ac:dyDescent="0.25">
      <c r="A390" s="68">
        <v>1219</v>
      </c>
      <c r="B390" s="23" t="s">
        <v>6</v>
      </c>
      <c r="C390" s="23" t="s">
        <v>12</v>
      </c>
      <c r="D390" s="23" t="s">
        <v>76</v>
      </c>
      <c r="E390" s="23">
        <v>4172</v>
      </c>
      <c r="F390" s="36">
        <v>35797</v>
      </c>
      <c r="G390" s="16">
        <v>1014001</v>
      </c>
      <c r="H390" t="s">
        <v>163</v>
      </c>
      <c r="J390" s="64">
        <v>1243.5</v>
      </c>
    </row>
    <row r="391" spans="1:10" x14ac:dyDescent="0.25">
      <c r="A391" s="68">
        <v>1221</v>
      </c>
      <c r="B391" s="23" t="s">
        <v>10</v>
      </c>
      <c r="C391" s="23" t="s">
        <v>7</v>
      </c>
      <c r="D391" s="23" t="s">
        <v>11</v>
      </c>
      <c r="E391" s="23">
        <v>18312</v>
      </c>
      <c r="F391" s="36">
        <v>35432</v>
      </c>
      <c r="G391" s="16">
        <v>3207001000</v>
      </c>
      <c r="H391" t="s">
        <v>176</v>
      </c>
      <c r="I391" t="s">
        <v>644</v>
      </c>
      <c r="J391" s="64">
        <v>309.5</v>
      </c>
    </row>
    <row r="392" spans="1:10" x14ac:dyDescent="0.25">
      <c r="A392" s="68">
        <v>1222</v>
      </c>
      <c r="B392" s="23" t="s">
        <v>10</v>
      </c>
      <c r="C392" s="23" t="s">
        <v>7</v>
      </c>
      <c r="D392" s="23" t="s">
        <v>11</v>
      </c>
      <c r="E392" s="23">
        <v>18323</v>
      </c>
      <c r="F392" s="36">
        <v>35432</v>
      </c>
      <c r="G392" s="16">
        <v>1014002</v>
      </c>
      <c r="H392" t="s">
        <v>191</v>
      </c>
      <c r="J392" s="64">
        <v>309.5</v>
      </c>
    </row>
    <row r="393" spans="1:10" x14ac:dyDescent="0.25">
      <c r="A393" s="68">
        <v>1227</v>
      </c>
      <c r="B393" s="23" t="s">
        <v>6</v>
      </c>
      <c r="C393" s="23" t="s">
        <v>12</v>
      </c>
      <c r="D393" s="23" t="s">
        <v>21</v>
      </c>
      <c r="E393" s="23">
        <v>227</v>
      </c>
      <c r="F393" s="36">
        <v>35797</v>
      </c>
      <c r="G393" s="16">
        <v>2126013000</v>
      </c>
      <c r="H393" t="s">
        <v>228</v>
      </c>
      <c r="I393" t="s">
        <v>644</v>
      </c>
      <c r="J393" s="64">
        <v>992.5</v>
      </c>
    </row>
    <row r="394" spans="1:10" x14ac:dyDescent="0.25">
      <c r="A394" s="68">
        <v>1231</v>
      </c>
      <c r="B394" s="23" t="s">
        <v>10</v>
      </c>
      <c r="C394" s="23" t="s">
        <v>7</v>
      </c>
      <c r="D394" s="23" t="s">
        <v>11</v>
      </c>
      <c r="E394" s="23">
        <v>18351</v>
      </c>
      <c r="F394" s="36">
        <v>35797</v>
      </c>
      <c r="G394" s="16">
        <v>1817001000</v>
      </c>
      <c r="H394" t="s">
        <v>271</v>
      </c>
      <c r="I394" t="s">
        <v>644</v>
      </c>
      <c r="J394" s="64">
        <v>309.5</v>
      </c>
    </row>
    <row r="395" spans="1:10" ht="15.75" x14ac:dyDescent="0.25">
      <c r="A395" s="68">
        <v>1251</v>
      </c>
      <c r="B395" s="23" t="s">
        <v>10</v>
      </c>
      <c r="C395" s="23" t="s">
        <v>7</v>
      </c>
      <c r="D395" s="23" t="s">
        <v>20</v>
      </c>
      <c r="E395" s="23">
        <v>11623</v>
      </c>
      <c r="F395" s="36">
        <v>25688</v>
      </c>
      <c r="G395" s="16">
        <v>2924001000</v>
      </c>
      <c r="H395" t="s">
        <v>324</v>
      </c>
      <c r="I395" t="s">
        <v>644</v>
      </c>
      <c r="J395" s="65">
        <v>461</v>
      </c>
    </row>
    <row r="396" spans="1:10" x14ac:dyDescent="0.25">
      <c r="A396" s="68">
        <v>1253</v>
      </c>
      <c r="B396" s="23" t="s">
        <v>6</v>
      </c>
      <c r="C396" s="23" t="s">
        <v>12</v>
      </c>
      <c r="D396" s="23" t="s">
        <v>13</v>
      </c>
      <c r="E396" s="23">
        <v>117644</v>
      </c>
      <c r="F396" s="36">
        <v>25688</v>
      </c>
      <c r="G396" s="16">
        <v>3042058002</v>
      </c>
      <c r="H396" t="s">
        <v>223</v>
      </c>
      <c r="I396" t="s">
        <v>643</v>
      </c>
      <c r="J396" s="64">
        <v>1091</v>
      </c>
    </row>
    <row r="397" spans="1:10" x14ac:dyDescent="0.25">
      <c r="A397" s="68">
        <v>1254</v>
      </c>
      <c r="B397" s="23" t="s">
        <v>10</v>
      </c>
      <c r="C397" s="23" t="s">
        <v>12</v>
      </c>
      <c r="D397" s="23" t="s">
        <v>90</v>
      </c>
      <c r="E397" s="23">
        <v>5023032</v>
      </c>
      <c r="F397" s="36">
        <v>25688</v>
      </c>
      <c r="G397" s="16">
        <v>2936002000</v>
      </c>
      <c r="H397" t="s">
        <v>368</v>
      </c>
      <c r="I397" t="s">
        <v>644</v>
      </c>
      <c r="J397" s="64">
        <v>629</v>
      </c>
    </row>
    <row r="398" spans="1:10" x14ac:dyDescent="0.25">
      <c r="A398" s="68">
        <v>1260</v>
      </c>
      <c r="B398" s="23" t="s">
        <v>6</v>
      </c>
      <c r="C398" s="23" t="s">
        <v>7</v>
      </c>
      <c r="D398" s="23" t="s">
        <v>14</v>
      </c>
      <c r="E398" s="23">
        <v>8166</v>
      </c>
      <c r="F398" s="36">
        <v>25688</v>
      </c>
      <c r="G398" s="16">
        <v>3076001000</v>
      </c>
      <c r="H398" t="s">
        <v>369</v>
      </c>
      <c r="I398" t="s">
        <v>644</v>
      </c>
      <c r="J398" s="64">
        <v>1212</v>
      </c>
    </row>
    <row r="399" spans="1:10" x14ac:dyDescent="0.25">
      <c r="A399" s="68">
        <v>1269</v>
      </c>
      <c r="B399" s="23" t="s">
        <v>6</v>
      </c>
      <c r="C399" s="23" t="s">
        <v>7</v>
      </c>
      <c r="D399" s="23" t="s">
        <v>14</v>
      </c>
      <c r="E399" s="23">
        <v>13682</v>
      </c>
      <c r="F399" s="36">
        <v>25688</v>
      </c>
      <c r="G399" s="16">
        <v>2548098000</v>
      </c>
      <c r="H399" t="s">
        <v>325</v>
      </c>
      <c r="I399" t="s">
        <v>644</v>
      </c>
      <c r="J399" s="64">
        <v>1212</v>
      </c>
    </row>
    <row r="400" spans="1:10" x14ac:dyDescent="0.25">
      <c r="A400" s="68">
        <v>1271</v>
      </c>
      <c r="B400" s="23" t="s">
        <v>370</v>
      </c>
      <c r="C400" s="23" t="s">
        <v>75</v>
      </c>
      <c r="D400" s="23" t="s">
        <v>19</v>
      </c>
      <c r="E400" s="23">
        <v>1111</v>
      </c>
      <c r="F400" s="36">
        <v>25688</v>
      </c>
      <c r="G400" s="16">
        <v>1000002</v>
      </c>
      <c r="H400" t="s">
        <v>205</v>
      </c>
      <c r="J400" s="61"/>
    </row>
    <row r="401" spans="1:10" x14ac:dyDescent="0.25">
      <c r="A401" s="68">
        <v>1279</v>
      </c>
      <c r="B401" s="23" t="s">
        <v>6</v>
      </c>
      <c r="C401" s="23" t="s">
        <v>7</v>
      </c>
      <c r="D401" s="23" t="s">
        <v>8</v>
      </c>
      <c r="E401" s="23">
        <v>13781</v>
      </c>
      <c r="F401" s="36">
        <v>25688</v>
      </c>
      <c r="G401" s="16">
        <v>2548013000</v>
      </c>
      <c r="H401" t="s">
        <v>319</v>
      </c>
      <c r="I401" t="s">
        <v>644</v>
      </c>
      <c r="J401" s="64">
        <v>1212</v>
      </c>
    </row>
    <row r="402" spans="1:10" x14ac:dyDescent="0.25">
      <c r="A402" s="68">
        <v>1284</v>
      </c>
      <c r="B402" s="23" t="s">
        <v>6</v>
      </c>
      <c r="C402" s="23" t="s">
        <v>12</v>
      </c>
      <c r="D402" s="23" t="s">
        <v>21</v>
      </c>
      <c r="E402" s="23">
        <v>222</v>
      </c>
      <c r="F402" s="36">
        <v>35797</v>
      </c>
      <c r="G402">
        <v>127001000</v>
      </c>
      <c r="H402" t="s">
        <v>310</v>
      </c>
      <c r="I402" t="s">
        <v>643</v>
      </c>
      <c r="J402" s="64">
        <v>992.5</v>
      </c>
    </row>
    <row r="403" spans="1:10" x14ac:dyDescent="0.25">
      <c r="A403" s="68">
        <v>1289</v>
      </c>
      <c r="B403" s="23" t="s">
        <v>10</v>
      </c>
      <c r="C403" s="23" t="s">
        <v>18</v>
      </c>
      <c r="D403" s="23" t="s">
        <v>26</v>
      </c>
      <c r="F403" s="36">
        <v>25688</v>
      </c>
      <c r="G403" s="16">
        <v>1014001</v>
      </c>
      <c r="H403" t="s">
        <v>163</v>
      </c>
      <c r="J403" s="64">
        <v>532</v>
      </c>
    </row>
    <row r="404" spans="1:10" x14ac:dyDescent="0.25">
      <c r="A404" s="68">
        <v>1298</v>
      </c>
      <c r="B404" s="23" t="s">
        <v>22</v>
      </c>
      <c r="C404" s="23" t="s">
        <v>12</v>
      </c>
      <c r="D404" s="23" t="s">
        <v>95</v>
      </c>
      <c r="E404" s="23" t="s">
        <v>371</v>
      </c>
      <c r="F404" s="36">
        <v>25688</v>
      </c>
      <c r="G404" s="16">
        <v>2126001000</v>
      </c>
      <c r="H404" t="s">
        <v>180</v>
      </c>
      <c r="I404" t="s">
        <v>644</v>
      </c>
      <c r="J404" s="40">
        <v>2720</v>
      </c>
    </row>
    <row r="405" spans="1:10" x14ac:dyDescent="0.25">
      <c r="A405" s="68">
        <v>1303</v>
      </c>
      <c r="B405" s="23" t="s">
        <v>34</v>
      </c>
      <c r="C405" s="23" t="s">
        <v>18</v>
      </c>
      <c r="D405" s="23" t="s">
        <v>19</v>
      </c>
      <c r="F405" s="36">
        <v>25688</v>
      </c>
      <c r="G405" s="16">
        <v>66011000</v>
      </c>
      <c r="H405" t="s">
        <v>166</v>
      </c>
      <c r="I405" t="s">
        <v>644</v>
      </c>
      <c r="J405" s="64">
        <v>1154</v>
      </c>
    </row>
    <row r="406" spans="1:10" x14ac:dyDescent="0.25">
      <c r="A406" s="68">
        <v>1305</v>
      </c>
      <c r="B406" s="23" t="s">
        <v>10</v>
      </c>
      <c r="C406" s="23" t="s">
        <v>18</v>
      </c>
      <c r="D406" s="23" t="s">
        <v>26</v>
      </c>
      <c r="F406" s="36">
        <v>25688</v>
      </c>
      <c r="G406" s="16">
        <v>1068018000</v>
      </c>
      <c r="H406" t="s">
        <v>372</v>
      </c>
      <c r="I406" t="s">
        <v>644</v>
      </c>
      <c r="J406" s="64">
        <v>532</v>
      </c>
    </row>
    <row r="407" spans="1:10" x14ac:dyDescent="0.25">
      <c r="A407" s="68">
        <v>1308</v>
      </c>
      <c r="B407" s="23" t="s">
        <v>10</v>
      </c>
      <c r="C407" s="23" t="s">
        <v>7</v>
      </c>
      <c r="D407" s="23" t="s">
        <v>11</v>
      </c>
      <c r="E407" s="23">
        <v>11261</v>
      </c>
      <c r="F407" s="36">
        <v>25688</v>
      </c>
      <c r="G407" s="16">
        <v>529002000</v>
      </c>
      <c r="H407" t="s">
        <v>373</v>
      </c>
      <c r="I407" t="s">
        <v>644</v>
      </c>
      <c r="J407" s="64">
        <v>309.5</v>
      </c>
    </row>
    <row r="408" spans="1:10" x14ac:dyDescent="0.25">
      <c r="A408" s="68">
        <v>1309</v>
      </c>
      <c r="B408" s="23" t="s">
        <v>10</v>
      </c>
      <c r="C408" s="23" t="s">
        <v>7</v>
      </c>
      <c r="D408" s="23" t="s">
        <v>11</v>
      </c>
      <c r="E408" s="23">
        <v>694</v>
      </c>
      <c r="F408" s="36">
        <v>25688</v>
      </c>
      <c r="G408" s="16">
        <v>3076001000</v>
      </c>
      <c r="H408" t="s">
        <v>369</v>
      </c>
      <c r="I408" t="s">
        <v>644</v>
      </c>
      <c r="J408" s="64">
        <v>309.5</v>
      </c>
    </row>
    <row r="409" spans="1:10" x14ac:dyDescent="0.25">
      <c r="A409" s="68">
        <v>1310</v>
      </c>
      <c r="B409" s="23" t="s">
        <v>6</v>
      </c>
      <c r="C409" s="23" t="s">
        <v>12</v>
      </c>
      <c r="D409" s="23" t="s">
        <v>13</v>
      </c>
      <c r="F409" s="36">
        <v>25688</v>
      </c>
      <c r="G409" s="16">
        <v>18001000</v>
      </c>
      <c r="H409" t="s">
        <v>193</v>
      </c>
      <c r="I409" t="s">
        <v>644</v>
      </c>
      <c r="J409" s="64">
        <v>1091</v>
      </c>
    </row>
    <row r="410" spans="1:10" x14ac:dyDescent="0.25">
      <c r="A410" s="68">
        <v>1314</v>
      </c>
      <c r="B410" s="23" t="s">
        <v>34</v>
      </c>
      <c r="C410" s="23" t="s">
        <v>7</v>
      </c>
      <c r="D410" s="23" t="s">
        <v>11</v>
      </c>
      <c r="E410" s="23">
        <v>1693</v>
      </c>
      <c r="F410" s="36">
        <v>25688</v>
      </c>
      <c r="G410" s="16">
        <v>1165000000</v>
      </c>
      <c r="H410" t="s">
        <v>184</v>
      </c>
      <c r="I410" t="s">
        <v>644</v>
      </c>
      <c r="J410" s="64">
        <v>309.5</v>
      </c>
    </row>
    <row r="411" spans="1:10" x14ac:dyDescent="0.25">
      <c r="A411" s="68">
        <v>1316</v>
      </c>
      <c r="B411" s="23" t="s">
        <v>6</v>
      </c>
      <c r="C411" s="23" t="s">
        <v>7</v>
      </c>
      <c r="D411" s="23" t="s">
        <v>14</v>
      </c>
      <c r="E411" s="23">
        <v>12172</v>
      </c>
      <c r="F411" s="36">
        <v>25688</v>
      </c>
      <c r="G411" s="16">
        <v>2126001000</v>
      </c>
      <c r="H411" t="s">
        <v>180</v>
      </c>
      <c r="I411" t="s">
        <v>644</v>
      </c>
      <c r="J411" s="64">
        <v>1212</v>
      </c>
    </row>
    <row r="412" spans="1:10" ht="15.75" x14ac:dyDescent="0.25">
      <c r="A412" s="68">
        <v>1319</v>
      </c>
      <c r="B412" s="23" t="s">
        <v>10</v>
      </c>
      <c r="C412" s="23" t="s">
        <v>7</v>
      </c>
      <c r="D412" s="23" t="s">
        <v>20</v>
      </c>
      <c r="E412" s="23">
        <v>10129</v>
      </c>
      <c r="F412" s="36">
        <v>25688</v>
      </c>
      <c r="G412" s="16">
        <v>1000012</v>
      </c>
      <c r="H412" t="s">
        <v>199</v>
      </c>
      <c r="J412" s="65">
        <v>461</v>
      </c>
    </row>
    <row r="413" spans="1:10" x14ac:dyDescent="0.25">
      <c r="A413" s="68">
        <v>1320</v>
      </c>
      <c r="B413" s="23" t="s">
        <v>6</v>
      </c>
      <c r="C413" s="23" t="s">
        <v>129</v>
      </c>
      <c r="D413" s="23" t="s">
        <v>158</v>
      </c>
      <c r="E413" s="23" t="s">
        <v>374</v>
      </c>
      <c r="F413" s="36">
        <v>25688</v>
      </c>
      <c r="G413" s="16">
        <v>1068012000</v>
      </c>
      <c r="H413" t="s">
        <v>239</v>
      </c>
      <c r="I413" t="s">
        <v>644</v>
      </c>
      <c r="J413" s="61"/>
    </row>
    <row r="414" spans="1:10" x14ac:dyDescent="0.25">
      <c r="A414" s="68">
        <v>1321</v>
      </c>
      <c r="B414" s="23" t="s">
        <v>10</v>
      </c>
      <c r="C414" s="23" t="s">
        <v>7</v>
      </c>
      <c r="D414" s="23" t="s">
        <v>11</v>
      </c>
      <c r="E414" s="23">
        <v>10789</v>
      </c>
      <c r="F414" s="36">
        <v>25688</v>
      </c>
      <c r="G414" s="16">
        <v>66034000</v>
      </c>
      <c r="H414" t="s">
        <v>375</v>
      </c>
      <c r="I414" t="s">
        <v>644</v>
      </c>
      <c r="J414" s="64">
        <v>309.5</v>
      </c>
    </row>
    <row r="415" spans="1:10" x14ac:dyDescent="0.25">
      <c r="A415" s="68">
        <v>1326</v>
      </c>
      <c r="B415" s="23" t="s">
        <v>10</v>
      </c>
      <c r="C415" s="23" t="s">
        <v>18</v>
      </c>
      <c r="D415" s="23" t="s">
        <v>19</v>
      </c>
      <c r="F415" s="36">
        <v>25688</v>
      </c>
      <c r="G415" s="16">
        <v>3034001000</v>
      </c>
      <c r="H415" t="s">
        <v>356</v>
      </c>
      <c r="I415" t="s">
        <v>644</v>
      </c>
      <c r="J415" s="64">
        <v>1154</v>
      </c>
    </row>
    <row r="416" spans="1:10" x14ac:dyDescent="0.25">
      <c r="A416" s="68">
        <v>1327</v>
      </c>
      <c r="B416" s="23" t="s">
        <v>10</v>
      </c>
      <c r="C416" s="23" t="s">
        <v>7</v>
      </c>
      <c r="D416" s="23" t="s">
        <v>11</v>
      </c>
      <c r="F416" s="36">
        <v>25688</v>
      </c>
      <c r="G416" s="16">
        <v>1000012</v>
      </c>
      <c r="H416" t="s">
        <v>199</v>
      </c>
      <c r="J416" s="64">
        <v>309.5</v>
      </c>
    </row>
    <row r="417" spans="1:10" x14ac:dyDescent="0.25">
      <c r="A417" s="68">
        <v>1328</v>
      </c>
      <c r="B417" s="23" t="s">
        <v>6</v>
      </c>
      <c r="C417" s="23" t="s">
        <v>36</v>
      </c>
      <c r="D417" s="23" t="s">
        <v>43</v>
      </c>
      <c r="F417" s="36">
        <v>25688</v>
      </c>
      <c r="G417" s="16">
        <v>1000012</v>
      </c>
      <c r="H417" t="s">
        <v>199</v>
      </c>
      <c r="J417" s="40">
        <v>1202.5</v>
      </c>
    </row>
    <row r="418" spans="1:10" x14ac:dyDescent="0.25">
      <c r="A418" s="68">
        <v>1329</v>
      </c>
      <c r="B418" s="23" t="s">
        <v>10</v>
      </c>
      <c r="C418" s="23" t="s">
        <v>302</v>
      </c>
      <c r="D418" s="23" t="s">
        <v>303</v>
      </c>
      <c r="F418" s="36">
        <v>25688</v>
      </c>
      <c r="G418" s="16">
        <v>1000012</v>
      </c>
      <c r="H418" t="s">
        <v>199</v>
      </c>
      <c r="J418" s="61"/>
    </row>
    <row r="419" spans="1:10" x14ac:dyDescent="0.25">
      <c r="A419" s="68">
        <v>1334</v>
      </c>
      <c r="B419" s="23" t="s">
        <v>10</v>
      </c>
      <c r="C419" s="23" t="s">
        <v>12</v>
      </c>
      <c r="D419" s="23" t="s">
        <v>85</v>
      </c>
      <c r="E419" s="23">
        <v>5078415</v>
      </c>
      <c r="F419" s="36">
        <v>25688</v>
      </c>
      <c r="G419" s="16">
        <v>1014001</v>
      </c>
      <c r="H419" t="s">
        <v>163</v>
      </c>
      <c r="J419" s="64">
        <v>629</v>
      </c>
    </row>
    <row r="420" spans="1:10" x14ac:dyDescent="0.25">
      <c r="A420" s="68">
        <v>1338</v>
      </c>
      <c r="B420" s="23" t="s">
        <v>10</v>
      </c>
      <c r="C420" s="23" t="s">
        <v>7</v>
      </c>
      <c r="D420" s="23" t="s">
        <v>11</v>
      </c>
      <c r="E420" s="23">
        <v>11111111</v>
      </c>
      <c r="F420" s="36">
        <v>25688</v>
      </c>
      <c r="G420" s="16">
        <v>3370001000</v>
      </c>
      <c r="H420" t="s">
        <v>376</v>
      </c>
      <c r="I420" t="s">
        <v>644</v>
      </c>
      <c r="J420" s="64">
        <v>309.5</v>
      </c>
    </row>
    <row r="421" spans="1:10" x14ac:dyDescent="0.25">
      <c r="A421" s="68">
        <v>1341</v>
      </c>
      <c r="B421" s="23" t="s">
        <v>6</v>
      </c>
      <c r="C421" s="23" t="s">
        <v>7</v>
      </c>
      <c r="D421" s="23" t="s">
        <v>14</v>
      </c>
      <c r="E421" s="23">
        <v>12273</v>
      </c>
      <c r="F421" s="36">
        <v>25688</v>
      </c>
      <c r="G421" s="16">
        <v>1165000000</v>
      </c>
      <c r="H421" t="s">
        <v>184</v>
      </c>
      <c r="I421" t="s">
        <v>644</v>
      </c>
      <c r="J421" s="64">
        <v>1212</v>
      </c>
    </row>
    <row r="422" spans="1:10" x14ac:dyDescent="0.25">
      <c r="A422" s="68">
        <v>1344</v>
      </c>
      <c r="B422" s="23" t="s">
        <v>10</v>
      </c>
      <c r="C422" s="23" t="s">
        <v>18</v>
      </c>
      <c r="D422" s="23" t="s">
        <v>19</v>
      </c>
      <c r="F422" s="36">
        <v>25688</v>
      </c>
      <c r="G422" s="16">
        <v>2548068000</v>
      </c>
      <c r="H422" t="s">
        <v>286</v>
      </c>
      <c r="I422" t="s">
        <v>644</v>
      </c>
      <c r="J422" s="64">
        <v>1154</v>
      </c>
    </row>
    <row r="423" spans="1:10" x14ac:dyDescent="0.25">
      <c r="A423" s="68">
        <v>1349</v>
      </c>
      <c r="B423" s="23" t="s">
        <v>10</v>
      </c>
      <c r="C423" s="23" t="s">
        <v>7</v>
      </c>
      <c r="D423" s="23" t="s">
        <v>11</v>
      </c>
      <c r="E423" s="23">
        <v>6992</v>
      </c>
      <c r="F423" s="36">
        <v>25688</v>
      </c>
      <c r="G423" s="16">
        <v>165001000</v>
      </c>
      <c r="H423" t="s">
        <v>198</v>
      </c>
      <c r="I423" t="s">
        <v>644</v>
      </c>
      <c r="J423" s="64">
        <v>309.5</v>
      </c>
    </row>
    <row r="424" spans="1:10" x14ac:dyDescent="0.25">
      <c r="A424" s="68">
        <v>1350</v>
      </c>
      <c r="B424" s="23" t="s">
        <v>6</v>
      </c>
      <c r="C424" s="23" t="s">
        <v>12</v>
      </c>
      <c r="D424" s="23" t="s">
        <v>13</v>
      </c>
      <c r="E424" s="23" t="s">
        <v>377</v>
      </c>
      <c r="F424" s="36">
        <v>25688</v>
      </c>
      <c r="G424" s="16">
        <v>1165000000</v>
      </c>
      <c r="H424" t="s">
        <v>184</v>
      </c>
      <c r="I424" t="s">
        <v>644</v>
      </c>
      <c r="J424" s="64">
        <v>1091</v>
      </c>
    </row>
    <row r="425" spans="1:10" x14ac:dyDescent="0.25">
      <c r="A425" s="68">
        <v>1353</v>
      </c>
      <c r="B425" s="23" t="s">
        <v>10</v>
      </c>
      <c r="C425" s="23" t="s">
        <v>18</v>
      </c>
      <c r="D425" s="23" t="s">
        <v>19</v>
      </c>
      <c r="E425" s="23">
        <v>11111111111</v>
      </c>
      <c r="F425" s="36">
        <v>25688</v>
      </c>
      <c r="G425" s="16">
        <v>3234001000</v>
      </c>
      <c r="H425" t="s">
        <v>192</v>
      </c>
      <c r="I425" t="s">
        <v>644</v>
      </c>
      <c r="J425" s="64">
        <v>1154</v>
      </c>
    </row>
    <row r="426" spans="1:10" x14ac:dyDescent="0.25">
      <c r="A426" s="68">
        <v>1354</v>
      </c>
      <c r="B426" s="23" t="s">
        <v>10</v>
      </c>
      <c r="C426" s="23" t="s">
        <v>18</v>
      </c>
      <c r="D426" s="23" t="s">
        <v>19</v>
      </c>
      <c r="E426" s="23">
        <v>1042316</v>
      </c>
      <c r="F426" s="36">
        <v>25688</v>
      </c>
      <c r="G426" s="16">
        <v>1925001000</v>
      </c>
      <c r="H426" t="s">
        <v>290</v>
      </c>
      <c r="I426" t="s">
        <v>644</v>
      </c>
      <c r="J426" s="64">
        <v>1154</v>
      </c>
    </row>
    <row r="427" spans="1:10" x14ac:dyDescent="0.25">
      <c r="A427" s="68">
        <v>1357</v>
      </c>
      <c r="B427" s="23" t="s">
        <v>6</v>
      </c>
      <c r="C427" s="23" t="s">
        <v>7</v>
      </c>
      <c r="D427" s="23" t="s">
        <v>14</v>
      </c>
      <c r="E427" s="23">
        <v>12167</v>
      </c>
      <c r="F427" s="36">
        <v>25688</v>
      </c>
      <c r="G427" s="16">
        <v>2548049000</v>
      </c>
      <c r="H427" t="s">
        <v>378</v>
      </c>
      <c r="I427" t="s">
        <v>644</v>
      </c>
      <c r="J427" s="64">
        <v>1212</v>
      </c>
    </row>
    <row r="428" spans="1:10" x14ac:dyDescent="0.25">
      <c r="A428" s="68">
        <v>1358</v>
      </c>
      <c r="B428" s="23" t="s">
        <v>10</v>
      </c>
      <c r="C428" s="23" t="s">
        <v>12</v>
      </c>
      <c r="D428" s="23" t="s">
        <v>90</v>
      </c>
      <c r="E428" s="23">
        <v>5023031</v>
      </c>
      <c r="F428" s="36">
        <v>25688</v>
      </c>
      <c r="G428" s="16">
        <v>1014001</v>
      </c>
      <c r="H428" t="s">
        <v>163</v>
      </c>
      <c r="J428" s="64">
        <v>629</v>
      </c>
    </row>
    <row r="429" spans="1:10" x14ac:dyDescent="0.25">
      <c r="A429" s="68">
        <v>1361</v>
      </c>
      <c r="B429" s="23" t="s">
        <v>10</v>
      </c>
      <c r="C429" s="23" t="s">
        <v>18</v>
      </c>
      <c r="D429" s="23" t="s">
        <v>26</v>
      </c>
      <c r="F429" s="36">
        <v>25688</v>
      </c>
      <c r="G429" s="16">
        <v>153002000</v>
      </c>
      <c r="H429" t="s">
        <v>189</v>
      </c>
      <c r="I429" t="s">
        <v>644</v>
      </c>
      <c r="J429" s="64">
        <v>532</v>
      </c>
    </row>
    <row r="430" spans="1:10" x14ac:dyDescent="0.25">
      <c r="A430" s="68">
        <v>1364</v>
      </c>
      <c r="B430" s="23" t="s">
        <v>6</v>
      </c>
      <c r="C430" s="23" t="s">
        <v>12</v>
      </c>
      <c r="D430" s="23" t="s">
        <v>13</v>
      </c>
      <c r="E430" s="23">
        <v>117544</v>
      </c>
      <c r="F430" s="36">
        <v>25688</v>
      </c>
      <c r="G430" s="16">
        <v>1068020000</v>
      </c>
      <c r="H430" t="s">
        <v>178</v>
      </c>
      <c r="I430" t="s">
        <v>644</v>
      </c>
      <c r="J430" s="64">
        <v>1091</v>
      </c>
    </row>
    <row r="431" spans="1:10" x14ac:dyDescent="0.25">
      <c r="A431" s="68">
        <v>1367</v>
      </c>
      <c r="B431" s="23" t="s">
        <v>10</v>
      </c>
      <c r="C431" s="23" t="s">
        <v>7</v>
      </c>
      <c r="D431" s="23" t="s">
        <v>11</v>
      </c>
      <c r="E431" s="23">
        <v>9659</v>
      </c>
      <c r="F431" s="36">
        <v>25688</v>
      </c>
      <c r="G431" s="16">
        <v>2798001000</v>
      </c>
      <c r="H431" t="s">
        <v>181</v>
      </c>
      <c r="I431" t="s">
        <v>644</v>
      </c>
      <c r="J431" s="64">
        <v>309.5</v>
      </c>
    </row>
    <row r="432" spans="1:10" x14ac:dyDescent="0.25">
      <c r="A432" s="68">
        <v>1371</v>
      </c>
      <c r="B432" s="23" t="s">
        <v>10</v>
      </c>
      <c r="C432" s="23" t="s">
        <v>12</v>
      </c>
      <c r="D432" s="23" t="s">
        <v>85</v>
      </c>
      <c r="E432" s="23">
        <v>5847</v>
      </c>
      <c r="F432" s="36">
        <v>25688</v>
      </c>
      <c r="G432" s="16">
        <v>3135004000</v>
      </c>
      <c r="H432" t="s">
        <v>379</v>
      </c>
      <c r="I432" t="s">
        <v>644</v>
      </c>
      <c r="J432" s="64">
        <v>629</v>
      </c>
    </row>
    <row r="433" spans="1:10" ht="15.75" x14ac:dyDescent="0.25">
      <c r="A433" s="68">
        <v>1373</v>
      </c>
      <c r="B433" s="23" t="s">
        <v>10</v>
      </c>
      <c r="C433" s="23" t="s">
        <v>7</v>
      </c>
      <c r="D433" s="23" t="s">
        <v>20</v>
      </c>
      <c r="E433" s="23">
        <v>10131</v>
      </c>
      <c r="F433" s="36">
        <v>25688</v>
      </c>
      <c r="G433" s="16">
        <v>2126001000</v>
      </c>
      <c r="H433" t="s">
        <v>180</v>
      </c>
      <c r="I433" t="s">
        <v>644</v>
      </c>
      <c r="J433" s="65">
        <v>461</v>
      </c>
    </row>
    <row r="434" spans="1:10" x14ac:dyDescent="0.25">
      <c r="A434" s="68">
        <v>1381</v>
      </c>
      <c r="B434" s="23" t="s">
        <v>6</v>
      </c>
      <c r="C434" s="23" t="s">
        <v>12</v>
      </c>
      <c r="D434" s="23" t="s">
        <v>13</v>
      </c>
      <c r="F434" s="36">
        <v>25688</v>
      </c>
      <c r="G434" s="16">
        <v>2514001000</v>
      </c>
      <c r="H434" t="s">
        <v>289</v>
      </c>
      <c r="I434" t="s">
        <v>644</v>
      </c>
      <c r="J434" s="64">
        <v>1091</v>
      </c>
    </row>
    <row r="435" spans="1:10" x14ac:dyDescent="0.25">
      <c r="A435" s="68">
        <v>1393</v>
      </c>
      <c r="B435" s="23" t="s">
        <v>10</v>
      </c>
      <c r="C435" s="23" t="s">
        <v>7</v>
      </c>
      <c r="D435" s="23" t="s">
        <v>11</v>
      </c>
      <c r="E435" s="23">
        <v>21758</v>
      </c>
      <c r="F435" s="36">
        <v>25688</v>
      </c>
      <c r="G435" s="16">
        <v>3076001000</v>
      </c>
      <c r="H435" t="s">
        <v>369</v>
      </c>
      <c r="I435" t="s">
        <v>644</v>
      </c>
      <c r="J435" s="64">
        <v>309.5</v>
      </c>
    </row>
    <row r="436" spans="1:10" x14ac:dyDescent="0.25">
      <c r="A436" s="68">
        <v>1394</v>
      </c>
      <c r="B436" s="23" t="s">
        <v>6</v>
      </c>
      <c r="C436" s="23" t="s">
        <v>7</v>
      </c>
      <c r="D436" s="23" t="s">
        <v>14</v>
      </c>
      <c r="F436" s="36">
        <v>25688</v>
      </c>
      <c r="G436" s="16">
        <v>3178005000</v>
      </c>
      <c r="H436" t="s">
        <v>308</v>
      </c>
      <c r="I436" t="s">
        <v>644</v>
      </c>
      <c r="J436" s="64">
        <v>1212</v>
      </c>
    </row>
    <row r="437" spans="1:10" x14ac:dyDescent="0.25">
      <c r="A437" s="68">
        <v>1395</v>
      </c>
      <c r="B437" s="23" t="s">
        <v>6</v>
      </c>
      <c r="C437" s="23" t="s">
        <v>7</v>
      </c>
      <c r="D437" s="23" t="s">
        <v>8</v>
      </c>
      <c r="E437" s="23">
        <v>12265</v>
      </c>
      <c r="F437" s="36">
        <v>25688</v>
      </c>
      <c r="G437" s="16">
        <v>1614002000</v>
      </c>
      <c r="H437" t="s">
        <v>305</v>
      </c>
      <c r="I437" t="s">
        <v>644</v>
      </c>
      <c r="J437" s="64">
        <v>1212</v>
      </c>
    </row>
    <row r="438" spans="1:10" x14ac:dyDescent="0.25">
      <c r="A438" s="68">
        <v>1396</v>
      </c>
      <c r="B438" s="23" t="s">
        <v>10</v>
      </c>
      <c r="C438" s="23" t="s">
        <v>7</v>
      </c>
      <c r="D438" s="23" t="s">
        <v>11</v>
      </c>
      <c r="E438" s="23">
        <v>6148</v>
      </c>
      <c r="F438" s="36">
        <v>25688</v>
      </c>
      <c r="G438" s="16">
        <v>2548098000</v>
      </c>
      <c r="H438" t="s">
        <v>325</v>
      </c>
      <c r="I438" t="s">
        <v>644</v>
      </c>
      <c r="J438" s="64">
        <v>309.5</v>
      </c>
    </row>
    <row r="439" spans="1:10" ht="15.75" x14ac:dyDescent="0.25">
      <c r="A439" s="68">
        <v>1402</v>
      </c>
      <c r="B439" s="23" t="s">
        <v>10</v>
      </c>
      <c r="C439" s="23" t="s">
        <v>7</v>
      </c>
      <c r="D439" s="23" t="s">
        <v>20</v>
      </c>
      <c r="E439" s="23">
        <v>10130</v>
      </c>
      <c r="F439" s="36">
        <v>25688</v>
      </c>
      <c r="G439" s="16">
        <v>1014001</v>
      </c>
      <c r="H439" t="s">
        <v>163</v>
      </c>
      <c r="J439" s="65">
        <v>461</v>
      </c>
    </row>
    <row r="440" spans="1:10" x14ac:dyDescent="0.25">
      <c r="A440" s="68">
        <v>1403</v>
      </c>
      <c r="B440" s="23" t="s">
        <v>10</v>
      </c>
      <c r="C440" s="23" t="s">
        <v>7</v>
      </c>
      <c r="D440" s="23" t="s">
        <v>11</v>
      </c>
      <c r="F440" s="36">
        <v>25688</v>
      </c>
      <c r="G440" s="16">
        <v>3300202000</v>
      </c>
      <c r="H440" t="s">
        <v>220</v>
      </c>
      <c r="I440" t="s">
        <v>644</v>
      </c>
      <c r="J440" s="64">
        <v>309.5</v>
      </c>
    </row>
    <row r="441" spans="1:10" x14ac:dyDescent="0.25">
      <c r="A441" s="68">
        <v>1413</v>
      </c>
      <c r="B441" s="23" t="s">
        <v>72</v>
      </c>
      <c r="C441" s="23" t="s">
        <v>380</v>
      </c>
      <c r="D441" s="23" t="s">
        <v>19</v>
      </c>
      <c r="F441" s="36">
        <v>25688</v>
      </c>
      <c r="G441" s="16">
        <v>1000012</v>
      </c>
      <c r="H441" t="s">
        <v>199</v>
      </c>
      <c r="J441" s="61"/>
    </row>
    <row r="442" spans="1:10" x14ac:dyDescent="0.25">
      <c r="A442" s="68">
        <v>1416</v>
      </c>
      <c r="B442" s="23" t="s">
        <v>10</v>
      </c>
      <c r="C442" s="23" t="s">
        <v>12</v>
      </c>
      <c r="D442" s="23" t="s">
        <v>90</v>
      </c>
      <c r="E442" s="23">
        <v>6789</v>
      </c>
      <c r="F442" s="36">
        <v>25688</v>
      </c>
      <c r="G442" s="16">
        <v>3319002000</v>
      </c>
      <c r="H442" t="s">
        <v>224</v>
      </c>
      <c r="I442" t="s">
        <v>644</v>
      </c>
      <c r="J442" s="64">
        <v>629</v>
      </c>
    </row>
    <row r="443" spans="1:10" x14ac:dyDescent="0.25">
      <c r="A443" s="68">
        <v>1423</v>
      </c>
      <c r="B443" s="23" t="s">
        <v>6</v>
      </c>
      <c r="C443" s="23" t="s">
        <v>7</v>
      </c>
      <c r="D443" s="23" t="s">
        <v>14</v>
      </c>
      <c r="E443" s="23">
        <v>15329</v>
      </c>
      <c r="F443" s="36">
        <v>25688</v>
      </c>
      <c r="G443" s="16">
        <v>18001000</v>
      </c>
      <c r="H443" t="s">
        <v>193</v>
      </c>
      <c r="I443" t="s">
        <v>644</v>
      </c>
      <c r="J443" s="64">
        <v>1212</v>
      </c>
    </row>
    <row r="444" spans="1:10" x14ac:dyDescent="0.25">
      <c r="A444" s="68">
        <v>1424</v>
      </c>
      <c r="B444" s="23" t="s">
        <v>6</v>
      </c>
      <c r="C444" s="23" t="s">
        <v>7</v>
      </c>
      <c r="D444" s="23" t="s">
        <v>14</v>
      </c>
      <c r="E444" s="23">
        <v>4091</v>
      </c>
      <c r="F444" s="36">
        <v>25688</v>
      </c>
      <c r="G444" s="16">
        <v>2126001000</v>
      </c>
      <c r="H444" t="s">
        <v>180</v>
      </c>
      <c r="I444" t="s">
        <v>644</v>
      </c>
      <c r="J444" s="64">
        <v>1212</v>
      </c>
    </row>
    <row r="445" spans="1:10" x14ac:dyDescent="0.25">
      <c r="A445" s="68">
        <v>1426</v>
      </c>
      <c r="B445" s="23" t="s">
        <v>6</v>
      </c>
      <c r="C445" s="23" t="s">
        <v>36</v>
      </c>
      <c r="D445" s="23" t="s">
        <v>43</v>
      </c>
      <c r="F445" s="36">
        <v>25688</v>
      </c>
      <c r="G445" s="16">
        <v>43003000</v>
      </c>
      <c r="H445" t="s">
        <v>381</v>
      </c>
      <c r="I445" t="s">
        <v>644</v>
      </c>
      <c r="J445" s="40">
        <v>1202.5</v>
      </c>
    </row>
    <row r="446" spans="1:10" x14ac:dyDescent="0.25">
      <c r="A446" s="68">
        <v>1427</v>
      </c>
      <c r="B446" s="23" t="s">
        <v>10</v>
      </c>
      <c r="C446" s="23" t="s">
        <v>7</v>
      </c>
      <c r="D446" s="23" t="s">
        <v>11</v>
      </c>
      <c r="E446" s="23">
        <v>954</v>
      </c>
      <c r="F446" s="36">
        <v>25688</v>
      </c>
      <c r="G446" s="16">
        <v>1014001</v>
      </c>
      <c r="H446" t="s">
        <v>163</v>
      </c>
      <c r="J446" s="64">
        <v>309.5</v>
      </c>
    </row>
    <row r="447" spans="1:10" x14ac:dyDescent="0.25">
      <c r="A447" s="68">
        <v>1433</v>
      </c>
      <c r="B447" s="23" t="s">
        <v>6</v>
      </c>
      <c r="C447" s="23" t="s">
        <v>12</v>
      </c>
      <c r="D447" s="23" t="s">
        <v>13</v>
      </c>
      <c r="F447" s="36">
        <v>25688</v>
      </c>
      <c r="G447" s="16">
        <v>2514001000</v>
      </c>
      <c r="H447" t="s">
        <v>289</v>
      </c>
      <c r="I447" t="s">
        <v>644</v>
      </c>
      <c r="J447" s="64">
        <v>1091</v>
      </c>
    </row>
    <row r="448" spans="1:10" x14ac:dyDescent="0.25">
      <c r="A448" s="68">
        <v>1440</v>
      </c>
      <c r="B448" s="23" t="s">
        <v>6</v>
      </c>
      <c r="C448" s="23" t="s">
        <v>12</v>
      </c>
      <c r="D448" s="23" t="s">
        <v>13</v>
      </c>
      <c r="F448" s="36">
        <v>25688</v>
      </c>
      <c r="G448" s="16">
        <v>1165000000</v>
      </c>
      <c r="H448" t="s">
        <v>184</v>
      </c>
      <c r="I448" t="s">
        <v>644</v>
      </c>
      <c r="J448" s="64">
        <v>1091</v>
      </c>
    </row>
    <row r="449" spans="1:10" ht="15.75" x14ac:dyDescent="0.25">
      <c r="A449" s="68">
        <v>1441</v>
      </c>
      <c r="B449" s="23" t="s">
        <v>10</v>
      </c>
      <c r="C449" s="23" t="s">
        <v>7</v>
      </c>
      <c r="D449" s="23" t="s">
        <v>20</v>
      </c>
      <c r="E449" s="23">
        <v>9885</v>
      </c>
      <c r="F449" s="36">
        <v>25688</v>
      </c>
      <c r="G449" s="16">
        <v>157001000</v>
      </c>
      <c r="H449" t="s">
        <v>382</v>
      </c>
      <c r="I449" t="s">
        <v>644</v>
      </c>
      <c r="J449" s="65">
        <v>461</v>
      </c>
    </row>
    <row r="450" spans="1:10" x14ac:dyDescent="0.25">
      <c r="A450" s="68">
        <v>1446</v>
      </c>
      <c r="B450" s="23" t="s">
        <v>10</v>
      </c>
      <c r="C450" s="23" t="s">
        <v>7</v>
      </c>
      <c r="D450" s="23" t="s">
        <v>11</v>
      </c>
      <c r="E450" s="23">
        <v>5</v>
      </c>
      <c r="F450" s="36">
        <v>25688</v>
      </c>
      <c r="G450" s="16">
        <v>2126013000</v>
      </c>
      <c r="H450" t="s">
        <v>228</v>
      </c>
      <c r="I450" t="s">
        <v>644</v>
      </c>
      <c r="J450" s="64">
        <v>309.5</v>
      </c>
    </row>
    <row r="451" spans="1:10" x14ac:dyDescent="0.25">
      <c r="A451" s="68">
        <v>1451</v>
      </c>
      <c r="B451" s="23" t="s">
        <v>22</v>
      </c>
      <c r="C451" s="23" t="s">
        <v>12</v>
      </c>
      <c r="D451" s="23" t="s">
        <v>95</v>
      </c>
      <c r="F451" s="36">
        <v>25688</v>
      </c>
      <c r="G451" s="16">
        <v>2126001000</v>
      </c>
      <c r="H451" t="s">
        <v>180</v>
      </c>
      <c r="I451" t="s">
        <v>644</v>
      </c>
      <c r="J451" s="40">
        <v>2720</v>
      </c>
    </row>
    <row r="452" spans="1:10" x14ac:dyDescent="0.25">
      <c r="A452" s="68">
        <v>1465</v>
      </c>
      <c r="B452" s="23" t="s">
        <v>6</v>
      </c>
      <c r="C452" s="23" t="s">
        <v>7</v>
      </c>
      <c r="D452" s="23" t="s">
        <v>14</v>
      </c>
      <c r="E452" s="23">
        <v>8195</v>
      </c>
      <c r="F452" s="36">
        <v>25688</v>
      </c>
      <c r="G452" s="16">
        <v>1068021000</v>
      </c>
      <c r="H452" t="s">
        <v>383</v>
      </c>
      <c r="I452" t="s">
        <v>644</v>
      </c>
      <c r="J452" s="64">
        <v>1212</v>
      </c>
    </row>
    <row r="453" spans="1:10" x14ac:dyDescent="0.25">
      <c r="A453" s="68">
        <v>1466</v>
      </c>
      <c r="B453" s="23" t="s">
        <v>6</v>
      </c>
      <c r="C453" s="23" t="s">
        <v>7</v>
      </c>
      <c r="D453" s="23" t="s">
        <v>14</v>
      </c>
      <c r="E453" s="23">
        <v>8162</v>
      </c>
      <c r="F453" s="36">
        <v>25688</v>
      </c>
      <c r="G453" s="16">
        <v>1014002</v>
      </c>
      <c r="H453" t="s">
        <v>191</v>
      </c>
      <c r="J453" s="64">
        <v>1212</v>
      </c>
    </row>
    <row r="454" spans="1:10" ht="15.75" x14ac:dyDescent="0.25">
      <c r="A454" s="68">
        <v>1467</v>
      </c>
      <c r="B454" s="23" t="s">
        <v>10</v>
      </c>
      <c r="C454" s="23" t="s">
        <v>7</v>
      </c>
      <c r="D454" s="23" t="s">
        <v>20</v>
      </c>
      <c r="E454" s="23">
        <v>17574</v>
      </c>
      <c r="F454" s="36">
        <v>35426</v>
      </c>
      <c r="G454" s="16">
        <v>3300202000</v>
      </c>
      <c r="H454" t="s">
        <v>220</v>
      </c>
      <c r="I454" t="s">
        <v>644</v>
      </c>
      <c r="J454" s="65">
        <v>461</v>
      </c>
    </row>
    <row r="455" spans="1:10" ht="15.75" x14ac:dyDescent="0.25">
      <c r="A455" s="68">
        <v>1474</v>
      </c>
      <c r="B455" s="23" t="s">
        <v>10</v>
      </c>
      <c r="C455" s="23" t="s">
        <v>7</v>
      </c>
      <c r="D455" s="23" t="s">
        <v>20</v>
      </c>
      <c r="E455" s="23">
        <v>7950</v>
      </c>
      <c r="F455" s="36">
        <v>25688</v>
      </c>
      <c r="G455" s="16">
        <v>2936001000</v>
      </c>
      <c r="H455" t="s">
        <v>234</v>
      </c>
      <c r="I455" t="s">
        <v>644</v>
      </c>
      <c r="J455" s="65">
        <v>461</v>
      </c>
    </row>
    <row r="456" spans="1:10" x14ac:dyDescent="0.25">
      <c r="A456" s="68">
        <v>1490</v>
      </c>
      <c r="B456" s="23" t="s">
        <v>34</v>
      </c>
      <c r="C456" s="23" t="s">
        <v>12</v>
      </c>
      <c r="D456" s="23" t="s">
        <v>212</v>
      </c>
      <c r="F456" s="36">
        <v>25688</v>
      </c>
      <c r="G456" s="16">
        <v>43001000</v>
      </c>
      <c r="H456" t="s">
        <v>173</v>
      </c>
      <c r="I456" t="s">
        <v>644</v>
      </c>
      <c r="J456" s="64">
        <v>503</v>
      </c>
    </row>
    <row r="457" spans="1:10" x14ac:dyDescent="0.25">
      <c r="A457" s="68">
        <v>1505</v>
      </c>
      <c r="B457" s="23" t="s">
        <v>10</v>
      </c>
      <c r="C457" s="23" t="s">
        <v>7</v>
      </c>
      <c r="D457" s="23" t="s">
        <v>19</v>
      </c>
      <c r="E457" s="23">
        <v>7790</v>
      </c>
      <c r="F457" s="36">
        <v>25688</v>
      </c>
      <c r="G457" s="16">
        <v>3300202000</v>
      </c>
      <c r="H457" t="s">
        <v>220</v>
      </c>
      <c r="I457" t="s">
        <v>644</v>
      </c>
      <c r="J457" s="64">
        <v>1212</v>
      </c>
    </row>
    <row r="458" spans="1:10" x14ac:dyDescent="0.25">
      <c r="A458" s="68">
        <v>1510</v>
      </c>
      <c r="B458" s="23" t="s">
        <v>6</v>
      </c>
      <c r="C458" s="23" t="s">
        <v>7</v>
      </c>
      <c r="D458" s="23" t="s">
        <v>43</v>
      </c>
      <c r="E458" s="23">
        <v>12277</v>
      </c>
      <c r="F458" s="36">
        <v>25688</v>
      </c>
      <c r="G458" s="16">
        <v>2126013000</v>
      </c>
      <c r="H458" t="s">
        <v>228</v>
      </c>
      <c r="I458" t="s">
        <v>644</v>
      </c>
      <c r="J458" s="64">
        <v>1241.5</v>
      </c>
    </row>
    <row r="459" spans="1:10" x14ac:dyDescent="0.25">
      <c r="A459" s="68">
        <v>1514</v>
      </c>
      <c r="B459" s="23" t="s">
        <v>10</v>
      </c>
      <c r="C459" s="23" t="s">
        <v>7</v>
      </c>
      <c r="D459" s="23" t="s">
        <v>11</v>
      </c>
      <c r="F459" s="36">
        <v>25688</v>
      </c>
      <c r="G459" s="16">
        <v>43001000</v>
      </c>
      <c r="H459" t="s">
        <v>173</v>
      </c>
      <c r="I459" t="s">
        <v>644</v>
      </c>
      <c r="J459" s="64">
        <v>309.5</v>
      </c>
    </row>
    <row r="460" spans="1:10" x14ac:dyDescent="0.25">
      <c r="A460" s="68">
        <v>1524</v>
      </c>
      <c r="B460" s="23" t="s">
        <v>384</v>
      </c>
      <c r="C460" s="23" t="s">
        <v>12</v>
      </c>
      <c r="D460" s="23" t="s">
        <v>385</v>
      </c>
      <c r="F460" s="36">
        <v>25688</v>
      </c>
      <c r="G460" s="16">
        <v>1000007</v>
      </c>
      <c r="H460" t="s">
        <v>386</v>
      </c>
      <c r="J460" s="61"/>
    </row>
    <row r="461" spans="1:10" x14ac:dyDescent="0.25">
      <c r="A461" s="68">
        <v>1527</v>
      </c>
      <c r="B461" s="23" t="s">
        <v>34</v>
      </c>
      <c r="C461" s="23" t="s">
        <v>7</v>
      </c>
      <c r="D461" s="23" t="s">
        <v>11</v>
      </c>
      <c r="E461" s="23">
        <v>11111111</v>
      </c>
      <c r="F461" s="36">
        <v>25688</v>
      </c>
      <c r="G461" s="16">
        <v>157002000</v>
      </c>
      <c r="H461" t="s">
        <v>201</v>
      </c>
      <c r="I461" t="s">
        <v>644</v>
      </c>
      <c r="J461" s="64">
        <v>309.5</v>
      </c>
    </row>
    <row r="462" spans="1:10" x14ac:dyDescent="0.25">
      <c r="A462" s="68">
        <v>1533</v>
      </c>
      <c r="B462" s="23" t="s">
        <v>10</v>
      </c>
      <c r="C462" s="23" t="s">
        <v>7</v>
      </c>
      <c r="D462" s="23" t="s">
        <v>11</v>
      </c>
      <c r="F462" s="36">
        <v>25688</v>
      </c>
      <c r="G462" s="16">
        <v>3300202000</v>
      </c>
      <c r="H462" t="s">
        <v>220</v>
      </c>
      <c r="I462" t="s">
        <v>644</v>
      </c>
      <c r="J462" s="64">
        <v>309.5</v>
      </c>
    </row>
    <row r="463" spans="1:10" x14ac:dyDescent="0.25">
      <c r="A463" s="68">
        <v>1535</v>
      </c>
      <c r="B463" s="23" t="s">
        <v>34</v>
      </c>
      <c r="C463" s="23" t="s">
        <v>7</v>
      </c>
      <c r="D463" s="23" t="s">
        <v>11</v>
      </c>
      <c r="E463" s="23">
        <v>1524</v>
      </c>
      <c r="F463" s="36">
        <v>25688</v>
      </c>
      <c r="G463" s="16">
        <v>2499001000</v>
      </c>
      <c r="H463" t="s">
        <v>363</v>
      </c>
      <c r="I463" t="s">
        <v>644</v>
      </c>
      <c r="J463" s="64">
        <v>309.5</v>
      </c>
    </row>
    <row r="464" spans="1:10" x14ac:dyDescent="0.25">
      <c r="A464" s="68">
        <v>1547</v>
      </c>
      <c r="B464" s="23" t="s">
        <v>10</v>
      </c>
      <c r="C464" s="23" t="s">
        <v>18</v>
      </c>
      <c r="D464" s="23" t="s">
        <v>19</v>
      </c>
      <c r="F464" s="36">
        <v>25688</v>
      </c>
      <c r="G464" s="16">
        <v>165001000</v>
      </c>
      <c r="H464" t="s">
        <v>198</v>
      </c>
      <c r="I464" t="s">
        <v>644</v>
      </c>
      <c r="J464" s="64">
        <v>1154</v>
      </c>
    </row>
    <row r="465" spans="1:10" x14ac:dyDescent="0.25">
      <c r="A465" s="68">
        <v>1560</v>
      </c>
      <c r="B465" s="23" t="s">
        <v>10</v>
      </c>
      <c r="C465" s="23" t="s">
        <v>18</v>
      </c>
      <c r="D465" s="23" t="s">
        <v>19</v>
      </c>
      <c r="E465" s="23">
        <v>4970</v>
      </c>
      <c r="F465" s="36">
        <v>25688</v>
      </c>
      <c r="G465" s="16">
        <v>153002000</v>
      </c>
      <c r="H465" t="s">
        <v>189</v>
      </c>
      <c r="I465" t="s">
        <v>644</v>
      </c>
      <c r="J465" s="64">
        <v>1154</v>
      </c>
    </row>
    <row r="466" spans="1:10" x14ac:dyDescent="0.25">
      <c r="A466" s="68">
        <v>1579</v>
      </c>
      <c r="B466" s="23" t="s">
        <v>34</v>
      </c>
      <c r="C466" s="23" t="s">
        <v>7</v>
      </c>
      <c r="D466" s="23" t="s">
        <v>11</v>
      </c>
      <c r="F466" s="36">
        <v>25688</v>
      </c>
      <c r="G466" s="16">
        <v>157001000</v>
      </c>
      <c r="H466" t="s">
        <v>382</v>
      </c>
      <c r="I466" t="s">
        <v>644</v>
      </c>
      <c r="J466" s="64">
        <v>309.5</v>
      </c>
    </row>
    <row r="467" spans="1:10" x14ac:dyDescent="0.25">
      <c r="A467" s="68">
        <v>1582</v>
      </c>
      <c r="B467" s="23" t="s">
        <v>104</v>
      </c>
      <c r="C467" s="23" t="s">
        <v>44</v>
      </c>
      <c r="D467" s="23" t="s">
        <v>387</v>
      </c>
      <c r="F467" s="36">
        <v>25688</v>
      </c>
      <c r="G467" s="16">
        <v>1000012</v>
      </c>
      <c r="H467" t="s">
        <v>199</v>
      </c>
      <c r="J467" s="61"/>
    </row>
    <row r="468" spans="1:10" ht="15.75" x14ac:dyDescent="0.25">
      <c r="A468" s="68">
        <v>1587</v>
      </c>
      <c r="B468" s="23" t="s">
        <v>10</v>
      </c>
      <c r="C468" s="23" t="s">
        <v>7</v>
      </c>
      <c r="D468" s="23" t="s">
        <v>20</v>
      </c>
      <c r="E468" s="23">
        <v>10139</v>
      </c>
      <c r="F468" s="36">
        <v>25688</v>
      </c>
      <c r="G468" s="16">
        <v>3033001000</v>
      </c>
      <c r="H468" t="s">
        <v>388</v>
      </c>
      <c r="I468" t="s">
        <v>644</v>
      </c>
      <c r="J468" s="65">
        <v>461</v>
      </c>
    </row>
    <row r="469" spans="1:10" x14ac:dyDescent="0.25">
      <c r="A469" s="68">
        <v>1589</v>
      </c>
      <c r="B469" s="23" t="s">
        <v>370</v>
      </c>
      <c r="C469" s="23" t="s">
        <v>389</v>
      </c>
      <c r="D469" s="23" t="s">
        <v>19</v>
      </c>
      <c r="F469" s="36">
        <v>25688</v>
      </c>
      <c r="G469" s="16">
        <v>1000012</v>
      </c>
      <c r="H469" t="s">
        <v>199</v>
      </c>
      <c r="J469" s="61"/>
    </row>
    <row r="470" spans="1:10" x14ac:dyDescent="0.25">
      <c r="A470" s="68">
        <v>1594</v>
      </c>
      <c r="B470" s="23" t="s">
        <v>50</v>
      </c>
      <c r="C470" s="23" t="s">
        <v>12</v>
      </c>
      <c r="D470" s="23" t="s">
        <v>141</v>
      </c>
      <c r="E470" s="23" t="s">
        <v>390</v>
      </c>
      <c r="F470" s="36">
        <v>35712</v>
      </c>
      <c r="G470" s="16">
        <v>66011000</v>
      </c>
      <c r="H470" t="s">
        <v>166</v>
      </c>
      <c r="I470" t="s">
        <v>644</v>
      </c>
      <c r="J470" s="64">
        <v>912</v>
      </c>
    </row>
    <row r="471" spans="1:10" x14ac:dyDescent="0.25">
      <c r="A471" s="68">
        <v>1598</v>
      </c>
      <c r="B471" s="23" t="s">
        <v>10</v>
      </c>
      <c r="C471" s="23" t="s">
        <v>7</v>
      </c>
      <c r="D471" s="23" t="s">
        <v>11</v>
      </c>
      <c r="E471" s="23">
        <v>11265</v>
      </c>
      <c r="F471" s="36">
        <v>25688</v>
      </c>
      <c r="G471" s="16">
        <v>1406010000</v>
      </c>
      <c r="H471" t="s">
        <v>391</v>
      </c>
      <c r="I471" t="s">
        <v>644</v>
      </c>
      <c r="J471" s="64">
        <v>309.5</v>
      </c>
    </row>
    <row r="472" spans="1:10" x14ac:dyDescent="0.25">
      <c r="A472" s="68">
        <v>1599</v>
      </c>
      <c r="B472" s="23" t="s">
        <v>10</v>
      </c>
      <c r="C472" s="23" t="s">
        <v>302</v>
      </c>
      <c r="D472" s="23" t="s">
        <v>303</v>
      </c>
      <c r="F472" s="36">
        <v>25688</v>
      </c>
      <c r="G472" s="16">
        <v>1000008</v>
      </c>
      <c r="H472" t="s">
        <v>357</v>
      </c>
      <c r="J472" s="61"/>
    </row>
    <row r="473" spans="1:10" x14ac:dyDescent="0.25">
      <c r="A473" s="68">
        <v>1606</v>
      </c>
      <c r="B473" s="23" t="s">
        <v>6</v>
      </c>
      <c r="C473" s="23" t="s">
        <v>7</v>
      </c>
      <c r="D473" s="23" t="s">
        <v>49</v>
      </c>
      <c r="E473" s="23">
        <v>15322</v>
      </c>
      <c r="F473" s="36">
        <v>25688</v>
      </c>
      <c r="G473" s="16">
        <v>1014001</v>
      </c>
      <c r="H473" t="s">
        <v>163</v>
      </c>
      <c r="J473" s="64">
        <v>1135</v>
      </c>
    </row>
    <row r="474" spans="1:10" x14ac:dyDescent="0.25">
      <c r="A474" s="68">
        <v>1607</v>
      </c>
      <c r="B474" s="23" t="s">
        <v>6</v>
      </c>
      <c r="C474" s="23" t="s">
        <v>7</v>
      </c>
      <c r="D474" s="23" t="s">
        <v>392</v>
      </c>
      <c r="E474" s="23">
        <v>15323</v>
      </c>
      <c r="F474" s="36">
        <v>25688</v>
      </c>
      <c r="G474" s="16">
        <v>3248001000</v>
      </c>
      <c r="H474" t="s">
        <v>393</v>
      </c>
      <c r="I474" t="s">
        <v>644</v>
      </c>
      <c r="J474" s="64">
        <v>1135</v>
      </c>
    </row>
    <row r="475" spans="1:10" ht="15.75" x14ac:dyDescent="0.25">
      <c r="A475" s="68">
        <v>1627</v>
      </c>
      <c r="B475" s="23" t="s">
        <v>10</v>
      </c>
      <c r="C475" s="23" t="s">
        <v>7</v>
      </c>
      <c r="D475" s="23" t="s">
        <v>20</v>
      </c>
      <c r="E475" s="23">
        <v>17503</v>
      </c>
      <c r="F475" s="36">
        <v>25688</v>
      </c>
      <c r="G475" s="16">
        <v>3319001000</v>
      </c>
      <c r="H475" t="s">
        <v>394</v>
      </c>
      <c r="I475" t="s">
        <v>644</v>
      </c>
      <c r="J475" s="65">
        <v>461</v>
      </c>
    </row>
    <row r="476" spans="1:10" x14ac:dyDescent="0.25">
      <c r="A476" s="68">
        <v>1628</v>
      </c>
      <c r="B476" s="23" t="s">
        <v>10</v>
      </c>
      <c r="C476" s="23" t="s">
        <v>7</v>
      </c>
      <c r="D476" s="23" t="s">
        <v>19</v>
      </c>
      <c r="E476" s="23">
        <v>17446</v>
      </c>
      <c r="F476" s="36">
        <v>25688</v>
      </c>
      <c r="G476" s="16">
        <v>2558002000</v>
      </c>
      <c r="H476" t="s">
        <v>195</v>
      </c>
      <c r="I476" t="s">
        <v>644</v>
      </c>
      <c r="J476" s="64">
        <v>1212</v>
      </c>
    </row>
    <row r="477" spans="1:10" x14ac:dyDescent="0.25">
      <c r="A477" s="68">
        <v>1630</v>
      </c>
      <c r="B477" s="23" t="s">
        <v>10</v>
      </c>
      <c r="C477" s="23" t="s">
        <v>7</v>
      </c>
      <c r="D477" s="23" t="s">
        <v>11</v>
      </c>
      <c r="E477" s="23">
        <v>17442</v>
      </c>
      <c r="F477" s="36">
        <v>25688</v>
      </c>
      <c r="G477" s="16">
        <v>2053001000</v>
      </c>
      <c r="H477" t="s">
        <v>300</v>
      </c>
      <c r="I477" t="s">
        <v>644</v>
      </c>
      <c r="J477" s="64">
        <v>309.5</v>
      </c>
    </row>
    <row r="478" spans="1:10" x14ac:dyDescent="0.25">
      <c r="A478" s="68">
        <v>1631</v>
      </c>
      <c r="B478" s="23" t="s">
        <v>6</v>
      </c>
      <c r="C478" s="23" t="s">
        <v>7</v>
      </c>
      <c r="D478" s="23" t="s">
        <v>14</v>
      </c>
      <c r="E478" s="23">
        <v>15648</v>
      </c>
      <c r="F478" s="36">
        <v>25688</v>
      </c>
      <c r="G478" s="16">
        <v>3219001000</v>
      </c>
      <c r="H478" t="s">
        <v>395</v>
      </c>
      <c r="I478" t="s">
        <v>644</v>
      </c>
      <c r="J478" s="64">
        <v>1212</v>
      </c>
    </row>
    <row r="479" spans="1:10" x14ac:dyDescent="0.25">
      <c r="A479" s="68">
        <v>1632</v>
      </c>
      <c r="B479" s="23" t="s">
        <v>6</v>
      </c>
      <c r="C479" s="23" t="s">
        <v>7</v>
      </c>
      <c r="D479" s="23" t="s">
        <v>14</v>
      </c>
      <c r="F479" s="36">
        <v>25688</v>
      </c>
      <c r="G479" s="16">
        <v>2548017000</v>
      </c>
      <c r="H479" t="s">
        <v>396</v>
      </c>
      <c r="I479" t="s">
        <v>644</v>
      </c>
      <c r="J479" s="64">
        <v>1212</v>
      </c>
    </row>
    <row r="480" spans="1:10" x14ac:dyDescent="0.25">
      <c r="A480" s="68">
        <v>1633</v>
      </c>
      <c r="B480" s="23" t="s">
        <v>6</v>
      </c>
      <c r="C480" s="23" t="s">
        <v>7</v>
      </c>
      <c r="D480" s="23" t="s">
        <v>14</v>
      </c>
      <c r="E480" s="23">
        <v>15649</v>
      </c>
      <c r="F480" s="36">
        <v>25688</v>
      </c>
      <c r="G480" s="16">
        <v>212005000</v>
      </c>
      <c r="H480" t="s">
        <v>349</v>
      </c>
      <c r="I480" t="s">
        <v>644</v>
      </c>
      <c r="J480" s="64">
        <v>1212</v>
      </c>
    </row>
    <row r="481" spans="1:10" x14ac:dyDescent="0.25">
      <c r="A481" s="68">
        <v>1635</v>
      </c>
      <c r="B481" s="23" t="s">
        <v>6</v>
      </c>
      <c r="C481" s="23" t="s">
        <v>7</v>
      </c>
      <c r="D481" s="23" t="s">
        <v>14</v>
      </c>
      <c r="F481" s="36">
        <v>25688</v>
      </c>
      <c r="G481" s="16">
        <v>153002000</v>
      </c>
      <c r="H481" t="s">
        <v>189</v>
      </c>
      <c r="I481" t="s">
        <v>644</v>
      </c>
      <c r="J481" s="64">
        <v>1212</v>
      </c>
    </row>
    <row r="482" spans="1:10" x14ac:dyDescent="0.25">
      <c r="A482" s="68">
        <v>1636</v>
      </c>
      <c r="B482" s="23" t="s">
        <v>6</v>
      </c>
      <c r="C482" s="23" t="s">
        <v>7</v>
      </c>
      <c r="D482" s="23" t="s">
        <v>14</v>
      </c>
      <c r="E482" s="23">
        <v>15650</v>
      </c>
      <c r="F482" s="36">
        <v>25688</v>
      </c>
      <c r="G482" s="16">
        <v>3207012000</v>
      </c>
      <c r="H482" t="s">
        <v>342</v>
      </c>
      <c r="I482" t="s">
        <v>644</v>
      </c>
      <c r="J482" s="64">
        <v>1212</v>
      </c>
    </row>
    <row r="483" spans="1:10" ht="15.75" x14ac:dyDescent="0.25">
      <c r="A483" s="68">
        <v>1638</v>
      </c>
      <c r="B483" s="23" t="s">
        <v>10</v>
      </c>
      <c r="C483" s="23" t="s">
        <v>7</v>
      </c>
      <c r="D483" s="23" t="s">
        <v>20</v>
      </c>
      <c r="E483" s="23">
        <v>17497</v>
      </c>
      <c r="F483" s="36">
        <v>25688</v>
      </c>
      <c r="G483" s="16">
        <v>3288001000</v>
      </c>
      <c r="H483" t="s">
        <v>183</v>
      </c>
      <c r="I483" t="s">
        <v>644</v>
      </c>
      <c r="J483" s="65">
        <v>461</v>
      </c>
    </row>
    <row r="484" spans="1:10" x14ac:dyDescent="0.25">
      <c r="A484" s="68">
        <v>1651</v>
      </c>
      <c r="B484" s="23" t="s">
        <v>6</v>
      </c>
      <c r="C484" s="23" t="s">
        <v>7</v>
      </c>
      <c r="D484" s="23" t="s">
        <v>14</v>
      </c>
      <c r="E484" s="23">
        <v>15776</v>
      </c>
      <c r="F484" s="36">
        <v>35426</v>
      </c>
      <c r="G484" s="16">
        <v>66031000</v>
      </c>
      <c r="H484" t="s">
        <v>185</v>
      </c>
      <c r="I484" t="s">
        <v>644</v>
      </c>
      <c r="J484" s="64">
        <v>1212</v>
      </c>
    </row>
    <row r="485" spans="1:10" x14ac:dyDescent="0.25">
      <c r="A485" s="68">
        <v>1675</v>
      </c>
      <c r="B485" s="23" t="s">
        <v>6</v>
      </c>
      <c r="C485" s="23" t="s">
        <v>12</v>
      </c>
      <c r="D485" s="23" t="s">
        <v>13</v>
      </c>
      <c r="F485" s="36">
        <v>25688</v>
      </c>
      <c r="G485" s="16">
        <v>43006000</v>
      </c>
      <c r="H485" t="s">
        <v>177</v>
      </c>
      <c r="I485" t="s">
        <v>644</v>
      </c>
      <c r="J485" s="64">
        <v>1091</v>
      </c>
    </row>
    <row r="486" spans="1:10" ht="15.75" x14ac:dyDescent="0.25">
      <c r="A486" s="68">
        <v>1696</v>
      </c>
      <c r="B486" s="23" t="s">
        <v>10</v>
      </c>
      <c r="C486" s="23" t="s">
        <v>7</v>
      </c>
      <c r="D486" s="23" t="s">
        <v>20</v>
      </c>
      <c r="E486" s="23">
        <v>17850</v>
      </c>
      <c r="F486" s="36">
        <v>25688</v>
      </c>
      <c r="G486" s="16">
        <v>3370014000</v>
      </c>
      <c r="H486" t="s">
        <v>397</v>
      </c>
      <c r="I486" t="s">
        <v>644</v>
      </c>
      <c r="J486" s="65">
        <v>461</v>
      </c>
    </row>
    <row r="487" spans="1:10" x14ac:dyDescent="0.25">
      <c r="A487" s="68">
        <v>1699</v>
      </c>
      <c r="B487" s="23" t="s">
        <v>10</v>
      </c>
      <c r="C487" s="23" t="s">
        <v>7</v>
      </c>
      <c r="D487" s="23" t="s">
        <v>11</v>
      </c>
      <c r="E487" s="23">
        <v>17867</v>
      </c>
      <c r="F487" s="36">
        <v>35431</v>
      </c>
      <c r="G487" s="16">
        <v>3042004002</v>
      </c>
      <c r="H487" t="s">
        <v>247</v>
      </c>
      <c r="I487" t="s">
        <v>643</v>
      </c>
      <c r="J487" s="64">
        <v>309.5</v>
      </c>
    </row>
    <row r="488" spans="1:10" x14ac:dyDescent="0.25">
      <c r="A488" s="68">
        <v>1700</v>
      </c>
      <c r="B488" s="23" t="s">
        <v>10</v>
      </c>
      <c r="C488" s="23" t="s">
        <v>7</v>
      </c>
      <c r="D488" s="23" t="s">
        <v>11</v>
      </c>
      <c r="E488" s="23">
        <v>17822</v>
      </c>
      <c r="F488" s="36">
        <v>35431</v>
      </c>
      <c r="G488" s="16">
        <v>2126001000</v>
      </c>
      <c r="H488" t="s">
        <v>180</v>
      </c>
      <c r="I488" t="s">
        <v>644</v>
      </c>
      <c r="J488" s="64">
        <v>309.5</v>
      </c>
    </row>
    <row r="489" spans="1:10" x14ac:dyDescent="0.25">
      <c r="A489" s="68">
        <v>1701</v>
      </c>
      <c r="B489" s="23" t="s">
        <v>10</v>
      </c>
      <c r="C489" s="23" t="s">
        <v>7</v>
      </c>
      <c r="D489" s="23" t="s">
        <v>11</v>
      </c>
      <c r="E489" s="23">
        <v>17799</v>
      </c>
      <c r="F489" s="36">
        <v>35431</v>
      </c>
      <c r="G489" s="16">
        <v>1165000000</v>
      </c>
      <c r="H489" t="s">
        <v>184</v>
      </c>
      <c r="I489" t="s">
        <v>644</v>
      </c>
      <c r="J489" s="64">
        <v>309.5</v>
      </c>
    </row>
    <row r="490" spans="1:10" x14ac:dyDescent="0.25">
      <c r="A490" s="68">
        <v>1709</v>
      </c>
      <c r="B490" s="23" t="s">
        <v>10</v>
      </c>
      <c r="C490" s="23" t="s">
        <v>7</v>
      </c>
      <c r="D490" s="23" t="s">
        <v>11</v>
      </c>
      <c r="E490" s="23">
        <v>17873</v>
      </c>
      <c r="F490" s="36">
        <v>35431</v>
      </c>
      <c r="G490" s="16">
        <v>2905001000</v>
      </c>
      <c r="H490" t="s">
        <v>327</v>
      </c>
      <c r="I490" t="s">
        <v>644</v>
      </c>
      <c r="J490" s="64">
        <v>309.5</v>
      </c>
    </row>
    <row r="491" spans="1:10" x14ac:dyDescent="0.25">
      <c r="A491" s="68">
        <v>1714</v>
      </c>
      <c r="B491" s="23" t="s">
        <v>6</v>
      </c>
      <c r="C491" s="23" t="s">
        <v>7</v>
      </c>
      <c r="D491" s="23" t="s">
        <v>14</v>
      </c>
      <c r="E491" s="23">
        <v>15996</v>
      </c>
      <c r="F491" s="36">
        <v>25688</v>
      </c>
      <c r="G491" s="16">
        <v>3249002000</v>
      </c>
      <c r="H491" t="s">
        <v>398</v>
      </c>
      <c r="I491" t="s">
        <v>644</v>
      </c>
      <c r="J491" s="64">
        <v>1212</v>
      </c>
    </row>
    <row r="492" spans="1:10" x14ac:dyDescent="0.25">
      <c r="A492" s="68">
        <v>1715</v>
      </c>
      <c r="B492" s="23" t="s">
        <v>6</v>
      </c>
      <c r="C492" s="23" t="s">
        <v>7</v>
      </c>
      <c r="D492" s="23" t="s">
        <v>14</v>
      </c>
      <c r="E492" s="23">
        <v>15989</v>
      </c>
      <c r="F492" s="36">
        <v>25688</v>
      </c>
      <c r="G492" s="16">
        <v>1532001000</v>
      </c>
      <c r="H492" t="s">
        <v>309</v>
      </c>
      <c r="I492" t="s">
        <v>644</v>
      </c>
      <c r="J492" s="64">
        <v>1212</v>
      </c>
    </row>
    <row r="493" spans="1:10" ht="15.75" x14ac:dyDescent="0.25">
      <c r="A493" s="68">
        <v>1758</v>
      </c>
      <c r="B493" s="23" t="s">
        <v>10</v>
      </c>
      <c r="C493" s="23" t="s">
        <v>7</v>
      </c>
      <c r="D493" s="23" t="s">
        <v>20</v>
      </c>
      <c r="E493" s="23">
        <v>17854</v>
      </c>
      <c r="F493" s="36">
        <v>35686</v>
      </c>
      <c r="G493" s="16">
        <v>3300200000</v>
      </c>
      <c r="H493" t="s">
        <v>399</v>
      </c>
      <c r="I493" t="s">
        <v>644</v>
      </c>
      <c r="J493" s="65">
        <v>461</v>
      </c>
    </row>
    <row r="494" spans="1:10" x14ac:dyDescent="0.25">
      <c r="A494" s="68">
        <v>1765</v>
      </c>
      <c r="B494" s="23" t="s">
        <v>400</v>
      </c>
      <c r="C494" s="23" t="s">
        <v>12</v>
      </c>
      <c r="D494" s="23" t="s">
        <v>19</v>
      </c>
      <c r="E494" s="23">
        <v>34943</v>
      </c>
      <c r="F494" s="36">
        <v>25688</v>
      </c>
      <c r="G494" s="16">
        <v>66031000</v>
      </c>
      <c r="H494" t="s">
        <v>185</v>
      </c>
      <c r="I494" t="s">
        <v>644</v>
      </c>
      <c r="J494">
        <v>36</v>
      </c>
    </row>
    <row r="495" spans="1:10" x14ac:dyDescent="0.25">
      <c r="A495" s="68">
        <v>1769</v>
      </c>
      <c r="B495" s="23" t="s">
        <v>401</v>
      </c>
      <c r="C495" s="23" t="s">
        <v>12</v>
      </c>
      <c r="D495" s="23" t="s">
        <v>19</v>
      </c>
      <c r="E495" s="23">
        <v>35247</v>
      </c>
      <c r="F495" s="36">
        <v>25688</v>
      </c>
      <c r="G495" s="16">
        <v>2840001000</v>
      </c>
      <c r="H495" t="s">
        <v>208</v>
      </c>
      <c r="I495" t="s">
        <v>644</v>
      </c>
      <c r="J495">
        <v>24</v>
      </c>
    </row>
    <row r="496" spans="1:10" x14ac:dyDescent="0.25">
      <c r="A496" s="68">
        <v>1795</v>
      </c>
      <c r="B496" s="23" t="s">
        <v>6</v>
      </c>
      <c r="C496" s="23" t="s">
        <v>12</v>
      </c>
      <c r="D496" s="23" t="s">
        <v>110</v>
      </c>
      <c r="F496" s="36">
        <v>35816</v>
      </c>
      <c r="G496" s="16">
        <v>165001000</v>
      </c>
      <c r="H496" t="s">
        <v>198</v>
      </c>
      <c r="I496" t="s">
        <v>644</v>
      </c>
      <c r="J496" s="64">
        <v>576</v>
      </c>
    </row>
    <row r="497" spans="1:10" x14ac:dyDescent="0.25">
      <c r="A497" s="68">
        <v>1796</v>
      </c>
      <c r="B497" s="23" t="s">
        <v>6</v>
      </c>
      <c r="C497" s="23" t="s">
        <v>12</v>
      </c>
      <c r="D497" s="23" t="s">
        <v>76</v>
      </c>
      <c r="E497" s="23">
        <v>3869</v>
      </c>
      <c r="F497" s="36">
        <v>35816</v>
      </c>
      <c r="G497" s="16">
        <v>1014001</v>
      </c>
      <c r="H497" t="s">
        <v>163</v>
      </c>
      <c r="J497" s="64">
        <v>1243.5</v>
      </c>
    </row>
    <row r="498" spans="1:10" x14ac:dyDescent="0.25">
      <c r="A498" s="68">
        <v>1801</v>
      </c>
      <c r="B498" s="23" t="s">
        <v>6</v>
      </c>
      <c r="C498" s="23" t="s">
        <v>12</v>
      </c>
      <c r="D498" s="23" t="s">
        <v>76</v>
      </c>
      <c r="E498" s="23">
        <v>3868</v>
      </c>
      <c r="F498" s="36">
        <v>35868</v>
      </c>
      <c r="G498" s="16">
        <v>3370013000</v>
      </c>
      <c r="H498" t="s">
        <v>402</v>
      </c>
      <c r="I498" t="s">
        <v>644</v>
      </c>
      <c r="J498" s="64">
        <v>1243.5</v>
      </c>
    </row>
    <row r="499" spans="1:10" x14ac:dyDescent="0.25">
      <c r="A499" s="68">
        <v>1802</v>
      </c>
      <c r="B499" s="23" t="s">
        <v>6</v>
      </c>
      <c r="C499" s="23" t="s">
        <v>12</v>
      </c>
      <c r="D499" s="23" t="s">
        <v>76</v>
      </c>
      <c r="E499" s="23">
        <v>3870</v>
      </c>
      <c r="F499" s="36">
        <v>35867</v>
      </c>
      <c r="G499" s="16">
        <v>2777001000</v>
      </c>
      <c r="H499" t="s">
        <v>347</v>
      </c>
      <c r="I499" t="s">
        <v>644</v>
      </c>
      <c r="J499" s="64">
        <v>1243.5</v>
      </c>
    </row>
    <row r="500" spans="1:10" x14ac:dyDescent="0.25">
      <c r="A500" s="68">
        <v>1806</v>
      </c>
      <c r="B500" s="23" t="s">
        <v>6</v>
      </c>
      <c r="C500" s="23" t="s">
        <v>12</v>
      </c>
      <c r="D500" s="23" t="s">
        <v>76</v>
      </c>
      <c r="E500" s="23">
        <v>3834</v>
      </c>
      <c r="F500" s="36">
        <v>35797</v>
      </c>
      <c r="G500" s="16">
        <v>3207002000</v>
      </c>
      <c r="H500" t="s">
        <v>251</v>
      </c>
      <c r="I500" t="s">
        <v>644</v>
      </c>
      <c r="J500" s="64">
        <v>1243.5</v>
      </c>
    </row>
    <row r="501" spans="1:10" x14ac:dyDescent="0.25">
      <c r="A501" s="68">
        <v>1807</v>
      </c>
      <c r="B501" s="23" t="s">
        <v>6</v>
      </c>
      <c r="C501" s="23" t="s">
        <v>12</v>
      </c>
      <c r="D501" s="23" t="s">
        <v>76</v>
      </c>
      <c r="E501" s="23">
        <v>3836</v>
      </c>
      <c r="F501" s="36">
        <v>35797</v>
      </c>
      <c r="G501" s="16">
        <v>165005000</v>
      </c>
      <c r="H501" t="s">
        <v>174</v>
      </c>
      <c r="I501" t="s">
        <v>644</v>
      </c>
      <c r="J501" s="64">
        <v>1243.5</v>
      </c>
    </row>
    <row r="502" spans="1:10" x14ac:dyDescent="0.25">
      <c r="A502" s="68">
        <v>1808</v>
      </c>
      <c r="B502" s="23" t="s">
        <v>6</v>
      </c>
      <c r="C502" s="23" t="s">
        <v>12</v>
      </c>
      <c r="D502" s="23" t="s">
        <v>21</v>
      </c>
      <c r="E502" s="23">
        <v>224</v>
      </c>
      <c r="F502" s="36">
        <v>35797</v>
      </c>
      <c r="G502" s="16">
        <v>193012000</v>
      </c>
      <c r="H502" t="s">
        <v>200</v>
      </c>
      <c r="I502" t="s">
        <v>644</v>
      </c>
      <c r="J502" s="64">
        <v>992.5</v>
      </c>
    </row>
    <row r="503" spans="1:10" x14ac:dyDescent="0.25">
      <c r="A503" s="68">
        <v>1809</v>
      </c>
      <c r="B503" s="23" t="s">
        <v>34</v>
      </c>
      <c r="C503" s="23" t="s">
        <v>7</v>
      </c>
      <c r="D503" s="23" t="s">
        <v>11</v>
      </c>
      <c r="E503" s="23">
        <v>18348</v>
      </c>
      <c r="F503" s="36">
        <v>35797</v>
      </c>
      <c r="G503" s="16">
        <v>66011000</v>
      </c>
      <c r="H503" t="s">
        <v>166</v>
      </c>
      <c r="I503" t="s">
        <v>644</v>
      </c>
      <c r="J503" s="64">
        <v>309.5</v>
      </c>
    </row>
    <row r="504" spans="1:10" x14ac:dyDescent="0.25">
      <c r="A504" s="68">
        <v>1812</v>
      </c>
      <c r="B504" s="23" t="s">
        <v>22</v>
      </c>
      <c r="C504" s="23" t="s">
        <v>12</v>
      </c>
      <c r="D504" s="23" t="s">
        <v>23</v>
      </c>
      <c r="E504" s="23" t="s">
        <v>403</v>
      </c>
      <c r="F504" s="36">
        <v>35797</v>
      </c>
      <c r="G504" s="16">
        <v>193012000</v>
      </c>
      <c r="H504" t="s">
        <v>200</v>
      </c>
      <c r="I504" t="s">
        <v>644</v>
      </c>
      <c r="J504" s="40">
        <v>2720</v>
      </c>
    </row>
    <row r="505" spans="1:10" x14ac:dyDescent="0.25">
      <c r="A505" s="68">
        <v>1816</v>
      </c>
      <c r="B505" s="23" t="s">
        <v>6</v>
      </c>
      <c r="C505" s="23" t="s">
        <v>12</v>
      </c>
      <c r="D505" s="23" t="s">
        <v>110</v>
      </c>
      <c r="F505" s="36">
        <v>36100</v>
      </c>
      <c r="G505" s="16">
        <v>1550001000</v>
      </c>
      <c r="H505" t="s">
        <v>304</v>
      </c>
      <c r="I505" t="s">
        <v>644</v>
      </c>
      <c r="J505" s="64">
        <v>576</v>
      </c>
    </row>
    <row r="506" spans="1:10" x14ac:dyDescent="0.25">
      <c r="A506" s="68">
        <v>1817</v>
      </c>
      <c r="B506" s="23" t="s">
        <v>83</v>
      </c>
      <c r="C506" s="23" t="s">
        <v>12</v>
      </c>
      <c r="D506" s="23" t="s">
        <v>96</v>
      </c>
      <c r="E506" s="23">
        <v>12721</v>
      </c>
      <c r="F506" s="36">
        <v>36100</v>
      </c>
      <c r="G506" s="16">
        <v>2126001000</v>
      </c>
      <c r="H506" t="s">
        <v>180</v>
      </c>
      <c r="I506" t="s">
        <v>644</v>
      </c>
      <c r="J506" s="64">
        <v>512</v>
      </c>
    </row>
    <row r="507" spans="1:10" x14ac:dyDescent="0.25">
      <c r="A507" s="68">
        <v>1821</v>
      </c>
      <c r="B507" s="23" t="s">
        <v>6</v>
      </c>
      <c r="C507" s="23" t="s">
        <v>12</v>
      </c>
      <c r="D507" s="23" t="s">
        <v>76</v>
      </c>
      <c r="E507" s="23">
        <v>3866</v>
      </c>
      <c r="F507" s="36">
        <v>35797</v>
      </c>
      <c r="G507" s="16">
        <v>2814003000</v>
      </c>
      <c r="H507" t="s">
        <v>279</v>
      </c>
      <c r="I507" t="s">
        <v>644</v>
      </c>
      <c r="J507" s="64">
        <v>1243.5</v>
      </c>
    </row>
    <row r="508" spans="1:10" x14ac:dyDescent="0.25">
      <c r="A508" s="68">
        <v>1822</v>
      </c>
      <c r="B508" s="23" t="s">
        <v>6</v>
      </c>
      <c r="C508" s="23" t="s">
        <v>12</v>
      </c>
      <c r="D508" s="23" t="s">
        <v>110</v>
      </c>
      <c r="E508" s="23">
        <v>4596</v>
      </c>
      <c r="F508" s="36">
        <v>35797</v>
      </c>
      <c r="G508" s="16">
        <v>66011000</v>
      </c>
      <c r="H508" t="s">
        <v>166</v>
      </c>
      <c r="I508" t="s">
        <v>644</v>
      </c>
      <c r="J508" s="64">
        <v>576</v>
      </c>
    </row>
    <row r="509" spans="1:10" x14ac:dyDescent="0.25">
      <c r="A509" s="68">
        <v>1823</v>
      </c>
      <c r="B509" s="23" t="s">
        <v>6</v>
      </c>
      <c r="C509" s="23" t="s">
        <v>12</v>
      </c>
      <c r="D509" s="23" t="s">
        <v>76</v>
      </c>
      <c r="E509" s="23">
        <v>3843</v>
      </c>
      <c r="F509" s="36">
        <v>35797</v>
      </c>
      <c r="G509" s="16">
        <v>2499009000</v>
      </c>
      <c r="H509" t="s">
        <v>206</v>
      </c>
      <c r="I509" t="s">
        <v>644</v>
      </c>
      <c r="J509" s="64">
        <v>1243.5</v>
      </c>
    </row>
    <row r="510" spans="1:10" x14ac:dyDescent="0.25">
      <c r="A510" s="68">
        <v>1830</v>
      </c>
      <c r="B510" s="23" t="s">
        <v>6</v>
      </c>
      <c r="C510" s="23" t="s">
        <v>12</v>
      </c>
      <c r="D510" s="23" t="s">
        <v>21</v>
      </c>
      <c r="E510" s="23">
        <v>220</v>
      </c>
      <c r="F510" s="36">
        <v>35712</v>
      </c>
      <c r="G510" s="16">
        <v>2126001000</v>
      </c>
      <c r="H510" t="s">
        <v>180</v>
      </c>
      <c r="I510" t="s">
        <v>644</v>
      </c>
      <c r="J510" s="64">
        <v>992.5</v>
      </c>
    </row>
    <row r="511" spans="1:10" x14ac:dyDescent="0.25">
      <c r="A511" s="68">
        <v>1831</v>
      </c>
      <c r="B511" s="23" t="s">
        <v>6</v>
      </c>
      <c r="C511" s="23" t="s">
        <v>12</v>
      </c>
      <c r="D511" s="23" t="s">
        <v>21</v>
      </c>
      <c r="E511" s="23">
        <v>226</v>
      </c>
      <c r="F511" s="36">
        <v>35712</v>
      </c>
      <c r="G511" s="16">
        <v>2126001000</v>
      </c>
      <c r="H511" t="s">
        <v>180</v>
      </c>
      <c r="I511" t="s">
        <v>644</v>
      </c>
      <c r="J511" s="64">
        <v>992.5</v>
      </c>
    </row>
    <row r="512" spans="1:10" x14ac:dyDescent="0.25">
      <c r="A512" s="68">
        <v>1835</v>
      </c>
      <c r="B512" s="23" t="s">
        <v>6</v>
      </c>
      <c r="C512" s="23" t="s">
        <v>12</v>
      </c>
      <c r="D512" s="23" t="s">
        <v>110</v>
      </c>
      <c r="E512" s="23">
        <v>4609</v>
      </c>
      <c r="F512" s="36">
        <v>35712</v>
      </c>
      <c r="G512" s="16">
        <v>3042060001</v>
      </c>
      <c r="H512" t="s">
        <v>344</v>
      </c>
      <c r="I512" t="s">
        <v>643</v>
      </c>
      <c r="J512" s="64">
        <v>576</v>
      </c>
    </row>
    <row r="513" spans="1:10" x14ac:dyDescent="0.25">
      <c r="A513" s="68">
        <v>1842</v>
      </c>
      <c r="B513" s="23" t="s">
        <v>6</v>
      </c>
      <c r="C513" s="23" t="s">
        <v>7</v>
      </c>
      <c r="D513" s="23" t="s">
        <v>8</v>
      </c>
      <c r="E513" s="23">
        <v>17735</v>
      </c>
      <c r="F513" s="36">
        <v>36168</v>
      </c>
      <c r="G513" s="16">
        <v>3370011000</v>
      </c>
      <c r="H513" t="s">
        <v>404</v>
      </c>
      <c r="I513" t="s">
        <v>644</v>
      </c>
      <c r="J513" s="64">
        <v>1212</v>
      </c>
    </row>
    <row r="514" spans="1:10" x14ac:dyDescent="0.25">
      <c r="A514" s="68">
        <v>1843</v>
      </c>
      <c r="B514" s="23" t="s">
        <v>6</v>
      </c>
      <c r="C514" s="23" t="s">
        <v>7</v>
      </c>
      <c r="D514" s="23" t="s">
        <v>8</v>
      </c>
      <c r="E514" s="23">
        <v>17748</v>
      </c>
      <c r="F514" s="36">
        <v>36169</v>
      </c>
      <c r="G514" s="16">
        <v>2126001000</v>
      </c>
      <c r="H514" t="s">
        <v>180</v>
      </c>
      <c r="I514" t="s">
        <v>644</v>
      </c>
      <c r="J514" s="64">
        <v>1212</v>
      </c>
    </row>
    <row r="515" spans="1:10" x14ac:dyDescent="0.25">
      <c r="A515" s="68">
        <v>1844</v>
      </c>
      <c r="B515" s="23" t="s">
        <v>6</v>
      </c>
      <c r="C515" s="23" t="s">
        <v>7</v>
      </c>
      <c r="D515" s="23" t="s">
        <v>8</v>
      </c>
      <c r="E515" s="23">
        <v>17750</v>
      </c>
      <c r="F515" s="36">
        <v>36165</v>
      </c>
      <c r="G515" s="16">
        <v>1967007000</v>
      </c>
      <c r="H515" t="s">
        <v>282</v>
      </c>
      <c r="I515" t="s">
        <v>644</v>
      </c>
      <c r="J515" s="64">
        <v>1212</v>
      </c>
    </row>
    <row r="516" spans="1:10" x14ac:dyDescent="0.25">
      <c r="A516" s="68">
        <v>1845</v>
      </c>
      <c r="B516" s="23" t="s">
        <v>6</v>
      </c>
      <c r="C516" s="23" t="s">
        <v>7</v>
      </c>
      <c r="D516" s="23" t="s">
        <v>8</v>
      </c>
      <c r="E516" s="23">
        <v>17721</v>
      </c>
      <c r="F516" s="36">
        <v>36168</v>
      </c>
      <c r="G516" s="16">
        <v>2936002000</v>
      </c>
      <c r="H516" t="s">
        <v>368</v>
      </c>
      <c r="I516" t="s">
        <v>644</v>
      </c>
      <c r="J516" s="64">
        <v>1212</v>
      </c>
    </row>
    <row r="517" spans="1:10" x14ac:dyDescent="0.25">
      <c r="A517" s="68">
        <v>1848</v>
      </c>
      <c r="B517" s="23" t="s">
        <v>10</v>
      </c>
      <c r="C517" s="23" t="s">
        <v>7</v>
      </c>
      <c r="D517" s="23" t="s">
        <v>11</v>
      </c>
      <c r="E517" s="23">
        <v>20305</v>
      </c>
      <c r="F517" s="36">
        <v>36165</v>
      </c>
      <c r="G517" s="16">
        <v>2548092000</v>
      </c>
      <c r="H517" t="s">
        <v>331</v>
      </c>
      <c r="I517" t="s">
        <v>644</v>
      </c>
      <c r="J517" s="64">
        <v>309.5</v>
      </c>
    </row>
    <row r="518" spans="1:10" x14ac:dyDescent="0.25">
      <c r="A518" s="68">
        <v>1850</v>
      </c>
      <c r="B518" s="23" t="s">
        <v>10</v>
      </c>
      <c r="C518" s="23" t="s">
        <v>7</v>
      </c>
      <c r="D518" s="23" t="s">
        <v>11</v>
      </c>
      <c r="E518" s="23">
        <v>20314</v>
      </c>
      <c r="F518" s="36">
        <v>36168</v>
      </c>
      <c r="G518" s="16">
        <v>3234004000</v>
      </c>
      <c r="H518" t="s">
        <v>237</v>
      </c>
      <c r="I518" t="s">
        <v>644</v>
      </c>
      <c r="J518" s="64">
        <v>309.5</v>
      </c>
    </row>
    <row r="519" spans="1:10" x14ac:dyDescent="0.25">
      <c r="A519" s="68">
        <v>1851</v>
      </c>
      <c r="B519" s="23" t="s">
        <v>10</v>
      </c>
      <c r="C519" s="23" t="s">
        <v>7</v>
      </c>
      <c r="D519" s="23" t="s">
        <v>11</v>
      </c>
      <c r="E519" s="23">
        <v>20297</v>
      </c>
      <c r="F519" s="36">
        <v>36165</v>
      </c>
      <c r="G519" s="16">
        <v>3317001000</v>
      </c>
      <c r="H519" t="s">
        <v>262</v>
      </c>
      <c r="I519" t="s">
        <v>644</v>
      </c>
      <c r="J519" s="64">
        <v>309.5</v>
      </c>
    </row>
    <row r="520" spans="1:10" x14ac:dyDescent="0.25">
      <c r="A520" s="68">
        <v>1856</v>
      </c>
      <c r="B520" s="23" t="s">
        <v>10</v>
      </c>
      <c r="C520" s="23" t="s">
        <v>18</v>
      </c>
      <c r="D520" s="23" t="s">
        <v>26</v>
      </c>
      <c r="F520" s="36">
        <v>36165</v>
      </c>
      <c r="G520" s="16">
        <v>212007000</v>
      </c>
      <c r="H520" t="s">
        <v>175</v>
      </c>
      <c r="I520" t="s">
        <v>644</v>
      </c>
      <c r="J520" s="64">
        <v>532</v>
      </c>
    </row>
    <row r="521" spans="1:10" ht="15.75" x14ac:dyDescent="0.25">
      <c r="A521" s="68">
        <v>1857</v>
      </c>
      <c r="B521" s="23" t="s">
        <v>10</v>
      </c>
      <c r="C521" s="23" t="s">
        <v>7</v>
      </c>
      <c r="D521" s="23" t="s">
        <v>20</v>
      </c>
      <c r="E521" s="23">
        <v>8731</v>
      </c>
      <c r="F521" s="36">
        <v>25688</v>
      </c>
      <c r="G521" s="16">
        <v>953013000</v>
      </c>
      <c r="H521" t="s">
        <v>405</v>
      </c>
      <c r="I521" t="s">
        <v>644</v>
      </c>
      <c r="J521" s="65">
        <v>461</v>
      </c>
    </row>
    <row r="522" spans="1:10" x14ac:dyDescent="0.25">
      <c r="A522" s="68">
        <v>1862</v>
      </c>
      <c r="B522" s="23" t="s">
        <v>34</v>
      </c>
      <c r="C522" s="23" t="s">
        <v>7</v>
      </c>
      <c r="D522" s="23" t="s">
        <v>11</v>
      </c>
      <c r="E522" s="23">
        <v>3321</v>
      </c>
      <c r="F522" s="36">
        <v>36162</v>
      </c>
      <c r="G522" s="16">
        <v>2889001000</v>
      </c>
      <c r="H522" t="s">
        <v>406</v>
      </c>
      <c r="I522" t="s">
        <v>644</v>
      </c>
      <c r="J522" s="64">
        <v>309.5</v>
      </c>
    </row>
    <row r="523" spans="1:10" x14ac:dyDescent="0.25">
      <c r="A523" s="68">
        <v>1865</v>
      </c>
      <c r="B523" s="23" t="s">
        <v>6</v>
      </c>
      <c r="C523" s="23" t="s">
        <v>12</v>
      </c>
      <c r="D523" s="23" t="s">
        <v>76</v>
      </c>
      <c r="E523" s="23">
        <v>3842</v>
      </c>
      <c r="F523" s="36">
        <v>35712</v>
      </c>
      <c r="G523" s="16">
        <v>1014001</v>
      </c>
      <c r="H523" t="s">
        <v>163</v>
      </c>
      <c r="J523" s="64">
        <v>1243.5</v>
      </c>
    </row>
    <row r="524" spans="1:10" x14ac:dyDescent="0.25">
      <c r="A524" s="68">
        <v>1866</v>
      </c>
      <c r="B524" s="23" t="s">
        <v>10</v>
      </c>
      <c r="C524" s="23" t="s">
        <v>7</v>
      </c>
      <c r="D524" s="23" t="s">
        <v>107</v>
      </c>
      <c r="E524" s="23">
        <v>5414</v>
      </c>
      <c r="F524" s="36">
        <v>25688</v>
      </c>
      <c r="G524" s="16">
        <v>2126006000</v>
      </c>
      <c r="H524" t="s">
        <v>353</v>
      </c>
      <c r="I524" t="s">
        <v>644</v>
      </c>
      <c r="J524" s="64">
        <v>360</v>
      </c>
    </row>
    <row r="525" spans="1:10" x14ac:dyDescent="0.25">
      <c r="A525" s="68">
        <v>1873</v>
      </c>
      <c r="B525" s="23" t="s">
        <v>10</v>
      </c>
      <c r="C525" s="23" t="s">
        <v>7</v>
      </c>
      <c r="D525" s="23" t="s">
        <v>11</v>
      </c>
      <c r="E525" s="23">
        <v>21244</v>
      </c>
      <c r="F525" s="36">
        <v>36494</v>
      </c>
      <c r="G525" s="16">
        <v>66034000</v>
      </c>
      <c r="H525" t="s">
        <v>375</v>
      </c>
      <c r="I525" t="s">
        <v>644</v>
      </c>
      <c r="J525" s="64">
        <v>309.5</v>
      </c>
    </row>
    <row r="526" spans="1:10" x14ac:dyDescent="0.25">
      <c r="A526" s="68">
        <v>1874</v>
      </c>
      <c r="B526" s="23" t="s">
        <v>10</v>
      </c>
      <c r="C526" s="23" t="s">
        <v>7</v>
      </c>
      <c r="D526" s="23" t="s">
        <v>11</v>
      </c>
      <c r="E526" s="23">
        <v>21203</v>
      </c>
      <c r="F526" s="36">
        <v>36494</v>
      </c>
      <c r="G526" s="16">
        <v>3168001000</v>
      </c>
      <c r="H526" t="s">
        <v>407</v>
      </c>
      <c r="I526" t="s">
        <v>644</v>
      </c>
      <c r="J526" s="64">
        <v>309.5</v>
      </c>
    </row>
    <row r="527" spans="1:10" x14ac:dyDescent="0.25">
      <c r="A527" s="68">
        <v>1875</v>
      </c>
      <c r="B527" s="23" t="s">
        <v>10</v>
      </c>
      <c r="C527" s="23" t="s">
        <v>7</v>
      </c>
      <c r="D527" s="23" t="s">
        <v>11</v>
      </c>
      <c r="E527" s="23">
        <v>21243</v>
      </c>
      <c r="F527" s="36">
        <v>36494</v>
      </c>
      <c r="G527" s="16">
        <v>1925001000</v>
      </c>
      <c r="H527" t="s">
        <v>290</v>
      </c>
      <c r="I527" t="s">
        <v>644</v>
      </c>
      <c r="J527" s="64">
        <v>309.5</v>
      </c>
    </row>
    <row r="528" spans="1:10" x14ac:dyDescent="0.25">
      <c r="A528" s="68">
        <v>1877</v>
      </c>
      <c r="B528" s="23" t="s">
        <v>34</v>
      </c>
      <c r="C528" s="23" t="s">
        <v>7</v>
      </c>
      <c r="D528" s="23" t="s">
        <v>11</v>
      </c>
      <c r="E528" s="23">
        <v>21335</v>
      </c>
      <c r="F528" s="36">
        <v>36494</v>
      </c>
      <c r="G528" s="16">
        <v>3319002000</v>
      </c>
      <c r="H528" t="s">
        <v>224</v>
      </c>
      <c r="I528" t="s">
        <v>644</v>
      </c>
      <c r="J528" s="64">
        <v>309.5</v>
      </c>
    </row>
    <row r="529" spans="1:10" x14ac:dyDescent="0.25">
      <c r="A529" s="68">
        <v>1878</v>
      </c>
      <c r="B529" s="23" t="s">
        <v>10</v>
      </c>
      <c r="C529" s="23" t="s">
        <v>7</v>
      </c>
      <c r="D529" s="23" t="s">
        <v>11</v>
      </c>
      <c r="E529" s="23">
        <v>21248</v>
      </c>
      <c r="F529" s="36">
        <v>36494</v>
      </c>
      <c r="G529" s="16">
        <v>61007000</v>
      </c>
      <c r="H529" t="s">
        <v>291</v>
      </c>
      <c r="I529" t="s">
        <v>644</v>
      </c>
      <c r="J529" s="64">
        <v>309.5</v>
      </c>
    </row>
    <row r="530" spans="1:10" x14ac:dyDescent="0.25">
      <c r="A530" s="68">
        <v>1881</v>
      </c>
      <c r="B530" s="23" t="s">
        <v>6</v>
      </c>
      <c r="C530" s="23" t="s">
        <v>7</v>
      </c>
      <c r="D530" s="23" t="s">
        <v>8</v>
      </c>
      <c r="E530" s="23">
        <v>18429</v>
      </c>
      <c r="F530" s="36">
        <v>36494</v>
      </c>
      <c r="G530" s="16">
        <v>2126001000</v>
      </c>
      <c r="H530" t="s">
        <v>180</v>
      </c>
      <c r="I530" t="s">
        <v>644</v>
      </c>
      <c r="J530" s="64">
        <v>1212</v>
      </c>
    </row>
    <row r="531" spans="1:10" x14ac:dyDescent="0.25">
      <c r="A531" s="68">
        <v>1882</v>
      </c>
      <c r="B531" s="23" t="s">
        <v>6</v>
      </c>
      <c r="C531" s="23" t="s">
        <v>7</v>
      </c>
      <c r="D531" s="23" t="s">
        <v>8</v>
      </c>
      <c r="E531" s="23">
        <v>18388</v>
      </c>
      <c r="F531" s="36">
        <v>36493</v>
      </c>
      <c r="G531" s="16">
        <v>1068018000</v>
      </c>
      <c r="H531" t="s">
        <v>372</v>
      </c>
      <c r="I531" t="s">
        <v>644</v>
      </c>
      <c r="J531" s="64">
        <v>1212</v>
      </c>
    </row>
    <row r="532" spans="1:10" x14ac:dyDescent="0.25">
      <c r="A532" s="68">
        <v>1883</v>
      </c>
      <c r="B532" s="23" t="s">
        <v>6</v>
      </c>
      <c r="C532" s="23" t="s">
        <v>7</v>
      </c>
      <c r="D532" s="23" t="s">
        <v>8</v>
      </c>
      <c r="E532" s="23">
        <v>18499</v>
      </c>
      <c r="F532" s="36">
        <v>36494</v>
      </c>
      <c r="G532" s="16">
        <v>2126001000</v>
      </c>
      <c r="H532" t="s">
        <v>180</v>
      </c>
      <c r="I532" t="s">
        <v>644</v>
      </c>
      <c r="J532" s="64">
        <v>1212</v>
      </c>
    </row>
    <row r="533" spans="1:10" x14ac:dyDescent="0.25">
      <c r="A533" s="68">
        <v>1885</v>
      </c>
      <c r="B533" s="23" t="s">
        <v>10</v>
      </c>
      <c r="C533" s="23" t="s">
        <v>7</v>
      </c>
      <c r="D533" s="23" t="s">
        <v>11</v>
      </c>
      <c r="E533" s="23">
        <v>21303</v>
      </c>
      <c r="F533" s="36">
        <v>36494</v>
      </c>
      <c r="G533" s="16">
        <v>2126001000</v>
      </c>
      <c r="H533" t="s">
        <v>180</v>
      </c>
      <c r="I533" t="s">
        <v>644</v>
      </c>
      <c r="J533" s="64">
        <v>309.5</v>
      </c>
    </row>
    <row r="534" spans="1:10" x14ac:dyDescent="0.25">
      <c r="A534" s="68">
        <v>1886</v>
      </c>
      <c r="B534" s="23" t="s">
        <v>10</v>
      </c>
      <c r="C534" s="23" t="s">
        <v>7</v>
      </c>
      <c r="D534" s="23" t="s">
        <v>11</v>
      </c>
      <c r="E534" s="23">
        <v>21237</v>
      </c>
      <c r="F534" s="36">
        <v>36494</v>
      </c>
      <c r="G534" s="16">
        <v>1550001000</v>
      </c>
      <c r="H534" t="s">
        <v>304</v>
      </c>
      <c r="I534" t="s">
        <v>644</v>
      </c>
      <c r="J534" s="64">
        <v>309.5</v>
      </c>
    </row>
    <row r="535" spans="1:10" x14ac:dyDescent="0.25">
      <c r="A535" s="68">
        <v>1887</v>
      </c>
      <c r="B535" s="23" t="s">
        <v>10</v>
      </c>
      <c r="C535" s="23" t="s">
        <v>7</v>
      </c>
      <c r="D535" s="23" t="s">
        <v>11</v>
      </c>
      <c r="E535" s="23">
        <v>21201</v>
      </c>
      <c r="F535" s="36">
        <v>36494</v>
      </c>
      <c r="G535" s="16">
        <v>3116001000</v>
      </c>
      <c r="H535" t="s">
        <v>188</v>
      </c>
      <c r="I535" t="s">
        <v>644</v>
      </c>
      <c r="J535" s="64">
        <v>309.5</v>
      </c>
    </row>
    <row r="536" spans="1:10" x14ac:dyDescent="0.25">
      <c r="A536" s="68">
        <v>1888</v>
      </c>
      <c r="B536" s="23" t="s">
        <v>10</v>
      </c>
      <c r="C536" s="23" t="s">
        <v>7</v>
      </c>
      <c r="D536" s="23" t="s">
        <v>11</v>
      </c>
      <c r="E536" s="23">
        <v>21240</v>
      </c>
      <c r="F536" s="36">
        <v>36494</v>
      </c>
      <c r="G536" s="16">
        <v>43006000</v>
      </c>
      <c r="H536" t="s">
        <v>177</v>
      </c>
      <c r="I536" t="s">
        <v>644</v>
      </c>
      <c r="J536" s="64">
        <v>309.5</v>
      </c>
    </row>
    <row r="537" spans="1:10" x14ac:dyDescent="0.25">
      <c r="A537" s="68">
        <v>1889</v>
      </c>
      <c r="B537" s="23" t="s">
        <v>10</v>
      </c>
      <c r="C537" s="23" t="s">
        <v>7</v>
      </c>
      <c r="D537" s="23" t="s">
        <v>11</v>
      </c>
      <c r="E537" s="23">
        <v>21202</v>
      </c>
      <c r="F537" s="36">
        <v>36494</v>
      </c>
      <c r="G537" s="16">
        <v>2126001000</v>
      </c>
      <c r="H537" t="s">
        <v>180</v>
      </c>
      <c r="I537" t="s">
        <v>644</v>
      </c>
      <c r="J537" s="64">
        <v>309.5</v>
      </c>
    </row>
    <row r="538" spans="1:10" x14ac:dyDescent="0.25">
      <c r="A538" s="68">
        <v>1890</v>
      </c>
      <c r="B538" s="23" t="s">
        <v>10</v>
      </c>
      <c r="C538" s="23" t="s">
        <v>7</v>
      </c>
      <c r="D538" s="23" t="s">
        <v>11</v>
      </c>
      <c r="E538" s="23">
        <v>21255</v>
      </c>
      <c r="F538" s="36">
        <v>36494</v>
      </c>
      <c r="G538" s="16">
        <v>3119003000</v>
      </c>
      <c r="H538" t="s">
        <v>280</v>
      </c>
      <c r="I538" t="s">
        <v>644</v>
      </c>
      <c r="J538" s="64">
        <v>309.5</v>
      </c>
    </row>
    <row r="539" spans="1:10" x14ac:dyDescent="0.25">
      <c r="A539" s="68">
        <v>1891</v>
      </c>
      <c r="B539" s="23" t="s">
        <v>10</v>
      </c>
      <c r="C539" s="23" t="s">
        <v>7</v>
      </c>
      <c r="D539" s="23" t="s">
        <v>11</v>
      </c>
      <c r="E539" s="23">
        <v>21297</v>
      </c>
      <c r="F539" s="36">
        <v>36494</v>
      </c>
      <c r="G539" s="16">
        <v>1720001000</v>
      </c>
      <c r="H539" t="s">
        <v>408</v>
      </c>
      <c r="I539" t="s">
        <v>644</v>
      </c>
      <c r="J539" s="64">
        <v>309.5</v>
      </c>
    </row>
    <row r="540" spans="1:10" x14ac:dyDescent="0.25">
      <c r="A540" s="68">
        <v>1892</v>
      </c>
      <c r="B540" s="23" t="s">
        <v>10</v>
      </c>
      <c r="C540" s="23" t="s">
        <v>7</v>
      </c>
      <c r="D540" s="23" t="s">
        <v>11</v>
      </c>
      <c r="E540" s="23">
        <v>21256</v>
      </c>
      <c r="F540" s="36">
        <v>36494</v>
      </c>
      <c r="G540" s="16">
        <v>2126001000</v>
      </c>
      <c r="H540" t="s">
        <v>180</v>
      </c>
      <c r="I540" t="s">
        <v>644</v>
      </c>
      <c r="J540" s="64">
        <v>309.5</v>
      </c>
    </row>
    <row r="541" spans="1:10" x14ac:dyDescent="0.25">
      <c r="A541" s="68">
        <v>1893</v>
      </c>
      <c r="B541" s="23" t="s">
        <v>34</v>
      </c>
      <c r="C541" s="23" t="s">
        <v>7</v>
      </c>
      <c r="D541" s="23" t="s">
        <v>11</v>
      </c>
      <c r="E541" s="23">
        <v>21245</v>
      </c>
      <c r="F541" s="36">
        <v>36494</v>
      </c>
      <c r="G541" s="16">
        <v>953011000</v>
      </c>
      <c r="H541" t="s">
        <v>272</v>
      </c>
      <c r="I541" t="s">
        <v>644</v>
      </c>
      <c r="J541" s="64">
        <v>309.5</v>
      </c>
    </row>
    <row r="542" spans="1:10" x14ac:dyDescent="0.25">
      <c r="A542" s="68">
        <v>1894</v>
      </c>
      <c r="B542" s="23" t="s">
        <v>6</v>
      </c>
      <c r="C542" s="23" t="s">
        <v>7</v>
      </c>
      <c r="D542" s="23" t="s">
        <v>8</v>
      </c>
      <c r="E542" s="23">
        <v>18424</v>
      </c>
      <c r="F542" s="36">
        <v>36596</v>
      </c>
      <c r="G542" s="16">
        <v>153002000</v>
      </c>
      <c r="H542" t="s">
        <v>189</v>
      </c>
      <c r="I542" t="s">
        <v>644</v>
      </c>
      <c r="J542" s="64">
        <v>1212</v>
      </c>
    </row>
    <row r="543" spans="1:10" x14ac:dyDescent="0.25">
      <c r="A543" s="68">
        <v>1895</v>
      </c>
      <c r="B543" s="23" t="s">
        <v>6</v>
      </c>
      <c r="C543" s="23" t="s">
        <v>7</v>
      </c>
      <c r="D543" s="23" t="s">
        <v>14</v>
      </c>
      <c r="F543" s="36">
        <v>36573</v>
      </c>
      <c r="G543" s="16">
        <v>157005000</v>
      </c>
      <c r="H543" t="s">
        <v>268</v>
      </c>
      <c r="I543" t="s">
        <v>644</v>
      </c>
      <c r="J543" s="64">
        <v>1212</v>
      </c>
    </row>
    <row r="544" spans="1:10" x14ac:dyDescent="0.25">
      <c r="A544" s="68">
        <v>1896</v>
      </c>
      <c r="B544" s="23" t="s">
        <v>6</v>
      </c>
      <c r="C544" s="23" t="s">
        <v>7</v>
      </c>
      <c r="D544" s="23" t="s">
        <v>8</v>
      </c>
      <c r="E544" s="23">
        <v>18432</v>
      </c>
      <c r="F544" s="36">
        <v>36494</v>
      </c>
      <c r="G544" s="16">
        <v>1014001</v>
      </c>
      <c r="H544" t="s">
        <v>163</v>
      </c>
      <c r="J544" s="64">
        <v>1212</v>
      </c>
    </row>
    <row r="545" spans="1:10" x14ac:dyDescent="0.25">
      <c r="A545" s="68">
        <v>1897</v>
      </c>
      <c r="B545" s="23" t="s">
        <v>6</v>
      </c>
      <c r="C545" s="23" t="s">
        <v>7</v>
      </c>
      <c r="D545" s="23" t="s">
        <v>8</v>
      </c>
      <c r="E545" s="23">
        <v>18442</v>
      </c>
      <c r="F545" s="36">
        <v>36494</v>
      </c>
      <c r="G545" s="16">
        <v>3207012000</v>
      </c>
      <c r="H545" t="s">
        <v>342</v>
      </c>
      <c r="I545" t="s">
        <v>644</v>
      </c>
      <c r="J545" s="64">
        <v>1212</v>
      </c>
    </row>
    <row r="546" spans="1:10" x14ac:dyDescent="0.25">
      <c r="A546" s="68">
        <v>1900</v>
      </c>
      <c r="B546" s="23" t="s">
        <v>409</v>
      </c>
      <c r="C546" s="23" t="s">
        <v>113</v>
      </c>
      <c r="D546" s="23" t="s">
        <v>410</v>
      </c>
      <c r="F546" s="36">
        <v>35905</v>
      </c>
      <c r="G546" s="16">
        <v>2514001000</v>
      </c>
      <c r="H546" t="s">
        <v>289</v>
      </c>
      <c r="I546" t="s">
        <v>644</v>
      </c>
      <c r="J546" s="61">
        <v>3600</v>
      </c>
    </row>
    <row r="547" spans="1:10" x14ac:dyDescent="0.25">
      <c r="A547" s="68">
        <v>1902</v>
      </c>
      <c r="B547" s="23" t="s">
        <v>10</v>
      </c>
      <c r="C547" s="23" t="s">
        <v>7</v>
      </c>
      <c r="D547" s="23" t="s">
        <v>11</v>
      </c>
      <c r="E547" s="23">
        <v>21591</v>
      </c>
      <c r="F547" s="36">
        <v>36602</v>
      </c>
      <c r="G547" s="16">
        <v>1023000</v>
      </c>
      <c r="H547" t="s">
        <v>240</v>
      </c>
      <c r="J547" s="64">
        <v>309.5</v>
      </c>
    </row>
    <row r="548" spans="1:10" x14ac:dyDescent="0.25">
      <c r="A548" s="68">
        <v>1906</v>
      </c>
      <c r="B548" s="23" t="s">
        <v>10</v>
      </c>
      <c r="C548" s="23" t="s">
        <v>7</v>
      </c>
      <c r="D548" s="23" t="s">
        <v>11</v>
      </c>
      <c r="E548" s="23">
        <v>21593</v>
      </c>
      <c r="F548" s="36">
        <v>36602</v>
      </c>
      <c r="G548" s="16">
        <v>3042036001</v>
      </c>
      <c r="H548" t="s">
        <v>254</v>
      </c>
      <c r="I548" t="s">
        <v>643</v>
      </c>
      <c r="J548" s="64">
        <v>309.5</v>
      </c>
    </row>
    <row r="549" spans="1:10" x14ac:dyDescent="0.25">
      <c r="A549" s="68">
        <v>1908</v>
      </c>
      <c r="B549" s="23" t="s">
        <v>10</v>
      </c>
      <c r="C549" s="23" t="s">
        <v>7</v>
      </c>
      <c r="D549" s="23" t="s">
        <v>11</v>
      </c>
      <c r="E549" s="23">
        <v>21592</v>
      </c>
      <c r="F549" s="36">
        <v>36602</v>
      </c>
      <c r="G549" s="16">
        <v>43001000</v>
      </c>
      <c r="H549" t="s">
        <v>173</v>
      </c>
      <c r="I549" t="s">
        <v>644</v>
      </c>
      <c r="J549" s="64">
        <v>309.5</v>
      </c>
    </row>
    <row r="550" spans="1:10" x14ac:dyDescent="0.25">
      <c r="A550" s="68">
        <v>1909</v>
      </c>
      <c r="B550" s="23" t="s">
        <v>10</v>
      </c>
      <c r="C550" s="23" t="s">
        <v>7</v>
      </c>
      <c r="D550" s="23" t="s">
        <v>11</v>
      </c>
      <c r="E550" s="23">
        <v>21516</v>
      </c>
      <c r="F550" s="36">
        <v>36602</v>
      </c>
      <c r="G550" s="16">
        <v>2126001000</v>
      </c>
      <c r="H550" t="s">
        <v>180</v>
      </c>
      <c r="I550" t="s">
        <v>644</v>
      </c>
      <c r="J550" s="64">
        <v>309.5</v>
      </c>
    </row>
    <row r="551" spans="1:10" x14ac:dyDescent="0.25">
      <c r="A551" s="68">
        <v>1910</v>
      </c>
      <c r="B551" s="23" t="s">
        <v>10</v>
      </c>
      <c r="C551" s="23" t="s">
        <v>7</v>
      </c>
      <c r="D551" s="23" t="s">
        <v>11</v>
      </c>
      <c r="E551" s="23">
        <v>21589</v>
      </c>
      <c r="F551" s="36">
        <v>36602</v>
      </c>
      <c r="G551" s="16">
        <v>1014002</v>
      </c>
      <c r="H551" t="s">
        <v>191</v>
      </c>
      <c r="J551" s="64">
        <v>309.5</v>
      </c>
    </row>
    <row r="552" spans="1:10" x14ac:dyDescent="0.25">
      <c r="A552" s="68">
        <v>1911</v>
      </c>
      <c r="B552" s="23" t="s">
        <v>10</v>
      </c>
      <c r="C552" s="23" t="s">
        <v>7</v>
      </c>
      <c r="D552" s="23" t="s">
        <v>11</v>
      </c>
      <c r="E552" s="23">
        <v>21588</v>
      </c>
      <c r="F552" s="36">
        <v>36602</v>
      </c>
      <c r="G552" s="16">
        <v>61007000</v>
      </c>
      <c r="H552" t="s">
        <v>291</v>
      </c>
      <c r="I552" t="s">
        <v>644</v>
      </c>
      <c r="J552" s="64">
        <v>309.5</v>
      </c>
    </row>
    <row r="553" spans="1:10" x14ac:dyDescent="0.25">
      <c r="A553" s="68">
        <v>1912</v>
      </c>
      <c r="B553" s="23" t="s">
        <v>6</v>
      </c>
      <c r="C553" s="23" t="s">
        <v>7</v>
      </c>
      <c r="D553" s="23" t="s">
        <v>8</v>
      </c>
      <c r="E553" s="23">
        <v>1111111111111</v>
      </c>
      <c r="F553" s="36">
        <v>25570</v>
      </c>
      <c r="G553" s="16">
        <v>3116001000</v>
      </c>
      <c r="H553" t="s">
        <v>188</v>
      </c>
      <c r="I553" t="s">
        <v>644</v>
      </c>
      <c r="J553" s="64">
        <v>1212</v>
      </c>
    </row>
    <row r="554" spans="1:10" x14ac:dyDescent="0.25">
      <c r="A554" s="68">
        <v>1913</v>
      </c>
      <c r="B554" s="23" t="s">
        <v>6</v>
      </c>
      <c r="C554" s="23" t="s">
        <v>7</v>
      </c>
      <c r="D554" s="23" t="s">
        <v>8</v>
      </c>
      <c r="E554" s="23">
        <v>18662</v>
      </c>
      <c r="F554" s="36">
        <v>36602</v>
      </c>
      <c r="G554" s="16">
        <v>3042058002</v>
      </c>
      <c r="H554" t="s">
        <v>223</v>
      </c>
      <c r="I554" t="s">
        <v>643</v>
      </c>
      <c r="J554" s="64">
        <v>1212</v>
      </c>
    </row>
    <row r="555" spans="1:10" x14ac:dyDescent="0.25">
      <c r="A555" s="68">
        <v>1915</v>
      </c>
      <c r="B555" s="23" t="s">
        <v>6</v>
      </c>
      <c r="C555" s="23" t="s">
        <v>7</v>
      </c>
      <c r="D555" s="23" t="s">
        <v>8</v>
      </c>
      <c r="E555" s="23">
        <v>18666</v>
      </c>
      <c r="F555" s="36">
        <v>36602</v>
      </c>
      <c r="G555" s="16">
        <v>3042096001</v>
      </c>
      <c r="H555" t="s">
        <v>411</v>
      </c>
      <c r="I555" t="s">
        <v>643</v>
      </c>
      <c r="J555" s="64">
        <v>1212</v>
      </c>
    </row>
    <row r="556" spans="1:10" x14ac:dyDescent="0.25">
      <c r="A556" s="68">
        <v>1916</v>
      </c>
      <c r="B556" s="23" t="s">
        <v>6</v>
      </c>
      <c r="C556" s="23" t="s">
        <v>7</v>
      </c>
      <c r="D556" s="23" t="s">
        <v>8</v>
      </c>
      <c r="E556" s="23">
        <v>18687</v>
      </c>
      <c r="F556" s="36">
        <v>36602</v>
      </c>
      <c r="G556" s="16">
        <v>2867001000</v>
      </c>
      <c r="H556" t="s">
        <v>412</v>
      </c>
      <c r="I556" t="s">
        <v>644</v>
      </c>
      <c r="J556" s="64">
        <v>1212</v>
      </c>
    </row>
    <row r="557" spans="1:10" x14ac:dyDescent="0.25">
      <c r="A557" s="68">
        <v>1917</v>
      </c>
      <c r="B557" s="23" t="s">
        <v>6</v>
      </c>
      <c r="C557" s="23" t="s">
        <v>7</v>
      </c>
      <c r="D557" s="23" t="s">
        <v>8</v>
      </c>
      <c r="E557" s="23">
        <v>18652</v>
      </c>
      <c r="F557" s="36">
        <v>36602</v>
      </c>
      <c r="G557" s="16">
        <v>2814003000</v>
      </c>
      <c r="H557" t="s">
        <v>279</v>
      </c>
      <c r="I557" t="s">
        <v>644</v>
      </c>
      <c r="J557" s="64">
        <v>1212</v>
      </c>
    </row>
    <row r="558" spans="1:10" x14ac:dyDescent="0.25">
      <c r="A558" s="68">
        <v>1918</v>
      </c>
      <c r="B558" s="23" t="s">
        <v>6</v>
      </c>
      <c r="C558" s="23" t="s">
        <v>7</v>
      </c>
      <c r="D558" s="23" t="s">
        <v>8</v>
      </c>
      <c r="E558" s="23">
        <v>18686</v>
      </c>
      <c r="F558" s="36">
        <v>36602</v>
      </c>
      <c r="G558" s="16">
        <v>2675001000</v>
      </c>
      <c r="H558" t="s">
        <v>340</v>
      </c>
      <c r="I558" t="s">
        <v>644</v>
      </c>
      <c r="J558" s="64">
        <v>1212</v>
      </c>
    </row>
    <row r="559" spans="1:10" x14ac:dyDescent="0.25">
      <c r="A559" s="68">
        <v>1919</v>
      </c>
      <c r="B559" s="23" t="s">
        <v>6</v>
      </c>
      <c r="C559" s="23" t="s">
        <v>7</v>
      </c>
      <c r="D559" s="23" t="s">
        <v>8</v>
      </c>
      <c r="E559" s="23">
        <v>18664</v>
      </c>
      <c r="F559" s="36">
        <v>36602</v>
      </c>
      <c r="G559" s="16">
        <v>2552001000</v>
      </c>
      <c r="H559" t="s">
        <v>413</v>
      </c>
      <c r="I559" t="s">
        <v>644</v>
      </c>
      <c r="J559" s="64">
        <v>1212</v>
      </c>
    </row>
    <row r="560" spans="1:10" x14ac:dyDescent="0.25">
      <c r="A560" s="68">
        <v>1920</v>
      </c>
      <c r="B560" s="23" t="s">
        <v>6</v>
      </c>
      <c r="C560" s="23" t="s">
        <v>7</v>
      </c>
      <c r="D560" s="23" t="s">
        <v>8</v>
      </c>
      <c r="E560" s="23">
        <v>18681</v>
      </c>
      <c r="F560" s="36">
        <v>36602</v>
      </c>
      <c r="G560" s="16">
        <v>1068010000</v>
      </c>
      <c r="H560" t="s">
        <v>274</v>
      </c>
      <c r="I560" t="s">
        <v>644</v>
      </c>
      <c r="J560" s="64">
        <v>1212</v>
      </c>
    </row>
    <row r="561" spans="1:10" x14ac:dyDescent="0.25">
      <c r="A561" s="68">
        <v>1921</v>
      </c>
      <c r="B561" s="23" t="s">
        <v>6</v>
      </c>
      <c r="C561" s="23" t="s">
        <v>7</v>
      </c>
      <c r="D561" s="23" t="s">
        <v>8</v>
      </c>
      <c r="E561" s="23">
        <v>18654</v>
      </c>
      <c r="F561" s="36">
        <v>36602</v>
      </c>
      <c r="G561" s="16">
        <v>66031000</v>
      </c>
      <c r="H561" t="s">
        <v>185</v>
      </c>
      <c r="I561" t="s">
        <v>644</v>
      </c>
      <c r="J561" s="64">
        <v>1212</v>
      </c>
    </row>
    <row r="562" spans="1:10" x14ac:dyDescent="0.25">
      <c r="A562" s="68">
        <v>1924</v>
      </c>
      <c r="B562" s="23" t="s">
        <v>6</v>
      </c>
      <c r="C562" s="23" t="s">
        <v>7</v>
      </c>
      <c r="D562" s="23" t="s">
        <v>8</v>
      </c>
      <c r="E562" s="23">
        <v>18651</v>
      </c>
      <c r="F562" s="36">
        <v>36602</v>
      </c>
      <c r="G562" s="16">
        <v>3219001000</v>
      </c>
      <c r="H562" t="s">
        <v>395</v>
      </c>
      <c r="I562" t="s">
        <v>644</v>
      </c>
      <c r="J562" s="64">
        <v>1212</v>
      </c>
    </row>
    <row r="563" spans="1:10" x14ac:dyDescent="0.25">
      <c r="A563" s="68">
        <v>1925</v>
      </c>
      <c r="B563" s="23" t="s">
        <v>6</v>
      </c>
      <c r="C563" s="23" t="s">
        <v>7</v>
      </c>
      <c r="D563" s="23" t="s">
        <v>8</v>
      </c>
      <c r="E563" s="23">
        <v>18661</v>
      </c>
      <c r="F563" s="36">
        <v>36602</v>
      </c>
      <c r="G563" s="16">
        <v>2641003000</v>
      </c>
      <c r="H563" t="s">
        <v>238</v>
      </c>
      <c r="I563" t="s">
        <v>644</v>
      </c>
      <c r="J563" s="64">
        <v>1212</v>
      </c>
    </row>
    <row r="564" spans="1:10" x14ac:dyDescent="0.25">
      <c r="A564" s="68">
        <v>1926</v>
      </c>
      <c r="B564" s="23" t="s">
        <v>6</v>
      </c>
      <c r="C564" s="23" t="s">
        <v>7</v>
      </c>
      <c r="D564" s="23" t="s">
        <v>8</v>
      </c>
      <c r="E564" s="23">
        <v>18677</v>
      </c>
      <c r="F564" s="36">
        <v>36602</v>
      </c>
      <c r="G564" s="16">
        <v>2936002000</v>
      </c>
      <c r="H564" t="s">
        <v>368</v>
      </c>
      <c r="I564" t="s">
        <v>644</v>
      </c>
      <c r="J564" s="64">
        <v>1212</v>
      </c>
    </row>
    <row r="565" spans="1:10" x14ac:dyDescent="0.25">
      <c r="A565" s="68">
        <v>1935</v>
      </c>
      <c r="B565" s="23" t="s">
        <v>10</v>
      </c>
      <c r="C565" s="23" t="s">
        <v>7</v>
      </c>
      <c r="D565" s="23" t="s">
        <v>11</v>
      </c>
      <c r="E565" s="23">
        <v>21690</v>
      </c>
      <c r="F565" s="36">
        <v>36646</v>
      </c>
      <c r="G565" s="16">
        <v>193012000</v>
      </c>
      <c r="H565" t="s">
        <v>200</v>
      </c>
      <c r="I565" t="s">
        <v>644</v>
      </c>
      <c r="J565" s="64">
        <v>309.5</v>
      </c>
    </row>
    <row r="566" spans="1:10" x14ac:dyDescent="0.25">
      <c r="A566" s="68">
        <v>1936</v>
      </c>
      <c r="B566" s="23" t="s">
        <v>10</v>
      </c>
      <c r="C566" s="23" t="s">
        <v>7</v>
      </c>
      <c r="D566" s="23" t="s">
        <v>11</v>
      </c>
      <c r="E566" s="23">
        <v>21717</v>
      </c>
      <c r="F566" s="36">
        <v>36728</v>
      </c>
      <c r="G566" s="16">
        <v>212003000</v>
      </c>
      <c r="H566" t="s">
        <v>414</v>
      </c>
      <c r="I566" t="s">
        <v>644</v>
      </c>
      <c r="J566" s="64">
        <v>309.5</v>
      </c>
    </row>
    <row r="567" spans="1:10" x14ac:dyDescent="0.25">
      <c r="A567" s="68">
        <v>1937</v>
      </c>
      <c r="B567" s="23" t="s">
        <v>34</v>
      </c>
      <c r="C567" s="23" t="s">
        <v>7</v>
      </c>
      <c r="D567" s="23" t="s">
        <v>11</v>
      </c>
      <c r="E567" s="23">
        <v>21755</v>
      </c>
      <c r="F567" s="36">
        <v>36646</v>
      </c>
      <c r="G567" s="16">
        <v>1967012000</v>
      </c>
      <c r="H567" t="s">
        <v>273</v>
      </c>
      <c r="I567" t="s">
        <v>644</v>
      </c>
      <c r="J567" s="64">
        <v>309.5</v>
      </c>
    </row>
    <row r="568" spans="1:10" x14ac:dyDescent="0.25">
      <c r="A568" s="68">
        <v>1938</v>
      </c>
      <c r="B568" s="23" t="s">
        <v>34</v>
      </c>
      <c r="C568" s="23" t="s">
        <v>7</v>
      </c>
      <c r="D568" s="23" t="s">
        <v>11</v>
      </c>
      <c r="E568" s="23">
        <v>21767</v>
      </c>
      <c r="F568" s="36">
        <v>36648</v>
      </c>
      <c r="G568" s="16">
        <v>2147001000</v>
      </c>
      <c r="H568" t="s">
        <v>415</v>
      </c>
      <c r="I568" t="s">
        <v>644</v>
      </c>
      <c r="J568" s="64">
        <v>309.5</v>
      </c>
    </row>
    <row r="569" spans="1:10" x14ac:dyDescent="0.25">
      <c r="A569" s="68">
        <v>1939</v>
      </c>
      <c r="B569" s="23" t="s">
        <v>10</v>
      </c>
      <c r="C569" s="23" t="s">
        <v>7</v>
      </c>
      <c r="D569" s="23" t="s">
        <v>11</v>
      </c>
      <c r="E569" s="23">
        <v>21760</v>
      </c>
      <c r="F569" s="36">
        <v>36648</v>
      </c>
      <c r="G569" s="16">
        <v>153002000</v>
      </c>
      <c r="H569" t="s">
        <v>189</v>
      </c>
      <c r="I569" t="s">
        <v>644</v>
      </c>
      <c r="J569" s="64">
        <v>309.5</v>
      </c>
    </row>
    <row r="570" spans="1:10" x14ac:dyDescent="0.25">
      <c r="A570" s="68">
        <v>1940</v>
      </c>
      <c r="B570" s="23" t="s">
        <v>10</v>
      </c>
      <c r="C570" s="23" t="s">
        <v>7</v>
      </c>
      <c r="D570" s="23" t="s">
        <v>11</v>
      </c>
      <c r="E570" s="23">
        <v>21752</v>
      </c>
      <c r="F570" s="36">
        <v>36648</v>
      </c>
      <c r="G570" s="16">
        <v>2126001000</v>
      </c>
      <c r="H570" t="s">
        <v>180</v>
      </c>
      <c r="I570" t="s">
        <v>644</v>
      </c>
      <c r="J570" s="64">
        <v>309.5</v>
      </c>
    </row>
    <row r="571" spans="1:10" x14ac:dyDescent="0.25">
      <c r="A571" s="68">
        <v>1941</v>
      </c>
      <c r="B571" s="23" t="s">
        <v>10</v>
      </c>
      <c r="C571" s="23" t="s">
        <v>7</v>
      </c>
      <c r="D571" s="23" t="s">
        <v>11</v>
      </c>
      <c r="E571" s="23">
        <v>21770</v>
      </c>
      <c r="F571" s="36">
        <v>36648</v>
      </c>
      <c r="G571" s="16">
        <v>3319001000</v>
      </c>
      <c r="H571" t="s">
        <v>394</v>
      </c>
      <c r="I571" t="s">
        <v>644</v>
      </c>
      <c r="J571" s="64">
        <v>309.5</v>
      </c>
    </row>
    <row r="572" spans="1:10" x14ac:dyDescent="0.25">
      <c r="A572" s="68">
        <v>1942</v>
      </c>
      <c r="B572" s="23" t="s">
        <v>10</v>
      </c>
      <c r="C572" s="23" t="s">
        <v>7</v>
      </c>
      <c r="D572" s="23" t="s">
        <v>11</v>
      </c>
      <c r="E572" s="23">
        <v>21691</v>
      </c>
      <c r="F572" s="36">
        <v>36648</v>
      </c>
      <c r="G572" s="16">
        <v>1406001000</v>
      </c>
      <c r="H572" t="s">
        <v>215</v>
      </c>
      <c r="I572" t="s">
        <v>644</v>
      </c>
      <c r="J572" s="64">
        <v>309.5</v>
      </c>
    </row>
    <row r="573" spans="1:10" x14ac:dyDescent="0.25">
      <c r="A573" s="68">
        <v>1943</v>
      </c>
      <c r="B573" s="23" t="s">
        <v>34</v>
      </c>
      <c r="C573" s="23" t="s">
        <v>7</v>
      </c>
      <c r="D573" s="23" t="s">
        <v>11</v>
      </c>
      <c r="E573" s="23">
        <v>21761</v>
      </c>
      <c r="F573" s="36">
        <v>36648</v>
      </c>
      <c r="G573" s="16">
        <v>2994001000</v>
      </c>
      <c r="H573" t="s">
        <v>284</v>
      </c>
      <c r="I573" t="s">
        <v>644</v>
      </c>
      <c r="J573" s="64">
        <v>309.5</v>
      </c>
    </row>
    <row r="574" spans="1:10" x14ac:dyDescent="0.25">
      <c r="A574" s="68">
        <v>1945</v>
      </c>
      <c r="B574" s="23" t="s">
        <v>34</v>
      </c>
      <c r="C574" s="23" t="s">
        <v>7</v>
      </c>
      <c r="D574" s="23" t="s">
        <v>11</v>
      </c>
      <c r="E574" s="23">
        <v>21756</v>
      </c>
      <c r="F574" s="36">
        <v>36648</v>
      </c>
      <c r="G574" s="16">
        <v>3134001000</v>
      </c>
      <c r="H574" t="s">
        <v>312</v>
      </c>
      <c r="I574" t="s">
        <v>644</v>
      </c>
      <c r="J574" s="64">
        <v>309.5</v>
      </c>
    </row>
    <row r="575" spans="1:10" x14ac:dyDescent="0.25">
      <c r="A575" s="68">
        <v>1946</v>
      </c>
      <c r="B575" s="23" t="s">
        <v>10</v>
      </c>
      <c r="C575" s="23" t="s">
        <v>7</v>
      </c>
      <c r="D575" s="23" t="s">
        <v>19</v>
      </c>
      <c r="E575" s="23">
        <v>111111111</v>
      </c>
      <c r="F575" s="36">
        <v>36658</v>
      </c>
      <c r="G575" s="16">
        <v>3152001000</v>
      </c>
      <c r="H575" t="s">
        <v>416</v>
      </c>
      <c r="I575" t="s">
        <v>644</v>
      </c>
      <c r="J575" s="64">
        <v>1212</v>
      </c>
    </row>
    <row r="576" spans="1:10" x14ac:dyDescent="0.25">
      <c r="A576" s="68">
        <v>1949</v>
      </c>
      <c r="B576" s="23" t="s">
        <v>10</v>
      </c>
      <c r="C576" s="23" t="s">
        <v>7</v>
      </c>
      <c r="D576" s="23" t="s">
        <v>11</v>
      </c>
      <c r="E576" s="23">
        <v>21754</v>
      </c>
      <c r="F576" s="36">
        <v>36648</v>
      </c>
      <c r="G576" s="16">
        <v>3279001000</v>
      </c>
      <c r="H576" t="s">
        <v>417</v>
      </c>
      <c r="I576" t="s">
        <v>644</v>
      </c>
      <c r="J576" s="64">
        <v>309.5</v>
      </c>
    </row>
    <row r="577" spans="1:10" x14ac:dyDescent="0.25">
      <c r="A577" s="68">
        <v>1950</v>
      </c>
      <c r="B577" s="23" t="s">
        <v>10</v>
      </c>
      <c r="C577" s="23" t="s">
        <v>7</v>
      </c>
      <c r="D577" s="23" t="s">
        <v>11</v>
      </c>
      <c r="E577" s="23">
        <v>21710</v>
      </c>
      <c r="F577" s="36">
        <v>36648</v>
      </c>
      <c r="G577" s="16">
        <v>2126001000</v>
      </c>
      <c r="H577" t="s">
        <v>180</v>
      </c>
      <c r="I577" t="s">
        <v>644</v>
      </c>
      <c r="J577" s="64">
        <v>309.5</v>
      </c>
    </row>
    <row r="578" spans="1:10" ht="15.75" x14ac:dyDescent="0.25">
      <c r="A578" s="68">
        <v>1951</v>
      </c>
      <c r="B578" s="23" t="s">
        <v>10</v>
      </c>
      <c r="C578" s="23" t="s">
        <v>7</v>
      </c>
      <c r="D578" s="23" t="s">
        <v>20</v>
      </c>
      <c r="E578" s="23">
        <v>21671</v>
      </c>
      <c r="F578" s="36">
        <v>36648</v>
      </c>
      <c r="G578" s="16">
        <v>529001000</v>
      </c>
      <c r="H578" t="s">
        <v>232</v>
      </c>
      <c r="I578" t="s">
        <v>644</v>
      </c>
      <c r="J578" s="65">
        <v>461</v>
      </c>
    </row>
    <row r="579" spans="1:10" ht="15.75" x14ac:dyDescent="0.25">
      <c r="A579" s="68">
        <v>1953</v>
      </c>
      <c r="B579" s="23" t="s">
        <v>10</v>
      </c>
      <c r="C579" s="23" t="s">
        <v>7</v>
      </c>
      <c r="D579" s="23" t="s">
        <v>20</v>
      </c>
      <c r="E579" s="23">
        <v>21730</v>
      </c>
      <c r="F579" s="36">
        <v>36648</v>
      </c>
      <c r="G579" s="16">
        <v>1848001000</v>
      </c>
      <c r="H579" t="s">
        <v>211</v>
      </c>
      <c r="I579" t="s">
        <v>644</v>
      </c>
      <c r="J579" s="65">
        <v>461</v>
      </c>
    </row>
    <row r="580" spans="1:10" ht="15.75" x14ac:dyDescent="0.25">
      <c r="A580" s="68">
        <v>1954</v>
      </c>
      <c r="B580" s="23" t="s">
        <v>10</v>
      </c>
      <c r="C580" s="23" t="s">
        <v>7</v>
      </c>
      <c r="D580" s="23" t="s">
        <v>20</v>
      </c>
      <c r="E580" s="23">
        <v>21787</v>
      </c>
      <c r="F580" s="36">
        <v>36648</v>
      </c>
      <c r="G580" s="16">
        <v>66031000</v>
      </c>
      <c r="H580" t="s">
        <v>185</v>
      </c>
      <c r="I580" t="s">
        <v>644</v>
      </c>
      <c r="J580" s="65">
        <v>461</v>
      </c>
    </row>
    <row r="581" spans="1:10" x14ac:dyDescent="0.25">
      <c r="A581" s="68">
        <v>1955</v>
      </c>
      <c r="B581" s="23" t="s">
        <v>6</v>
      </c>
      <c r="C581" s="23" t="s">
        <v>7</v>
      </c>
      <c r="D581" s="23" t="s">
        <v>8</v>
      </c>
      <c r="E581" s="23">
        <v>18900</v>
      </c>
      <c r="F581" s="36">
        <v>36648</v>
      </c>
      <c r="G581" s="16">
        <v>1967007000</v>
      </c>
      <c r="H581" t="s">
        <v>282</v>
      </c>
      <c r="I581" t="s">
        <v>644</v>
      </c>
      <c r="J581" s="64">
        <v>1212</v>
      </c>
    </row>
    <row r="582" spans="1:10" x14ac:dyDescent="0.25">
      <c r="A582" s="68">
        <v>1956</v>
      </c>
      <c r="B582" s="23" t="s">
        <v>6</v>
      </c>
      <c r="C582" s="23" t="s">
        <v>7</v>
      </c>
      <c r="D582" s="23" t="s">
        <v>8</v>
      </c>
      <c r="E582" s="23">
        <v>18891</v>
      </c>
      <c r="F582" s="36">
        <v>36648</v>
      </c>
      <c r="G582" s="16">
        <v>3134001000</v>
      </c>
      <c r="H582" t="s">
        <v>312</v>
      </c>
      <c r="I582" t="s">
        <v>644</v>
      </c>
      <c r="J582" s="64">
        <v>1212</v>
      </c>
    </row>
    <row r="583" spans="1:10" x14ac:dyDescent="0.25">
      <c r="A583" s="68">
        <v>1957</v>
      </c>
      <c r="B583" s="23" t="s">
        <v>6</v>
      </c>
      <c r="C583" s="23" t="s">
        <v>7</v>
      </c>
      <c r="D583" s="23" t="s">
        <v>8</v>
      </c>
      <c r="E583" s="23">
        <v>18904</v>
      </c>
      <c r="F583" s="36">
        <v>36648</v>
      </c>
      <c r="G583" s="16">
        <v>3178002000</v>
      </c>
      <c r="H583" t="s">
        <v>321</v>
      </c>
      <c r="I583" t="s">
        <v>644</v>
      </c>
      <c r="J583" s="64">
        <v>1212</v>
      </c>
    </row>
    <row r="584" spans="1:10" x14ac:dyDescent="0.25">
      <c r="A584" s="68">
        <v>1958</v>
      </c>
      <c r="B584" s="23" t="s">
        <v>6</v>
      </c>
      <c r="C584" s="23" t="s">
        <v>7</v>
      </c>
      <c r="D584" s="23" t="s">
        <v>8</v>
      </c>
      <c r="E584" s="23">
        <v>18896</v>
      </c>
      <c r="F584" s="36">
        <v>36648</v>
      </c>
      <c r="G584" s="16">
        <v>3370002000</v>
      </c>
      <c r="H584" t="s">
        <v>338</v>
      </c>
      <c r="I584" t="s">
        <v>644</v>
      </c>
      <c r="J584" s="64">
        <v>1212</v>
      </c>
    </row>
    <row r="585" spans="1:10" ht="15.75" x14ac:dyDescent="0.25">
      <c r="A585" s="68">
        <v>1965</v>
      </c>
      <c r="B585" s="23" t="s">
        <v>10</v>
      </c>
      <c r="C585" s="23" t="s">
        <v>7</v>
      </c>
      <c r="D585" s="23" t="s">
        <v>20</v>
      </c>
      <c r="E585" s="23">
        <v>21776</v>
      </c>
      <c r="F585" s="36">
        <v>36665</v>
      </c>
      <c r="G585" s="16">
        <v>2867001000</v>
      </c>
      <c r="H585" t="s">
        <v>412</v>
      </c>
      <c r="I585" t="s">
        <v>644</v>
      </c>
      <c r="J585" s="65">
        <v>461</v>
      </c>
    </row>
    <row r="586" spans="1:10" x14ac:dyDescent="0.25">
      <c r="A586" s="68">
        <v>1968</v>
      </c>
      <c r="B586" s="23" t="s">
        <v>6</v>
      </c>
      <c r="C586" s="23" t="s">
        <v>7</v>
      </c>
      <c r="D586" s="23" t="s">
        <v>8</v>
      </c>
      <c r="E586" s="23">
        <v>18942</v>
      </c>
      <c r="F586" s="36">
        <v>36665</v>
      </c>
      <c r="G586" s="16">
        <v>2924001000</v>
      </c>
      <c r="H586" t="s">
        <v>324</v>
      </c>
      <c r="I586" t="s">
        <v>644</v>
      </c>
      <c r="J586" s="64">
        <v>1212</v>
      </c>
    </row>
    <row r="587" spans="1:10" x14ac:dyDescent="0.25">
      <c r="A587" s="68">
        <v>1969</v>
      </c>
      <c r="B587" s="23" t="s">
        <v>6</v>
      </c>
      <c r="C587" s="23" t="s">
        <v>7</v>
      </c>
      <c r="D587" s="23" t="s">
        <v>8</v>
      </c>
      <c r="E587" s="23">
        <v>18971</v>
      </c>
      <c r="F587" s="36">
        <v>36665</v>
      </c>
      <c r="G587" s="16">
        <v>66011000</v>
      </c>
      <c r="H587" t="s">
        <v>166</v>
      </c>
      <c r="I587" t="s">
        <v>644</v>
      </c>
      <c r="J587" s="64">
        <v>1212</v>
      </c>
    </row>
    <row r="588" spans="1:10" ht="15.75" x14ac:dyDescent="0.25">
      <c r="A588" s="68">
        <v>1971</v>
      </c>
      <c r="B588" s="23" t="s">
        <v>10</v>
      </c>
      <c r="C588" s="23" t="s">
        <v>7</v>
      </c>
      <c r="D588" s="23" t="s">
        <v>20</v>
      </c>
      <c r="E588" s="23">
        <v>21799</v>
      </c>
      <c r="F588" s="36">
        <v>36648</v>
      </c>
      <c r="G588" s="16">
        <v>43003000</v>
      </c>
      <c r="H588" t="s">
        <v>381</v>
      </c>
      <c r="I588" t="s">
        <v>644</v>
      </c>
      <c r="J588" s="65">
        <v>461</v>
      </c>
    </row>
    <row r="589" spans="1:10" x14ac:dyDescent="0.25">
      <c r="A589" s="68">
        <v>1972</v>
      </c>
      <c r="B589" s="23" t="s">
        <v>6</v>
      </c>
      <c r="C589" s="23" t="s">
        <v>7</v>
      </c>
      <c r="D589" s="23" t="s">
        <v>8</v>
      </c>
      <c r="E589" s="23">
        <v>18961</v>
      </c>
      <c r="F589" s="36">
        <v>36648</v>
      </c>
      <c r="G589" s="16">
        <v>2341001000</v>
      </c>
      <c r="H589" t="s">
        <v>418</v>
      </c>
      <c r="I589" t="s">
        <v>644</v>
      </c>
      <c r="J589" s="64">
        <v>1212</v>
      </c>
    </row>
    <row r="590" spans="1:10" ht="15.75" x14ac:dyDescent="0.25">
      <c r="A590" s="68">
        <v>1977</v>
      </c>
      <c r="B590" s="23" t="s">
        <v>10</v>
      </c>
      <c r="C590" s="23" t="s">
        <v>7</v>
      </c>
      <c r="D590" s="23" t="s">
        <v>20</v>
      </c>
      <c r="E590" s="23">
        <v>21938</v>
      </c>
      <c r="F590" s="36">
        <v>36684</v>
      </c>
      <c r="G590" s="16">
        <v>1014001</v>
      </c>
      <c r="H590" t="s">
        <v>163</v>
      </c>
      <c r="J590" s="65">
        <v>461</v>
      </c>
    </row>
    <row r="591" spans="1:10" ht="15.75" x14ac:dyDescent="0.25">
      <c r="A591" s="68">
        <v>1978</v>
      </c>
      <c r="B591" s="23" t="s">
        <v>10</v>
      </c>
      <c r="C591" s="23" t="s">
        <v>7</v>
      </c>
      <c r="D591" s="23" t="s">
        <v>20</v>
      </c>
      <c r="E591" s="23">
        <v>21945</v>
      </c>
      <c r="F591" s="36">
        <v>36684</v>
      </c>
      <c r="G591" s="16">
        <v>1967007000</v>
      </c>
      <c r="H591" t="s">
        <v>282</v>
      </c>
      <c r="I591" t="s">
        <v>644</v>
      </c>
      <c r="J591" s="65">
        <v>461</v>
      </c>
    </row>
    <row r="592" spans="1:10" ht="15.75" x14ac:dyDescent="0.25">
      <c r="A592" s="68">
        <v>1979</v>
      </c>
      <c r="B592" s="23" t="s">
        <v>10</v>
      </c>
      <c r="C592" s="23" t="s">
        <v>7</v>
      </c>
      <c r="D592" s="23" t="s">
        <v>20</v>
      </c>
      <c r="E592" s="23">
        <v>21937</v>
      </c>
      <c r="F592" s="36">
        <v>36684</v>
      </c>
      <c r="G592" s="16">
        <v>3219001000</v>
      </c>
      <c r="H592" t="s">
        <v>395</v>
      </c>
      <c r="I592" t="s">
        <v>644</v>
      </c>
      <c r="J592" s="65">
        <v>461</v>
      </c>
    </row>
    <row r="593" spans="1:10" ht="15.75" x14ac:dyDescent="0.25">
      <c r="A593" s="68">
        <v>1980</v>
      </c>
      <c r="B593" s="23" t="s">
        <v>10</v>
      </c>
      <c r="C593" s="23" t="s">
        <v>7</v>
      </c>
      <c r="D593" s="23" t="s">
        <v>20</v>
      </c>
      <c r="E593" s="23">
        <v>21940</v>
      </c>
      <c r="F593" s="36">
        <v>36684</v>
      </c>
      <c r="G593" s="16">
        <v>43001000</v>
      </c>
      <c r="H593" t="s">
        <v>173</v>
      </c>
      <c r="I593" t="s">
        <v>644</v>
      </c>
      <c r="J593" s="65">
        <v>461</v>
      </c>
    </row>
    <row r="594" spans="1:10" x14ac:dyDescent="0.25">
      <c r="A594" s="68">
        <v>1982</v>
      </c>
      <c r="B594" s="23" t="s">
        <v>6</v>
      </c>
      <c r="C594" s="23" t="s">
        <v>7</v>
      </c>
      <c r="D594" s="23" t="s">
        <v>8</v>
      </c>
      <c r="E594" s="23">
        <v>18928</v>
      </c>
      <c r="F594" s="36">
        <v>36665</v>
      </c>
      <c r="G594" s="16">
        <v>1406010000</v>
      </c>
      <c r="H594" t="s">
        <v>391</v>
      </c>
      <c r="I594" t="s">
        <v>644</v>
      </c>
      <c r="J594" s="64">
        <v>1212</v>
      </c>
    </row>
    <row r="595" spans="1:10" x14ac:dyDescent="0.25">
      <c r="A595" s="68">
        <v>1984</v>
      </c>
      <c r="B595" s="23" t="s">
        <v>6</v>
      </c>
      <c r="C595" s="23" t="s">
        <v>7</v>
      </c>
      <c r="D595" s="23" t="s">
        <v>14</v>
      </c>
      <c r="E595" s="23">
        <v>12345</v>
      </c>
      <c r="F595" s="36">
        <v>36665</v>
      </c>
      <c r="G595" s="16">
        <v>3116001000</v>
      </c>
      <c r="H595" t="s">
        <v>188</v>
      </c>
      <c r="I595" t="s">
        <v>644</v>
      </c>
      <c r="J595" s="64">
        <v>1212</v>
      </c>
    </row>
    <row r="596" spans="1:10" x14ac:dyDescent="0.25">
      <c r="A596" s="68">
        <v>1985</v>
      </c>
      <c r="B596" s="23" t="s">
        <v>6</v>
      </c>
      <c r="C596" s="23" t="s">
        <v>7</v>
      </c>
      <c r="D596" s="23" t="s">
        <v>8</v>
      </c>
      <c r="E596" s="23">
        <v>18940</v>
      </c>
      <c r="F596" s="36">
        <v>36665</v>
      </c>
      <c r="G596" s="16">
        <v>66011000</v>
      </c>
      <c r="H596" t="s">
        <v>166</v>
      </c>
      <c r="I596" t="s">
        <v>644</v>
      </c>
      <c r="J596" s="64">
        <v>1212</v>
      </c>
    </row>
    <row r="597" spans="1:10" x14ac:dyDescent="0.25">
      <c r="A597" s="68">
        <v>2003</v>
      </c>
      <c r="B597" s="23" t="s">
        <v>10</v>
      </c>
      <c r="C597" s="23" t="s">
        <v>18</v>
      </c>
      <c r="D597" s="23" t="s">
        <v>19</v>
      </c>
      <c r="F597" s="36">
        <v>36728</v>
      </c>
      <c r="G597" s="16">
        <v>66011000</v>
      </c>
      <c r="H597" t="s">
        <v>166</v>
      </c>
      <c r="I597" t="s">
        <v>644</v>
      </c>
      <c r="J597" s="64">
        <v>1154</v>
      </c>
    </row>
    <row r="598" spans="1:10" x14ac:dyDescent="0.25">
      <c r="A598" s="68">
        <v>2004</v>
      </c>
      <c r="B598" s="23" t="s">
        <v>10</v>
      </c>
      <c r="C598" s="23" t="s">
        <v>18</v>
      </c>
      <c r="D598" s="23" t="s">
        <v>39</v>
      </c>
      <c r="E598" s="23">
        <v>20286</v>
      </c>
      <c r="F598" s="36">
        <v>36728</v>
      </c>
      <c r="G598" s="16">
        <v>2735001000</v>
      </c>
      <c r="H598" t="s">
        <v>355</v>
      </c>
      <c r="I598" t="s">
        <v>644</v>
      </c>
      <c r="J598" s="64">
        <v>318.5</v>
      </c>
    </row>
    <row r="599" spans="1:10" x14ac:dyDescent="0.25">
      <c r="A599" s="68">
        <v>2005</v>
      </c>
      <c r="B599" s="23" t="s">
        <v>10</v>
      </c>
      <c r="C599" s="23" t="s">
        <v>18</v>
      </c>
      <c r="D599" s="23" t="s">
        <v>19</v>
      </c>
      <c r="F599" s="36">
        <v>36728</v>
      </c>
      <c r="G599" s="16">
        <v>2548013000</v>
      </c>
      <c r="H599" t="s">
        <v>319</v>
      </c>
      <c r="I599" t="s">
        <v>644</v>
      </c>
      <c r="J599" s="64">
        <v>1154</v>
      </c>
    </row>
    <row r="600" spans="1:10" x14ac:dyDescent="0.25">
      <c r="A600" s="68">
        <v>2009</v>
      </c>
      <c r="B600" s="23" t="s">
        <v>6</v>
      </c>
      <c r="C600" s="23" t="s">
        <v>32</v>
      </c>
      <c r="D600" s="23" t="s">
        <v>33</v>
      </c>
      <c r="F600" s="36">
        <v>36858</v>
      </c>
      <c r="G600" s="16">
        <v>1014007</v>
      </c>
      <c r="H600" t="s">
        <v>419</v>
      </c>
      <c r="J600" s="64">
        <v>765</v>
      </c>
    </row>
    <row r="601" spans="1:10" x14ac:dyDescent="0.25">
      <c r="A601" s="68">
        <v>2012</v>
      </c>
      <c r="B601" s="23" t="s">
        <v>6</v>
      </c>
      <c r="C601" s="23" t="s">
        <v>32</v>
      </c>
      <c r="D601" s="23" t="s">
        <v>33</v>
      </c>
      <c r="F601" s="36">
        <v>36858</v>
      </c>
      <c r="G601" s="16">
        <v>3073001000</v>
      </c>
      <c r="H601" t="s">
        <v>420</v>
      </c>
      <c r="I601" t="s">
        <v>644</v>
      </c>
      <c r="J601" s="64">
        <v>765</v>
      </c>
    </row>
    <row r="602" spans="1:10" x14ac:dyDescent="0.25">
      <c r="A602" s="68">
        <v>2013</v>
      </c>
      <c r="B602" s="23" t="s">
        <v>6</v>
      </c>
      <c r="C602" s="23" t="s">
        <v>32</v>
      </c>
      <c r="D602" s="23" t="s">
        <v>33</v>
      </c>
      <c r="F602" s="36">
        <v>36858</v>
      </c>
      <c r="G602" s="16">
        <v>165001000</v>
      </c>
      <c r="H602" t="s">
        <v>198</v>
      </c>
      <c r="I602" t="s">
        <v>644</v>
      </c>
      <c r="J602" s="64">
        <v>765</v>
      </c>
    </row>
    <row r="603" spans="1:10" x14ac:dyDescent="0.25">
      <c r="A603" s="68">
        <v>2017</v>
      </c>
      <c r="B603" s="23" t="s">
        <v>6</v>
      </c>
      <c r="C603" s="23" t="s">
        <v>32</v>
      </c>
      <c r="D603" s="23" t="s">
        <v>33</v>
      </c>
      <c r="F603" s="36">
        <v>36858</v>
      </c>
      <c r="G603" s="16">
        <v>3043001000</v>
      </c>
      <c r="H603" t="s">
        <v>339</v>
      </c>
      <c r="I603" t="s">
        <v>644</v>
      </c>
      <c r="J603" s="64">
        <v>765</v>
      </c>
    </row>
    <row r="604" spans="1:10" x14ac:dyDescent="0.25">
      <c r="A604" s="68">
        <v>2018</v>
      </c>
      <c r="B604" s="23" t="s">
        <v>6</v>
      </c>
      <c r="C604" s="23" t="s">
        <v>32</v>
      </c>
      <c r="D604" s="23" t="s">
        <v>33</v>
      </c>
      <c r="F604" s="36">
        <v>36858</v>
      </c>
      <c r="G604" s="16">
        <v>3370004000</v>
      </c>
      <c r="H604" t="s">
        <v>421</v>
      </c>
      <c r="I604" t="s">
        <v>644</v>
      </c>
      <c r="J604" s="64">
        <v>765</v>
      </c>
    </row>
    <row r="605" spans="1:10" x14ac:dyDescent="0.25">
      <c r="A605" s="68">
        <v>2020</v>
      </c>
      <c r="B605" s="23" t="s">
        <v>6</v>
      </c>
      <c r="C605" s="23" t="s">
        <v>69</v>
      </c>
      <c r="D605" s="23" t="s">
        <v>70</v>
      </c>
      <c r="F605" s="36">
        <v>36858</v>
      </c>
      <c r="G605" s="16">
        <v>2548092000</v>
      </c>
      <c r="H605" t="s">
        <v>331</v>
      </c>
      <c r="I605" t="s">
        <v>644</v>
      </c>
      <c r="J605" s="64">
        <v>851</v>
      </c>
    </row>
    <row r="606" spans="1:10" x14ac:dyDescent="0.25">
      <c r="A606" s="68">
        <v>2021</v>
      </c>
      <c r="B606" s="23" t="s">
        <v>6</v>
      </c>
      <c r="C606" s="23" t="s">
        <v>32</v>
      </c>
      <c r="D606" s="23" t="s">
        <v>33</v>
      </c>
      <c r="F606" s="36">
        <v>36858</v>
      </c>
      <c r="G606" s="16">
        <v>3317001000</v>
      </c>
      <c r="H606" t="s">
        <v>262</v>
      </c>
      <c r="I606" t="s">
        <v>644</v>
      </c>
      <c r="J606" s="64">
        <v>765</v>
      </c>
    </row>
    <row r="607" spans="1:10" x14ac:dyDescent="0.25">
      <c r="A607" s="68">
        <v>2026</v>
      </c>
      <c r="B607" s="23" t="s">
        <v>6</v>
      </c>
      <c r="C607" s="23" t="s">
        <v>32</v>
      </c>
      <c r="D607" s="23" t="s">
        <v>33</v>
      </c>
      <c r="F607" s="36">
        <v>36858</v>
      </c>
      <c r="G607" s="16">
        <v>529002000</v>
      </c>
      <c r="H607" t="s">
        <v>373</v>
      </c>
      <c r="I607" t="s">
        <v>644</v>
      </c>
      <c r="J607" s="64">
        <v>765</v>
      </c>
    </row>
    <row r="608" spans="1:10" x14ac:dyDescent="0.25">
      <c r="A608" s="68">
        <v>2027</v>
      </c>
      <c r="B608" s="23" t="s">
        <v>6</v>
      </c>
      <c r="C608" s="23" t="s">
        <v>32</v>
      </c>
      <c r="D608" s="23" t="s">
        <v>33</v>
      </c>
      <c r="F608" s="36">
        <v>36858</v>
      </c>
      <c r="G608" s="16">
        <v>529002000</v>
      </c>
      <c r="H608" t="s">
        <v>373</v>
      </c>
      <c r="I608" t="s">
        <v>644</v>
      </c>
      <c r="J608" s="64">
        <v>765</v>
      </c>
    </row>
    <row r="609" spans="1:10" x14ac:dyDescent="0.25">
      <c r="A609" s="68">
        <v>2028</v>
      </c>
      <c r="B609" s="23" t="s">
        <v>6</v>
      </c>
      <c r="C609" s="23" t="s">
        <v>32</v>
      </c>
      <c r="D609" s="23" t="s">
        <v>33</v>
      </c>
      <c r="F609" s="36">
        <v>36858</v>
      </c>
      <c r="G609" s="16">
        <v>1165000000</v>
      </c>
      <c r="H609" t="s">
        <v>184</v>
      </c>
      <c r="I609" t="s">
        <v>644</v>
      </c>
      <c r="J609" s="64">
        <v>765</v>
      </c>
    </row>
    <row r="610" spans="1:10" x14ac:dyDescent="0.25">
      <c r="A610" s="68">
        <v>2030</v>
      </c>
      <c r="B610" s="23" t="s">
        <v>6</v>
      </c>
      <c r="C610" s="23" t="s">
        <v>32</v>
      </c>
      <c r="D610" s="23" t="s">
        <v>33</v>
      </c>
      <c r="F610" s="36">
        <v>36858</v>
      </c>
      <c r="G610" s="16">
        <v>2885001000</v>
      </c>
      <c r="H610" t="s">
        <v>422</v>
      </c>
      <c r="I610" t="s">
        <v>644</v>
      </c>
      <c r="J610" s="64">
        <v>765</v>
      </c>
    </row>
    <row r="611" spans="1:10" x14ac:dyDescent="0.25">
      <c r="A611" s="68">
        <v>2036</v>
      </c>
      <c r="B611" s="23" t="s">
        <v>6</v>
      </c>
      <c r="C611" s="23" t="s">
        <v>32</v>
      </c>
      <c r="D611" s="23" t="s">
        <v>33</v>
      </c>
      <c r="F611" s="36">
        <v>36858</v>
      </c>
      <c r="G611" s="16">
        <v>153001000</v>
      </c>
      <c r="H611" t="s">
        <v>219</v>
      </c>
      <c r="I611" t="s">
        <v>644</v>
      </c>
      <c r="J611" s="64">
        <v>765</v>
      </c>
    </row>
    <row r="612" spans="1:10" x14ac:dyDescent="0.25">
      <c r="A612" s="68">
        <v>2037</v>
      </c>
      <c r="B612" s="23" t="s">
        <v>6</v>
      </c>
      <c r="C612" s="23" t="s">
        <v>32</v>
      </c>
      <c r="D612" s="23" t="s">
        <v>33</v>
      </c>
      <c r="F612" s="36">
        <v>36858</v>
      </c>
      <c r="G612" s="16">
        <v>1068021000</v>
      </c>
      <c r="H612" t="s">
        <v>383</v>
      </c>
      <c r="I612" t="s">
        <v>644</v>
      </c>
      <c r="J612" s="64">
        <v>765</v>
      </c>
    </row>
    <row r="613" spans="1:10" x14ac:dyDescent="0.25">
      <c r="A613" s="68">
        <v>2040</v>
      </c>
      <c r="B613" s="23" t="s">
        <v>6</v>
      </c>
      <c r="C613" s="23" t="s">
        <v>32</v>
      </c>
      <c r="D613" s="23" t="s">
        <v>33</v>
      </c>
      <c r="F613" s="36">
        <v>36858</v>
      </c>
      <c r="G613" s="16">
        <v>2548053000</v>
      </c>
      <c r="H613" t="s">
        <v>351</v>
      </c>
      <c r="I613" t="s">
        <v>644</v>
      </c>
      <c r="J613" s="64">
        <v>765</v>
      </c>
    </row>
    <row r="614" spans="1:10" x14ac:dyDescent="0.25">
      <c r="A614" s="68">
        <v>2041</v>
      </c>
      <c r="B614" s="23" t="s">
        <v>6</v>
      </c>
      <c r="C614" s="23" t="s">
        <v>32</v>
      </c>
      <c r="D614" s="23" t="s">
        <v>33</v>
      </c>
      <c r="E614" s="23">
        <v>1111</v>
      </c>
      <c r="F614" s="36">
        <v>36858</v>
      </c>
      <c r="G614" s="16">
        <v>2548013000</v>
      </c>
      <c r="H614" t="s">
        <v>319</v>
      </c>
      <c r="I614" t="s">
        <v>644</v>
      </c>
      <c r="J614" s="64">
        <v>765</v>
      </c>
    </row>
    <row r="615" spans="1:10" x14ac:dyDescent="0.25">
      <c r="A615" s="68">
        <v>2042</v>
      </c>
      <c r="B615" s="23" t="s">
        <v>6</v>
      </c>
      <c r="C615" s="23" t="s">
        <v>32</v>
      </c>
      <c r="D615" s="23" t="s">
        <v>33</v>
      </c>
      <c r="F615" s="36">
        <v>36914</v>
      </c>
      <c r="G615" s="16">
        <v>66011000</v>
      </c>
      <c r="H615" t="s">
        <v>166</v>
      </c>
      <c r="I615" t="s">
        <v>644</v>
      </c>
      <c r="J615" s="64">
        <v>765</v>
      </c>
    </row>
    <row r="616" spans="1:10" x14ac:dyDescent="0.25">
      <c r="A616" s="68">
        <v>2046</v>
      </c>
      <c r="B616" s="23" t="s">
        <v>6</v>
      </c>
      <c r="C616" s="23" t="s">
        <v>32</v>
      </c>
      <c r="D616" s="23" t="s">
        <v>33</v>
      </c>
      <c r="F616" s="36">
        <v>36914</v>
      </c>
      <c r="G616" s="16">
        <v>3284001000</v>
      </c>
      <c r="H616" t="s">
        <v>354</v>
      </c>
      <c r="I616" t="s">
        <v>644</v>
      </c>
      <c r="J616" s="64">
        <v>765</v>
      </c>
    </row>
    <row r="617" spans="1:10" x14ac:dyDescent="0.25">
      <c r="A617" s="68">
        <v>2047</v>
      </c>
      <c r="B617" s="23" t="s">
        <v>10</v>
      </c>
      <c r="C617" s="23" t="s">
        <v>18</v>
      </c>
      <c r="D617" s="23" t="s">
        <v>39</v>
      </c>
      <c r="E617" s="23">
        <v>19991</v>
      </c>
      <c r="F617" s="36">
        <v>36728</v>
      </c>
      <c r="G617" s="16">
        <v>2341001000</v>
      </c>
      <c r="H617" t="s">
        <v>418</v>
      </c>
      <c r="I617" t="s">
        <v>644</v>
      </c>
      <c r="J617" s="64">
        <v>318.5</v>
      </c>
    </row>
    <row r="618" spans="1:10" x14ac:dyDescent="0.25">
      <c r="A618" s="68">
        <v>2049</v>
      </c>
      <c r="B618" s="23" t="s">
        <v>6</v>
      </c>
      <c r="C618" s="23" t="s">
        <v>122</v>
      </c>
      <c r="D618" s="23" t="s">
        <v>123</v>
      </c>
      <c r="F618" s="36">
        <v>36826</v>
      </c>
      <c r="G618" s="16">
        <v>2499001000</v>
      </c>
      <c r="H618" t="s">
        <v>363</v>
      </c>
      <c r="I618" t="s">
        <v>644</v>
      </c>
      <c r="J618" s="64">
        <v>1632</v>
      </c>
    </row>
    <row r="619" spans="1:10" x14ac:dyDescent="0.25">
      <c r="A619" s="68">
        <v>2050</v>
      </c>
      <c r="B619" s="23" t="s">
        <v>10</v>
      </c>
      <c r="C619" s="23" t="s">
        <v>7</v>
      </c>
      <c r="D619" s="23" t="s">
        <v>11</v>
      </c>
      <c r="E619" s="23">
        <v>22502</v>
      </c>
      <c r="F619" s="36">
        <v>36915</v>
      </c>
      <c r="G619" s="16">
        <v>1165000000</v>
      </c>
      <c r="H619" t="s">
        <v>184</v>
      </c>
      <c r="I619" t="s">
        <v>644</v>
      </c>
      <c r="J619" s="64">
        <v>309.5</v>
      </c>
    </row>
    <row r="620" spans="1:10" x14ac:dyDescent="0.25">
      <c r="A620" s="68">
        <v>2051</v>
      </c>
      <c r="B620" s="23" t="s">
        <v>10</v>
      </c>
      <c r="C620" s="23" t="s">
        <v>7</v>
      </c>
      <c r="D620" s="23" t="s">
        <v>11</v>
      </c>
      <c r="E620" s="23">
        <v>22554</v>
      </c>
      <c r="F620" s="36">
        <v>36915</v>
      </c>
      <c r="G620" s="16">
        <v>2548051000</v>
      </c>
      <c r="H620" t="s">
        <v>335</v>
      </c>
      <c r="I620" t="s">
        <v>644</v>
      </c>
      <c r="J620" s="64">
        <v>309.5</v>
      </c>
    </row>
    <row r="621" spans="1:10" x14ac:dyDescent="0.25">
      <c r="A621" s="68">
        <v>2053</v>
      </c>
      <c r="B621" s="23" t="s">
        <v>10</v>
      </c>
      <c r="C621" s="23" t="s">
        <v>7</v>
      </c>
      <c r="D621" s="23" t="s">
        <v>11</v>
      </c>
      <c r="E621" s="23">
        <v>22332</v>
      </c>
      <c r="F621" s="36">
        <v>36915</v>
      </c>
      <c r="G621" s="16">
        <v>1165000000</v>
      </c>
      <c r="H621" t="s">
        <v>184</v>
      </c>
      <c r="I621" t="s">
        <v>644</v>
      </c>
      <c r="J621" s="64">
        <v>309.5</v>
      </c>
    </row>
    <row r="622" spans="1:10" x14ac:dyDescent="0.25">
      <c r="A622" s="68">
        <v>2054</v>
      </c>
      <c r="B622" s="23" t="s">
        <v>10</v>
      </c>
      <c r="C622" s="23" t="s">
        <v>7</v>
      </c>
      <c r="D622" s="23" t="s">
        <v>11</v>
      </c>
      <c r="E622" s="23">
        <v>22497</v>
      </c>
      <c r="F622" s="36">
        <v>36915</v>
      </c>
      <c r="G622" s="16">
        <v>193012000</v>
      </c>
      <c r="H622" t="s">
        <v>200</v>
      </c>
      <c r="I622" t="s">
        <v>644</v>
      </c>
      <c r="J622" s="64">
        <v>309.5</v>
      </c>
    </row>
    <row r="623" spans="1:10" x14ac:dyDescent="0.25">
      <c r="A623" s="68">
        <v>2056</v>
      </c>
      <c r="B623" s="23" t="s">
        <v>10</v>
      </c>
      <c r="C623" s="23" t="s">
        <v>7</v>
      </c>
      <c r="D623" s="23" t="s">
        <v>11</v>
      </c>
      <c r="E623" s="23">
        <v>22507</v>
      </c>
      <c r="F623" s="36">
        <v>36915</v>
      </c>
      <c r="G623" s="16">
        <v>3000001000</v>
      </c>
      <c r="H623" t="s">
        <v>423</v>
      </c>
      <c r="I623" t="s">
        <v>644</v>
      </c>
      <c r="J623" s="64">
        <v>309.5</v>
      </c>
    </row>
    <row r="624" spans="1:10" x14ac:dyDescent="0.25">
      <c r="A624" s="68">
        <v>2057</v>
      </c>
      <c r="B624" s="23" t="s">
        <v>10</v>
      </c>
      <c r="C624" s="23" t="s">
        <v>7</v>
      </c>
      <c r="D624" s="23" t="s">
        <v>11</v>
      </c>
      <c r="E624" s="23">
        <v>22474</v>
      </c>
      <c r="F624" s="36">
        <v>36915</v>
      </c>
      <c r="G624" s="16">
        <v>1165000000</v>
      </c>
      <c r="H624" t="s">
        <v>184</v>
      </c>
      <c r="I624" t="s">
        <v>644</v>
      </c>
      <c r="J624" s="64">
        <v>309.5</v>
      </c>
    </row>
    <row r="625" spans="1:10" x14ac:dyDescent="0.25">
      <c r="A625" s="68">
        <v>2058</v>
      </c>
      <c r="B625" s="23" t="s">
        <v>10</v>
      </c>
      <c r="C625" s="23" t="s">
        <v>7</v>
      </c>
      <c r="D625" s="23" t="s">
        <v>11</v>
      </c>
      <c r="E625" s="23">
        <v>22496</v>
      </c>
      <c r="F625" s="36">
        <v>36915</v>
      </c>
      <c r="G625" s="16">
        <v>2814003000</v>
      </c>
      <c r="H625" t="s">
        <v>279</v>
      </c>
      <c r="I625" t="s">
        <v>644</v>
      </c>
      <c r="J625" s="64">
        <v>309.5</v>
      </c>
    </row>
    <row r="626" spans="1:10" x14ac:dyDescent="0.25">
      <c r="A626" s="68">
        <v>2059</v>
      </c>
      <c r="B626" s="23" t="s">
        <v>10</v>
      </c>
      <c r="C626" s="23" t="s">
        <v>7</v>
      </c>
      <c r="D626" s="23" t="s">
        <v>11</v>
      </c>
      <c r="E626" s="23">
        <v>22512</v>
      </c>
      <c r="F626" s="36">
        <v>36915</v>
      </c>
      <c r="G626" s="16">
        <v>3207012000</v>
      </c>
      <c r="H626" t="s">
        <v>342</v>
      </c>
      <c r="I626" t="s">
        <v>644</v>
      </c>
      <c r="J626" s="64">
        <v>309.5</v>
      </c>
    </row>
    <row r="627" spans="1:10" x14ac:dyDescent="0.25">
      <c r="A627" s="68">
        <v>2062</v>
      </c>
      <c r="B627" s="23" t="s">
        <v>10</v>
      </c>
      <c r="C627" s="23" t="s">
        <v>7</v>
      </c>
      <c r="D627" s="23" t="s">
        <v>11</v>
      </c>
      <c r="E627" s="23">
        <v>22555</v>
      </c>
      <c r="F627" s="36">
        <v>36915</v>
      </c>
      <c r="G627" s="16">
        <v>3042104001</v>
      </c>
      <c r="H627" t="s">
        <v>186</v>
      </c>
      <c r="I627" t="s">
        <v>643</v>
      </c>
      <c r="J627" s="64">
        <v>309.5</v>
      </c>
    </row>
    <row r="628" spans="1:10" x14ac:dyDescent="0.25">
      <c r="A628" s="68">
        <v>2063</v>
      </c>
      <c r="B628" s="23" t="s">
        <v>10</v>
      </c>
      <c r="C628" s="23" t="s">
        <v>7</v>
      </c>
      <c r="D628" s="23" t="s">
        <v>11</v>
      </c>
      <c r="E628" s="23">
        <v>22493</v>
      </c>
      <c r="F628" s="36">
        <v>36915</v>
      </c>
      <c r="G628" s="16">
        <v>165001000</v>
      </c>
      <c r="H628" t="s">
        <v>198</v>
      </c>
      <c r="I628" t="s">
        <v>644</v>
      </c>
      <c r="J628" s="64">
        <v>309.5</v>
      </c>
    </row>
    <row r="629" spans="1:10" ht="15.75" x14ac:dyDescent="0.25">
      <c r="A629" s="68">
        <v>2065</v>
      </c>
      <c r="B629" s="23" t="s">
        <v>10</v>
      </c>
      <c r="C629" s="23" t="s">
        <v>7</v>
      </c>
      <c r="D629" s="23" t="s">
        <v>20</v>
      </c>
      <c r="E629" s="23" t="s">
        <v>424</v>
      </c>
      <c r="F629" s="36">
        <v>36915</v>
      </c>
      <c r="G629" s="16">
        <v>1493003000</v>
      </c>
      <c r="H629" t="s">
        <v>425</v>
      </c>
      <c r="I629" t="s">
        <v>644</v>
      </c>
      <c r="J629" s="65">
        <v>461</v>
      </c>
    </row>
    <row r="630" spans="1:10" ht="15.75" x14ac:dyDescent="0.25">
      <c r="A630" s="68">
        <v>2071</v>
      </c>
      <c r="B630" s="23" t="s">
        <v>10</v>
      </c>
      <c r="C630" s="23" t="s">
        <v>7</v>
      </c>
      <c r="D630" s="23" t="s">
        <v>20</v>
      </c>
      <c r="E630" s="23">
        <v>22588</v>
      </c>
      <c r="F630" s="36">
        <v>36915</v>
      </c>
      <c r="G630" s="16">
        <v>1165000000</v>
      </c>
      <c r="H630" t="s">
        <v>184</v>
      </c>
      <c r="I630" t="s">
        <v>644</v>
      </c>
      <c r="J630" s="65">
        <v>461</v>
      </c>
    </row>
    <row r="631" spans="1:10" ht="15.75" x14ac:dyDescent="0.25">
      <c r="A631" s="68">
        <v>2072</v>
      </c>
      <c r="B631" s="23" t="s">
        <v>10</v>
      </c>
      <c r="C631" s="23" t="s">
        <v>7</v>
      </c>
      <c r="D631" s="23" t="s">
        <v>20</v>
      </c>
      <c r="E631" s="23">
        <v>22586</v>
      </c>
      <c r="F631" s="36">
        <v>36915</v>
      </c>
      <c r="G631" s="16">
        <v>165001000</v>
      </c>
      <c r="H631" t="s">
        <v>198</v>
      </c>
      <c r="I631" t="s">
        <v>644</v>
      </c>
      <c r="J631" s="65">
        <v>461</v>
      </c>
    </row>
    <row r="632" spans="1:10" ht="15.75" x14ac:dyDescent="0.25">
      <c r="A632" s="68">
        <v>2073</v>
      </c>
      <c r="B632" s="23" t="s">
        <v>10</v>
      </c>
      <c r="C632" s="23" t="s">
        <v>7</v>
      </c>
      <c r="D632" s="23" t="s">
        <v>20</v>
      </c>
      <c r="E632" s="23">
        <v>22582</v>
      </c>
      <c r="F632" s="36">
        <v>36915</v>
      </c>
      <c r="G632" s="16">
        <v>2126001000</v>
      </c>
      <c r="H632" t="s">
        <v>180</v>
      </c>
      <c r="I632" t="s">
        <v>644</v>
      </c>
      <c r="J632" s="65">
        <v>461</v>
      </c>
    </row>
    <row r="633" spans="1:10" x14ac:dyDescent="0.25">
      <c r="A633" s="68">
        <v>2074</v>
      </c>
      <c r="B633" s="23" t="s">
        <v>10</v>
      </c>
      <c r="C633" s="23" t="s">
        <v>7</v>
      </c>
      <c r="D633" s="23" t="s">
        <v>11</v>
      </c>
      <c r="E633" s="23">
        <v>22639</v>
      </c>
      <c r="F633" s="36">
        <v>36915</v>
      </c>
      <c r="G633" s="16">
        <v>1014002</v>
      </c>
      <c r="H633" t="s">
        <v>191</v>
      </c>
      <c r="J633" s="64">
        <v>309.5</v>
      </c>
    </row>
    <row r="634" spans="1:10" ht="15.75" x14ac:dyDescent="0.25">
      <c r="A634" s="68">
        <v>2075</v>
      </c>
      <c r="B634" s="23" t="s">
        <v>10</v>
      </c>
      <c r="C634" s="23" t="s">
        <v>7</v>
      </c>
      <c r="D634" s="23" t="s">
        <v>20</v>
      </c>
      <c r="E634" s="23">
        <v>22640</v>
      </c>
      <c r="F634" s="36">
        <v>36915</v>
      </c>
      <c r="G634" s="16">
        <v>1023000</v>
      </c>
      <c r="H634" t="s">
        <v>240</v>
      </c>
      <c r="J634" s="65">
        <v>461</v>
      </c>
    </row>
    <row r="635" spans="1:10" ht="15.75" x14ac:dyDescent="0.25">
      <c r="A635" s="68">
        <v>2076</v>
      </c>
      <c r="B635" s="23" t="s">
        <v>10</v>
      </c>
      <c r="C635" s="23" t="s">
        <v>7</v>
      </c>
      <c r="D635" s="23" t="s">
        <v>20</v>
      </c>
      <c r="E635" s="23">
        <v>22641</v>
      </c>
      <c r="F635" s="36">
        <v>36915</v>
      </c>
      <c r="G635" s="16">
        <v>2958001000</v>
      </c>
      <c r="H635" t="s">
        <v>194</v>
      </c>
      <c r="I635" t="s">
        <v>644</v>
      </c>
      <c r="J635" s="65">
        <v>461</v>
      </c>
    </row>
    <row r="636" spans="1:10" ht="15.75" x14ac:dyDescent="0.25">
      <c r="A636" s="68">
        <v>2077</v>
      </c>
      <c r="B636" s="23" t="s">
        <v>10</v>
      </c>
      <c r="C636" s="23" t="s">
        <v>7</v>
      </c>
      <c r="D636" s="23" t="s">
        <v>20</v>
      </c>
      <c r="E636" s="23">
        <v>22642</v>
      </c>
      <c r="F636" s="36">
        <v>36915</v>
      </c>
      <c r="G636" s="16">
        <v>3116001000</v>
      </c>
      <c r="H636" t="s">
        <v>188</v>
      </c>
      <c r="I636" t="s">
        <v>644</v>
      </c>
      <c r="J636" s="65">
        <v>461</v>
      </c>
    </row>
    <row r="637" spans="1:10" ht="15.75" x14ac:dyDescent="0.25">
      <c r="A637" s="68">
        <v>2078</v>
      </c>
      <c r="B637" s="23" t="s">
        <v>10</v>
      </c>
      <c r="C637" s="23" t="s">
        <v>7</v>
      </c>
      <c r="D637" s="23" t="s">
        <v>20</v>
      </c>
      <c r="E637" s="23">
        <v>22585</v>
      </c>
      <c r="F637" s="36">
        <v>36915</v>
      </c>
      <c r="G637" s="16">
        <v>153001000</v>
      </c>
      <c r="H637" t="s">
        <v>219</v>
      </c>
      <c r="I637" t="s">
        <v>644</v>
      </c>
      <c r="J637" s="65">
        <v>461</v>
      </c>
    </row>
    <row r="638" spans="1:10" ht="15.75" x14ac:dyDescent="0.25">
      <c r="A638" s="68">
        <v>2079</v>
      </c>
      <c r="B638" s="23" t="s">
        <v>10</v>
      </c>
      <c r="C638" s="23" t="s">
        <v>7</v>
      </c>
      <c r="D638" s="23" t="s">
        <v>20</v>
      </c>
      <c r="E638" s="23">
        <v>22584</v>
      </c>
      <c r="F638" s="36">
        <v>36915</v>
      </c>
      <c r="G638" s="16">
        <v>2548050000</v>
      </c>
      <c r="H638" t="s">
        <v>426</v>
      </c>
      <c r="I638" t="s">
        <v>644</v>
      </c>
      <c r="J638" s="65">
        <v>461</v>
      </c>
    </row>
    <row r="639" spans="1:10" x14ac:dyDescent="0.25">
      <c r="A639" s="68">
        <v>2081</v>
      </c>
      <c r="B639" s="23" t="s">
        <v>6</v>
      </c>
      <c r="C639" s="23" t="s">
        <v>122</v>
      </c>
      <c r="D639" s="23" t="s">
        <v>123</v>
      </c>
      <c r="F639" s="36">
        <v>42790</v>
      </c>
      <c r="G639" s="16">
        <v>3319002000</v>
      </c>
      <c r="H639" t="s">
        <v>224</v>
      </c>
      <c r="I639" t="s">
        <v>644</v>
      </c>
      <c r="J639" s="64">
        <v>1632</v>
      </c>
    </row>
    <row r="640" spans="1:10" x14ac:dyDescent="0.25">
      <c r="A640" s="68">
        <v>2082</v>
      </c>
      <c r="B640" s="23" t="s">
        <v>6</v>
      </c>
      <c r="C640" s="23" t="s">
        <v>122</v>
      </c>
      <c r="D640" s="23" t="s">
        <v>123</v>
      </c>
      <c r="F640" s="36">
        <v>36826</v>
      </c>
      <c r="G640" s="16">
        <v>3042082002</v>
      </c>
      <c r="H640" t="s">
        <v>427</v>
      </c>
      <c r="I640" t="s">
        <v>643</v>
      </c>
      <c r="J640" s="64">
        <v>1632</v>
      </c>
    </row>
    <row r="641" spans="1:10" x14ac:dyDescent="0.25">
      <c r="A641" s="68">
        <v>2083</v>
      </c>
      <c r="B641" s="23" t="s">
        <v>6</v>
      </c>
      <c r="C641" s="23" t="s">
        <v>32</v>
      </c>
      <c r="D641" s="23" t="s">
        <v>33</v>
      </c>
      <c r="F641" s="36">
        <v>36915</v>
      </c>
      <c r="G641" s="16">
        <v>2341002000</v>
      </c>
      <c r="H641" t="s">
        <v>358</v>
      </c>
      <c r="I641" t="s">
        <v>644</v>
      </c>
      <c r="J641" s="64">
        <v>765</v>
      </c>
    </row>
    <row r="642" spans="1:10" x14ac:dyDescent="0.25">
      <c r="A642" s="68">
        <v>2084</v>
      </c>
      <c r="B642" s="23" t="s">
        <v>6</v>
      </c>
      <c r="C642" s="23" t="s">
        <v>32</v>
      </c>
      <c r="D642" s="23" t="s">
        <v>33</v>
      </c>
      <c r="F642" s="36">
        <v>36915</v>
      </c>
      <c r="G642" s="16">
        <v>66011000</v>
      </c>
      <c r="H642" t="s">
        <v>166</v>
      </c>
      <c r="I642" t="s">
        <v>644</v>
      </c>
      <c r="J642" s="64">
        <v>765</v>
      </c>
    </row>
    <row r="643" spans="1:10" x14ac:dyDescent="0.25">
      <c r="A643" s="68">
        <v>2090</v>
      </c>
      <c r="B643" s="23" t="s">
        <v>6</v>
      </c>
      <c r="C643" s="23" t="s">
        <v>32</v>
      </c>
      <c r="D643" s="23" t="s">
        <v>33</v>
      </c>
      <c r="F643" s="36">
        <v>36915</v>
      </c>
      <c r="G643" s="16">
        <v>2126001000</v>
      </c>
      <c r="H643" t="s">
        <v>180</v>
      </c>
      <c r="I643" t="s">
        <v>644</v>
      </c>
      <c r="J643" s="64">
        <v>765</v>
      </c>
    </row>
    <row r="644" spans="1:10" x14ac:dyDescent="0.25">
      <c r="A644" s="68">
        <v>2092</v>
      </c>
      <c r="B644" s="23" t="s">
        <v>6</v>
      </c>
      <c r="C644" s="23" t="s">
        <v>32</v>
      </c>
      <c r="D644" s="23" t="s">
        <v>33</v>
      </c>
      <c r="F644" s="36">
        <v>36915</v>
      </c>
      <c r="G644" s="16">
        <v>3082001000</v>
      </c>
      <c r="H644" t="s">
        <v>428</v>
      </c>
      <c r="I644" t="s">
        <v>644</v>
      </c>
      <c r="J644" s="64">
        <v>765</v>
      </c>
    </row>
    <row r="645" spans="1:10" x14ac:dyDescent="0.25">
      <c r="A645" s="68">
        <v>2101</v>
      </c>
      <c r="B645" s="23" t="s">
        <v>6</v>
      </c>
      <c r="C645" s="23" t="s">
        <v>69</v>
      </c>
      <c r="D645" s="23" t="s">
        <v>429</v>
      </c>
      <c r="E645" s="23" t="s">
        <v>430</v>
      </c>
      <c r="F645" s="36">
        <v>36952</v>
      </c>
      <c r="G645" s="16">
        <v>1000002</v>
      </c>
      <c r="H645" t="s">
        <v>205</v>
      </c>
      <c r="J645" s="64">
        <v>851</v>
      </c>
    </row>
    <row r="646" spans="1:10" x14ac:dyDescent="0.25">
      <c r="A646" s="68">
        <v>2110</v>
      </c>
      <c r="B646" s="23" t="s">
        <v>6</v>
      </c>
      <c r="C646" s="23" t="s">
        <v>32</v>
      </c>
      <c r="D646" s="23" t="s">
        <v>33</v>
      </c>
      <c r="F646" s="36">
        <v>36959</v>
      </c>
      <c r="G646" s="16">
        <v>1165000000</v>
      </c>
      <c r="H646" t="s">
        <v>184</v>
      </c>
      <c r="I646" t="s">
        <v>644</v>
      </c>
      <c r="J646" s="64">
        <v>765</v>
      </c>
    </row>
    <row r="647" spans="1:10" x14ac:dyDescent="0.25">
      <c r="A647" s="68">
        <v>2111</v>
      </c>
      <c r="B647" s="23" t="s">
        <v>6</v>
      </c>
      <c r="C647" s="23" t="s">
        <v>32</v>
      </c>
      <c r="D647" s="23" t="s">
        <v>33</v>
      </c>
      <c r="F647" s="36">
        <v>36959</v>
      </c>
      <c r="G647" s="16">
        <v>1652002001</v>
      </c>
      <c r="H647" t="s">
        <v>294</v>
      </c>
      <c r="I647" t="s">
        <v>644</v>
      </c>
      <c r="J647" s="64">
        <v>765</v>
      </c>
    </row>
    <row r="648" spans="1:10" x14ac:dyDescent="0.25">
      <c r="A648" s="68">
        <v>2112</v>
      </c>
      <c r="B648" s="23" t="s">
        <v>6</v>
      </c>
      <c r="C648" s="23" t="s">
        <v>32</v>
      </c>
      <c r="D648" s="23" t="s">
        <v>33</v>
      </c>
      <c r="F648" s="36">
        <v>36959</v>
      </c>
      <c r="G648" s="16">
        <v>153006000</v>
      </c>
      <c r="H648" t="s">
        <v>431</v>
      </c>
      <c r="I648" t="s">
        <v>644</v>
      </c>
      <c r="J648" s="64">
        <v>765</v>
      </c>
    </row>
    <row r="649" spans="1:10" x14ac:dyDescent="0.25">
      <c r="A649" s="68">
        <v>2113</v>
      </c>
      <c r="B649" s="23" t="s">
        <v>6</v>
      </c>
      <c r="C649" s="23" t="s">
        <v>32</v>
      </c>
      <c r="D649" s="23" t="s">
        <v>33</v>
      </c>
      <c r="F649" s="36">
        <v>36959</v>
      </c>
      <c r="G649" s="16">
        <v>1165116000</v>
      </c>
      <c r="H649" t="s">
        <v>432</v>
      </c>
      <c r="I649" t="s">
        <v>644</v>
      </c>
      <c r="J649" s="64">
        <v>765</v>
      </c>
    </row>
    <row r="650" spans="1:10" x14ac:dyDescent="0.25">
      <c r="A650" s="68">
        <v>2116</v>
      </c>
      <c r="B650" s="23" t="s">
        <v>34</v>
      </c>
      <c r="C650" s="23" t="s">
        <v>7</v>
      </c>
      <c r="D650" s="23" t="s">
        <v>11</v>
      </c>
      <c r="E650" s="23">
        <v>22194</v>
      </c>
      <c r="F650" s="36">
        <v>36893</v>
      </c>
      <c r="G650" s="16">
        <v>18001000</v>
      </c>
      <c r="H650" t="s">
        <v>193</v>
      </c>
      <c r="I650" t="s">
        <v>644</v>
      </c>
      <c r="J650" s="64">
        <v>309.5</v>
      </c>
    </row>
    <row r="651" spans="1:10" x14ac:dyDescent="0.25">
      <c r="A651" s="68">
        <v>2118</v>
      </c>
      <c r="B651" s="23" t="s">
        <v>10</v>
      </c>
      <c r="C651" s="23" t="s">
        <v>7</v>
      </c>
      <c r="D651" s="23" t="s">
        <v>11</v>
      </c>
      <c r="E651" s="23">
        <v>22175</v>
      </c>
      <c r="F651" s="36">
        <v>36893</v>
      </c>
      <c r="G651" s="16">
        <v>1925010000</v>
      </c>
      <c r="H651" t="s">
        <v>433</v>
      </c>
      <c r="I651" t="s">
        <v>644</v>
      </c>
      <c r="J651" s="64">
        <v>309.5</v>
      </c>
    </row>
    <row r="652" spans="1:10" x14ac:dyDescent="0.25">
      <c r="A652" s="68">
        <v>2128</v>
      </c>
      <c r="B652" s="23" t="s">
        <v>10</v>
      </c>
      <c r="C652" s="23" t="s">
        <v>18</v>
      </c>
      <c r="D652" s="23" t="s">
        <v>39</v>
      </c>
      <c r="E652" s="23">
        <v>19987</v>
      </c>
      <c r="F652" s="36">
        <v>36980</v>
      </c>
      <c r="G652" s="16">
        <v>18001000</v>
      </c>
      <c r="H652" t="s">
        <v>193</v>
      </c>
      <c r="I652" t="s">
        <v>644</v>
      </c>
      <c r="J652" s="64">
        <v>318.5</v>
      </c>
    </row>
    <row r="653" spans="1:10" x14ac:dyDescent="0.25">
      <c r="A653" s="68">
        <v>2133</v>
      </c>
      <c r="B653" s="23" t="s">
        <v>10</v>
      </c>
      <c r="C653" s="23" t="s">
        <v>18</v>
      </c>
      <c r="D653" s="23">
        <v>1014</v>
      </c>
      <c r="E653" s="23">
        <v>22205</v>
      </c>
      <c r="F653" s="36">
        <v>36728</v>
      </c>
      <c r="G653" s="16">
        <v>2126001000</v>
      </c>
      <c r="H653" t="s">
        <v>180</v>
      </c>
      <c r="I653" t="s">
        <v>644</v>
      </c>
      <c r="J653" s="64">
        <v>241.5</v>
      </c>
    </row>
    <row r="654" spans="1:10" x14ac:dyDescent="0.25">
      <c r="A654" s="68">
        <v>2134</v>
      </c>
      <c r="B654" s="23" t="s">
        <v>10</v>
      </c>
      <c r="C654" s="23" t="s">
        <v>18</v>
      </c>
      <c r="D654" s="23" t="s">
        <v>19</v>
      </c>
      <c r="E654" s="23">
        <v>4981</v>
      </c>
      <c r="F654" s="36">
        <v>36728</v>
      </c>
      <c r="G654" s="16">
        <v>43002000</v>
      </c>
      <c r="H654" t="s">
        <v>316</v>
      </c>
      <c r="I654" t="s">
        <v>644</v>
      </c>
      <c r="J654" s="64">
        <v>1154</v>
      </c>
    </row>
    <row r="655" spans="1:10" x14ac:dyDescent="0.25">
      <c r="A655" s="68">
        <v>2146</v>
      </c>
      <c r="B655" s="23" t="s">
        <v>10</v>
      </c>
      <c r="C655" s="23" t="s">
        <v>18</v>
      </c>
      <c r="D655" s="23" t="s">
        <v>19</v>
      </c>
      <c r="E655" s="23">
        <v>19814</v>
      </c>
      <c r="F655" s="36">
        <v>37093</v>
      </c>
      <c r="G655" s="16">
        <v>2081002000</v>
      </c>
      <c r="H655" t="s">
        <v>434</v>
      </c>
      <c r="I655" t="s">
        <v>644</v>
      </c>
      <c r="J655" s="64">
        <v>1154</v>
      </c>
    </row>
    <row r="656" spans="1:10" x14ac:dyDescent="0.25">
      <c r="A656" s="68">
        <v>2149</v>
      </c>
      <c r="B656" s="23" t="s">
        <v>401</v>
      </c>
      <c r="C656" s="23" t="s">
        <v>435</v>
      </c>
      <c r="D656" s="23">
        <v>15735</v>
      </c>
      <c r="E656" s="23">
        <v>1097</v>
      </c>
      <c r="F656" s="36">
        <v>25688</v>
      </c>
      <c r="G656" s="16">
        <v>66011000</v>
      </c>
      <c r="H656" t="s">
        <v>166</v>
      </c>
      <c r="I656" t="s">
        <v>644</v>
      </c>
      <c r="J656">
        <v>24</v>
      </c>
    </row>
    <row r="657" spans="1:10" x14ac:dyDescent="0.25">
      <c r="A657" s="68">
        <v>2153</v>
      </c>
      <c r="B657" s="23" t="s">
        <v>34</v>
      </c>
      <c r="C657" s="23" t="s">
        <v>18</v>
      </c>
      <c r="D657" s="23" t="s">
        <v>24</v>
      </c>
      <c r="E657" s="23">
        <v>22204</v>
      </c>
      <c r="F657" s="36">
        <v>36728</v>
      </c>
      <c r="G657" s="16">
        <v>3042104001</v>
      </c>
      <c r="H657" t="s">
        <v>186</v>
      </c>
      <c r="I657" t="s">
        <v>643</v>
      </c>
      <c r="J657" s="64">
        <v>368</v>
      </c>
    </row>
    <row r="658" spans="1:10" x14ac:dyDescent="0.25">
      <c r="A658" s="68">
        <v>2155</v>
      </c>
      <c r="B658" s="23" t="s">
        <v>15</v>
      </c>
      <c r="C658" s="23" t="s">
        <v>436</v>
      </c>
      <c r="D658" s="23" t="s">
        <v>437</v>
      </c>
      <c r="F658" s="36">
        <v>37222</v>
      </c>
      <c r="G658" s="16">
        <v>1014001</v>
      </c>
      <c r="H658" t="s">
        <v>163</v>
      </c>
      <c r="J658" s="61">
        <v>3600</v>
      </c>
    </row>
    <row r="659" spans="1:10" x14ac:dyDescent="0.25">
      <c r="A659" s="68">
        <v>2170</v>
      </c>
      <c r="B659" s="23" t="s">
        <v>438</v>
      </c>
      <c r="C659" s="23" t="s">
        <v>75</v>
      </c>
      <c r="D659" s="23" t="s">
        <v>19</v>
      </c>
      <c r="F659" s="36">
        <v>37378</v>
      </c>
      <c r="G659" s="16">
        <v>1014001</v>
      </c>
      <c r="H659" t="s">
        <v>163</v>
      </c>
      <c r="J659">
        <v>12</v>
      </c>
    </row>
    <row r="660" spans="1:10" x14ac:dyDescent="0.25">
      <c r="A660" s="68">
        <v>2180</v>
      </c>
      <c r="B660" s="23" t="s">
        <v>34</v>
      </c>
      <c r="C660" s="23" t="s">
        <v>7</v>
      </c>
      <c r="D660" s="23" t="s">
        <v>11</v>
      </c>
      <c r="E660" s="23">
        <v>22212</v>
      </c>
      <c r="F660" s="36">
        <v>36915</v>
      </c>
      <c r="G660" s="16">
        <v>2126001000</v>
      </c>
      <c r="H660" t="s">
        <v>180</v>
      </c>
      <c r="I660" t="s">
        <v>644</v>
      </c>
      <c r="J660" s="64">
        <v>309.5</v>
      </c>
    </row>
    <row r="661" spans="1:10" x14ac:dyDescent="0.25">
      <c r="A661" s="68">
        <v>2181</v>
      </c>
      <c r="B661" s="23" t="s">
        <v>401</v>
      </c>
      <c r="C661" s="23" t="s">
        <v>439</v>
      </c>
      <c r="D661" s="23" t="s">
        <v>19</v>
      </c>
      <c r="E661" s="23">
        <v>34973</v>
      </c>
      <c r="F661" s="36">
        <v>35824</v>
      </c>
      <c r="G661" s="16">
        <v>3319002000</v>
      </c>
      <c r="H661" t="s">
        <v>224</v>
      </c>
      <c r="I661" t="s">
        <v>644</v>
      </c>
      <c r="J661">
        <v>24</v>
      </c>
    </row>
    <row r="662" spans="1:10" x14ac:dyDescent="0.25">
      <c r="A662" s="68">
        <v>2182</v>
      </c>
      <c r="B662" s="23" t="s">
        <v>10</v>
      </c>
      <c r="C662" s="23" t="s">
        <v>12</v>
      </c>
      <c r="D662" s="23">
        <v>1700</v>
      </c>
      <c r="F662" s="36">
        <v>37621</v>
      </c>
      <c r="G662" s="16">
        <v>3135005000</v>
      </c>
      <c r="H662" t="s">
        <v>440</v>
      </c>
      <c r="I662" t="s">
        <v>644</v>
      </c>
      <c r="J662" s="64">
        <v>629</v>
      </c>
    </row>
    <row r="663" spans="1:10" x14ac:dyDescent="0.25">
      <c r="A663" s="68">
        <v>2183</v>
      </c>
      <c r="B663" s="23" t="s">
        <v>6</v>
      </c>
      <c r="C663" s="23" t="s">
        <v>7</v>
      </c>
      <c r="D663" s="23" t="s">
        <v>14</v>
      </c>
      <c r="F663" s="36">
        <v>25688</v>
      </c>
      <c r="G663" s="16">
        <v>43006000</v>
      </c>
      <c r="H663" t="s">
        <v>177</v>
      </c>
      <c r="I663" t="s">
        <v>644</v>
      </c>
      <c r="J663" s="64">
        <v>1212</v>
      </c>
    </row>
    <row r="664" spans="1:10" x14ac:dyDescent="0.25">
      <c r="A664" s="68">
        <v>2194</v>
      </c>
      <c r="B664" s="23" t="s">
        <v>10</v>
      </c>
      <c r="C664" s="23" t="s">
        <v>7</v>
      </c>
      <c r="D664" s="23" t="s">
        <v>11</v>
      </c>
      <c r="E664" s="23">
        <v>23572</v>
      </c>
      <c r="F664" s="36">
        <v>37778</v>
      </c>
      <c r="G664" s="16">
        <v>165001000</v>
      </c>
      <c r="H664" t="s">
        <v>198</v>
      </c>
      <c r="I664" t="s">
        <v>644</v>
      </c>
      <c r="J664" s="64">
        <v>309.5</v>
      </c>
    </row>
    <row r="665" spans="1:10" x14ac:dyDescent="0.25">
      <c r="A665" s="68">
        <v>2195</v>
      </c>
      <c r="B665" s="23" t="s">
        <v>34</v>
      </c>
      <c r="C665" s="23" t="s">
        <v>7</v>
      </c>
      <c r="D665" s="23" t="s">
        <v>11</v>
      </c>
      <c r="E665" s="23">
        <v>23583</v>
      </c>
      <c r="F665" s="36">
        <v>37778</v>
      </c>
      <c r="G665" s="16">
        <v>2994001000</v>
      </c>
      <c r="H665" t="s">
        <v>284</v>
      </c>
      <c r="I665" t="s">
        <v>644</v>
      </c>
      <c r="J665" s="64">
        <v>309.5</v>
      </c>
    </row>
    <row r="666" spans="1:10" x14ac:dyDescent="0.25">
      <c r="A666" s="68">
        <v>2196</v>
      </c>
      <c r="B666" s="23" t="s">
        <v>10</v>
      </c>
      <c r="C666" s="23" t="s">
        <v>7</v>
      </c>
      <c r="D666" s="23" t="s">
        <v>11</v>
      </c>
      <c r="E666" s="23">
        <v>23582</v>
      </c>
      <c r="F666" s="36">
        <v>37778</v>
      </c>
      <c r="G666" s="16">
        <v>1321001000</v>
      </c>
      <c r="H666" t="s">
        <v>366</v>
      </c>
      <c r="I666" t="s">
        <v>644</v>
      </c>
      <c r="J666" s="64">
        <v>309.5</v>
      </c>
    </row>
    <row r="667" spans="1:10" x14ac:dyDescent="0.25">
      <c r="A667" s="68">
        <v>2200</v>
      </c>
      <c r="B667" s="23" t="s">
        <v>10</v>
      </c>
      <c r="C667" s="23" t="s">
        <v>7</v>
      </c>
      <c r="D667" s="23" t="s">
        <v>11</v>
      </c>
      <c r="E667" s="23">
        <v>22185</v>
      </c>
      <c r="F667" s="36">
        <v>37819</v>
      </c>
      <c r="G667" s="16">
        <v>1652002001</v>
      </c>
      <c r="H667" t="s">
        <v>294</v>
      </c>
      <c r="I667" t="s">
        <v>644</v>
      </c>
      <c r="J667" s="64">
        <v>309.5</v>
      </c>
    </row>
    <row r="668" spans="1:10" x14ac:dyDescent="0.25">
      <c r="A668" s="68">
        <v>2201</v>
      </c>
      <c r="B668" s="23" t="s">
        <v>6</v>
      </c>
      <c r="C668" s="23" t="s">
        <v>7</v>
      </c>
      <c r="D668" s="23" t="s">
        <v>24</v>
      </c>
      <c r="E668" s="23">
        <v>19232</v>
      </c>
      <c r="F668" s="36">
        <v>37819</v>
      </c>
      <c r="G668" s="16">
        <v>2548013000</v>
      </c>
      <c r="H668" t="s">
        <v>319</v>
      </c>
      <c r="I668" t="s">
        <v>644</v>
      </c>
      <c r="J668" s="40">
        <v>1164.5</v>
      </c>
    </row>
    <row r="669" spans="1:10" x14ac:dyDescent="0.25">
      <c r="A669" s="68">
        <v>2202</v>
      </c>
      <c r="B669" s="23" t="s">
        <v>34</v>
      </c>
      <c r="C669" s="23" t="s">
        <v>7</v>
      </c>
      <c r="D669" s="23" t="s">
        <v>11</v>
      </c>
      <c r="E669" s="23">
        <v>22170</v>
      </c>
      <c r="F669" s="36">
        <v>37819</v>
      </c>
      <c r="G669" s="16">
        <v>2126001000</v>
      </c>
      <c r="H669" t="s">
        <v>180</v>
      </c>
      <c r="I669" t="s">
        <v>644</v>
      </c>
      <c r="J669" s="64">
        <v>309.5</v>
      </c>
    </row>
    <row r="670" spans="1:10" x14ac:dyDescent="0.25">
      <c r="A670" s="68">
        <v>2203</v>
      </c>
      <c r="B670" s="23" t="s">
        <v>6</v>
      </c>
      <c r="C670" s="23" t="s">
        <v>7</v>
      </c>
      <c r="D670" s="23" t="s">
        <v>24</v>
      </c>
      <c r="E670" s="23">
        <v>19239</v>
      </c>
      <c r="F670" s="36">
        <v>37819</v>
      </c>
      <c r="G670" s="16">
        <v>193012000</v>
      </c>
      <c r="H670" t="s">
        <v>200</v>
      </c>
      <c r="I670" t="s">
        <v>644</v>
      </c>
      <c r="J670" s="40">
        <v>1164.5</v>
      </c>
    </row>
    <row r="671" spans="1:10" x14ac:dyDescent="0.25">
      <c r="A671" s="68">
        <v>2204</v>
      </c>
      <c r="B671" s="23" t="s">
        <v>6</v>
      </c>
      <c r="C671" s="23" t="s">
        <v>7</v>
      </c>
      <c r="D671" s="23" t="s">
        <v>8</v>
      </c>
      <c r="E671" s="23">
        <v>19255</v>
      </c>
      <c r="F671" s="36">
        <v>37819</v>
      </c>
      <c r="G671" s="16">
        <v>2126001000</v>
      </c>
      <c r="H671" t="s">
        <v>180</v>
      </c>
      <c r="I671" t="s">
        <v>644</v>
      </c>
      <c r="J671" s="64">
        <v>1212</v>
      </c>
    </row>
    <row r="672" spans="1:10" x14ac:dyDescent="0.25">
      <c r="A672" s="68">
        <v>2205</v>
      </c>
      <c r="B672" s="23" t="s">
        <v>10</v>
      </c>
      <c r="C672" s="23" t="s">
        <v>7</v>
      </c>
      <c r="D672" s="23" t="s">
        <v>11</v>
      </c>
      <c r="E672" s="23">
        <v>22186</v>
      </c>
      <c r="F672" s="36">
        <v>37819</v>
      </c>
      <c r="G672" s="16">
        <v>2886002000</v>
      </c>
      <c r="H672" t="s">
        <v>275</v>
      </c>
      <c r="I672" t="s">
        <v>644</v>
      </c>
      <c r="J672" s="64">
        <v>309.5</v>
      </c>
    </row>
    <row r="673" spans="1:10" x14ac:dyDescent="0.25">
      <c r="A673" s="68">
        <v>2206</v>
      </c>
      <c r="B673" s="23" t="s">
        <v>10</v>
      </c>
      <c r="C673" s="23" t="s">
        <v>7</v>
      </c>
      <c r="D673" s="23" t="s">
        <v>11</v>
      </c>
      <c r="E673" s="23">
        <v>22189</v>
      </c>
      <c r="F673" s="36">
        <v>37819</v>
      </c>
      <c r="G673" s="16">
        <v>1068022000</v>
      </c>
      <c r="H673" t="s">
        <v>441</v>
      </c>
      <c r="I673" t="s">
        <v>644</v>
      </c>
      <c r="J673" s="64">
        <v>309.5</v>
      </c>
    </row>
    <row r="674" spans="1:10" x14ac:dyDescent="0.25">
      <c r="A674" s="68">
        <v>2207</v>
      </c>
      <c r="B674" s="23" t="s">
        <v>10</v>
      </c>
      <c r="C674" s="23" t="s">
        <v>7</v>
      </c>
      <c r="D674" s="23" t="s">
        <v>11</v>
      </c>
      <c r="E674" s="23">
        <v>22187</v>
      </c>
      <c r="F674" s="36">
        <v>37819</v>
      </c>
      <c r="G674" s="16">
        <v>43002000</v>
      </c>
      <c r="H674" t="s">
        <v>316</v>
      </c>
      <c r="I674" t="s">
        <v>644</v>
      </c>
      <c r="J674" s="64">
        <v>309.5</v>
      </c>
    </row>
    <row r="675" spans="1:10" x14ac:dyDescent="0.25">
      <c r="A675" s="68">
        <v>2208</v>
      </c>
      <c r="B675" s="23" t="s">
        <v>10</v>
      </c>
      <c r="C675" s="23" t="s">
        <v>7</v>
      </c>
      <c r="D675" s="23" t="s">
        <v>11</v>
      </c>
      <c r="E675" s="23">
        <v>22188</v>
      </c>
      <c r="F675" s="36">
        <v>37819</v>
      </c>
      <c r="G675" s="16">
        <v>3207016000</v>
      </c>
      <c r="H675" t="s">
        <v>318</v>
      </c>
      <c r="I675" t="s">
        <v>644</v>
      </c>
      <c r="J675" s="64">
        <v>309.5</v>
      </c>
    </row>
    <row r="676" spans="1:10" x14ac:dyDescent="0.25">
      <c r="A676" s="68">
        <v>2210</v>
      </c>
      <c r="B676" s="23" t="s">
        <v>34</v>
      </c>
      <c r="C676" s="23" t="s">
        <v>7</v>
      </c>
      <c r="D676" s="23" t="s">
        <v>24</v>
      </c>
      <c r="E676" s="23">
        <v>22172</v>
      </c>
      <c r="F676" s="36">
        <v>37819</v>
      </c>
      <c r="G676" s="16">
        <v>3101001000</v>
      </c>
      <c r="H676" t="s">
        <v>442</v>
      </c>
      <c r="I676" t="s">
        <v>644</v>
      </c>
      <c r="J676" s="40">
        <v>1164.5</v>
      </c>
    </row>
    <row r="677" spans="1:10" x14ac:dyDescent="0.25">
      <c r="A677" s="68">
        <v>2211</v>
      </c>
      <c r="B677" s="23" t="s">
        <v>6</v>
      </c>
      <c r="C677" s="23" t="s">
        <v>7</v>
      </c>
      <c r="D677" s="23" t="s">
        <v>14</v>
      </c>
      <c r="E677" s="23">
        <v>19234</v>
      </c>
      <c r="F677" s="36">
        <v>37819</v>
      </c>
      <c r="G677" s="16">
        <v>1014002</v>
      </c>
      <c r="H677" t="s">
        <v>191</v>
      </c>
      <c r="J677" s="64">
        <v>1212</v>
      </c>
    </row>
    <row r="678" spans="1:10" x14ac:dyDescent="0.25">
      <c r="A678" s="68">
        <v>2212</v>
      </c>
      <c r="B678" s="23" t="s">
        <v>10</v>
      </c>
      <c r="C678" s="23" t="s">
        <v>7</v>
      </c>
      <c r="D678" s="23" t="s">
        <v>11</v>
      </c>
      <c r="E678" s="23">
        <v>22181</v>
      </c>
      <c r="F678" s="36">
        <v>37819</v>
      </c>
      <c r="G678" s="16">
        <v>1652002001</v>
      </c>
      <c r="H678" t="s">
        <v>294</v>
      </c>
      <c r="I678" t="s">
        <v>644</v>
      </c>
      <c r="J678" s="64">
        <v>309.5</v>
      </c>
    </row>
    <row r="679" spans="1:10" x14ac:dyDescent="0.25">
      <c r="A679" s="68">
        <v>2214</v>
      </c>
      <c r="B679" s="23" t="s">
        <v>10</v>
      </c>
      <c r="C679" s="23" t="s">
        <v>7</v>
      </c>
      <c r="D679" s="23" t="s">
        <v>11</v>
      </c>
      <c r="E679" s="23">
        <v>22221</v>
      </c>
      <c r="F679" s="36">
        <v>37819</v>
      </c>
      <c r="G679" s="16">
        <v>1014002</v>
      </c>
      <c r="H679" t="s">
        <v>191</v>
      </c>
      <c r="J679" s="64">
        <v>309.5</v>
      </c>
    </row>
    <row r="680" spans="1:10" x14ac:dyDescent="0.25">
      <c r="A680" s="68">
        <v>2216</v>
      </c>
      <c r="B680" s="23" t="s">
        <v>10</v>
      </c>
      <c r="C680" s="23" t="s">
        <v>7</v>
      </c>
      <c r="D680" s="23" t="s">
        <v>11</v>
      </c>
      <c r="E680" s="23">
        <v>22171</v>
      </c>
      <c r="F680" s="36">
        <v>37819</v>
      </c>
      <c r="G680" s="16">
        <v>529001000</v>
      </c>
      <c r="H680" t="s">
        <v>232</v>
      </c>
      <c r="I680" t="s">
        <v>644</v>
      </c>
      <c r="J680" s="64">
        <v>309.5</v>
      </c>
    </row>
    <row r="681" spans="1:10" x14ac:dyDescent="0.25">
      <c r="A681" s="68">
        <v>2223</v>
      </c>
      <c r="B681" s="23" t="s">
        <v>6</v>
      </c>
      <c r="C681" s="23" t="s">
        <v>129</v>
      </c>
      <c r="D681" s="23" t="s">
        <v>158</v>
      </c>
      <c r="F681" s="36">
        <v>25688</v>
      </c>
      <c r="G681" s="16">
        <v>1925001000</v>
      </c>
      <c r="H681" t="s">
        <v>290</v>
      </c>
      <c r="I681" t="s">
        <v>644</v>
      </c>
      <c r="J681" s="61"/>
    </row>
    <row r="682" spans="1:10" x14ac:dyDescent="0.25">
      <c r="A682" s="68">
        <v>2242</v>
      </c>
      <c r="B682" s="23" t="s">
        <v>400</v>
      </c>
      <c r="C682" s="23" t="s">
        <v>12</v>
      </c>
      <c r="D682" s="23" t="s">
        <v>19</v>
      </c>
      <c r="E682" s="23">
        <v>35125</v>
      </c>
      <c r="F682" s="36">
        <v>37988</v>
      </c>
      <c r="G682" s="16">
        <v>1014002</v>
      </c>
      <c r="H682" t="s">
        <v>191</v>
      </c>
      <c r="J682">
        <v>36</v>
      </c>
    </row>
    <row r="683" spans="1:10" x14ac:dyDescent="0.25">
      <c r="A683" s="68">
        <v>2246</v>
      </c>
      <c r="B683" s="23" t="s">
        <v>6</v>
      </c>
      <c r="C683" s="23" t="s">
        <v>129</v>
      </c>
      <c r="D683" s="23" t="s">
        <v>158</v>
      </c>
      <c r="E683" s="23" t="s">
        <v>443</v>
      </c>
      <c r="F683" s="36">
        <v>25688</v>
      </c>
      <c r="G683" s="16">
        <v>223001000</v>
      </c>
      <c r="H683" t="s">
        <v>444</v>
      </c>
      <c r="I683" t="s">
        <v>644</v>
      </c>
      <c r="J683" s="61"/>
    </row>
    <row r="684" spans="1:10" x14ac:dyDescent="0.25">
      <c r="A684" s="68">
        <v>2258</v>
      </c>
      <c r="B684" s="23" t="s">
        <v>34</v>
      </c>
      <c r="C684" s="23" t="s">
        <v>7</v>
      </c>
      <c r="D684" s="23" t="s">
        <v>107</v>
      </c>
      <c r="E684" s="23">
        <v>11861</v>
      </c>
      <c r="F684" s="36">
        <v>38472</v>
      </c>
      <c r="G684" s="16">
        <v>165001000</v>
      </c>
      <c r="H684" t="s">
        <v>198</v>
      </c>
      <c r="I684" t="s">
        <v>644</v>
      </c>
      <c r="J684" s="64">
        <v>360</v>
      </c>
    </row>
    <row r="685" spans="1:10" x14ac:dyDescent="0.25">
      <c r="A685" s="68">
        <v>2267</v>
      </c>
      <c r="B685" s="23" t="s">
        <v>6</v>
      </c>
      <c r="C685" s="23" t="s">
        <v>32</v>
      </c>
      <c r="D685" s="23" t="s">
        <v>103</v>
      </c>
      <c r="F685" s="36">
        <v>38616</v>
      </c>
      <c r="G685" s="16">
        <v>1014007</v>
      </c>
      <c r="H685" t="s">
        <v>419</v>
      </c>
      <c r="J685" s="40">
        <v>1107.5</v>
      </c>
    </row>
    <row r="686" spans="1:10" x14ac:dyDescent="0.25">
      <c r="A686" s="68">
        <v>2274</v>
      </c>
      <c r="B686" s="23" t="s">
        <v>34</v>
      </c>
      <c r="C686" s="23" t="s">
        <v>18</v>
      </c>
      <c r="D686" s="23" t="s">
        <v>26</v>
      </c>
      <c r="F686" s="36">
        <v>25688</v>
      </c>
      <c r="G686" s="16">
        <v>2548017000</v>
      </c>
      <c r="H686" t="s">
        <v>396</v>
      </c>
      <c r="I686" t="s">
        <v>644</v>
      </c>
      <c r="J686" s="64">
        <v>532</v>
      </c>
    </row>
    <row r="687" spans="1:10" x14ac:dyDescent="0.25">
      <c r="A687" s="68">
        <v>2277</v>
      </c>
      <c r="B687" s="23" t="s">
        <v>10</v>
      </c>
      <c r="C687" s="23" t="s">
        <v>7</v>
      </c>
      <c r="D687" s="23" t="s">
        <v>11</v>
      </c>
      <c r="E687" s="23">
        <v>7495</v>
      </c>
      <c r="F687" s="36">
        <v>38618</v>
      </c>
      <c r="G687" s="16">
        <v>2126001000</v>
      </c>
      <c r="H687" t="s">
        <v>180</v>
      </c>
      <c r="I687" t="s">
        <v>644</v>
      </c>
      <c r="J687" s="64">
        <v>309.5</v>
      </c>
    </row>
    <row r="688" spans="1:10" x14ac:dyDescent="0.25">
      <c r="A688" s="68">
        <v>2279</v>
      </c>
      <c r="B688" s="23" t="s">
        <v>10</v>
      </c>
      <c r="C688" s="23" t="s">
        <v>7</v>
      </c>
      <c r="D688" s="23" t="s">
        <v>11</v>
      </c>
      <c r="E688" s="23">
        <v>21709</v>
      </c>
      <c r="F688" s="36">
        <v>38618</v>
      </c>
      <c r="G688" s="16">
        <v>2126003000</v>
      </c>
      <c r="H688" t="s">
        <v>365</v>
      </c>
      <c r="I688" t="s">
        <v>644</v>
      </c>
      <c r="J688" s="64">
        <v>309.5</v>
      </c>
    </row>
    <row r="689" spans="1:10" x14ac:dyDescent="0.25">
      <c r="A689" s="68">
        <v>2280</v>
      </c>
      <c r="B689" s="23" t="s">
        <v>10</v>
      </c>
      <c r="C689" s="23" t="s">
        <v>7</v>
      </c>
      <c r="D689" s="23" t="s">
        <v>11</v>
      </c>
      <c r="E689" s="23">
        <v>18334</v>
      </c>
      <c r="F689" s="36">
        <v>38618</v>
      </c>
      <c r="G689" s="16">
        <v>2126013000</v>
      </c>
      <c r="H689" t="s">
        <v>228</v>
      </c>
      <c r="I689" t="s">
        <v>644</v>
      </c>
      <c r="J689" s="64">
        <v>309.5</v>
      </c>
    </row>
    <row r="690" spans="1:10" x14ac:dyDescent="0.25">
      <c r="A690" s="68">
        <v>2281</v>
      </c>
      <c r="B690" s="23" t="s">
        <v>10</v>
      </c>
      <c r="C690" s="23" t="s">
        <v>7</v>
      </c>
      <c r="D690" s="23" t="s">
        <v>11</v>
      </c>
      <c r="E690" s="23">
        <v>1618</v>
      </c>
      <c r="F690" s="36">
        <v>38618</v>
      </c>
      <c r="G690" s="16">
        <v>2126001000</v>
      </c>
      <c r="H690" t="s">
        <v>180</v>
      </c>
      <c r="I690" t="s">
        <v>644</v>
      </c>
      <c r="J690" s="64">
        <v>309.5</v>
      </c>
    </row>
    <row r="691" spans="1:10" x14ac:dyDescent="0.25">
      <c r="A691" s="68">
        <v>2283</v>
      </c>
      <c r="B691" s="23" t="s">
        <v>10</v>
      </c>
      <c r="C691" s="23" t="s">
        <v>7</v>
      </c>
      <c r="D691" s="23" t="s">
        <v>11</v>
      </c>
      <c r="E691" s="23">
        <v>1113</v>
      </c>
      <c r="F691" s="36">
        <v>38618</v>
      </c>
      <c r="G691" s="16">
        <v>1068018000</v>
      </c>
      <c r="H691" t="s">
        <v>372</v>
      </c>
      <c r="I691" t="s">
        <v>644</v>
      </c>
      <c r="J691" s="64">
        <v>309.5</v>
      </c>
    </row>
    <row r="692" spans="1:10" x14ac:dyDescent="0.25">
      <c r="A692" s="68">
        <v>2284</v>
      </c>
      <c r="B692" s="23" t="s">
        <v>10</v>
      </c>
      <c r="C692" s="23" t="s">
        <v>7</v>
      </c>
      <c r="D692" s="23" t="s">
        <v>11</v>
      </c>
      <c r="E692" s="23">
        <v>22506</v>
      </c>
      <c r="F692" s="36">
        <v>38618</v>
      </c>
      <c r="G692" s="16">
        <v>2126001000</v>
      </c>
      <c r="H692" t="s">
        <v>180</v>
      </c>
      <c r="I692" t="s">
        <v>644</v>
      </c>
      <c r="J692" s="64">
        <v>309.5</v>
      </c>
    </row>
    <row r="693" spans="1:10" x14ac:dyDescent="0.25">
      <c r="A693" s="68">
        <v>2285</v>
      </c>
      <c r="B693" s="23" t="s">
        <v>10</v>
      </c>
      <c r="C693" s="23" t="s">
        <v>7</v>
      </c>
      <c r="D693" s="23" t="s">
        <v>11</v>
      </c>
      <c r="E693" s="23">
        <v>17818</v>
      </c>
      <c r="F693" s="36">
        <v>38618</v>
      </c>
      <c r="G693" s="16">
        <v>1014001</v>
      </c>
      <c r="H693" t="s">
        <v>163</v>
      </c>
      <c r="J693" s="64">
        <v>309.5</v>
      </c>
    </row>
    <row r="694" spans="1:10" x14ac:dyDescent="0.25">
      <c r="A694" s="68">
        <v>2286</v>
      </c>
      <c r="B694" s="23" t="s">
        <v>10</v>
      </c>
      <c r="C694" s="23" t="s">
        <v>7</v>
      </c>
      <c r="D694" s="23" t="s">
        <v>11</v>
      </c>
      <c r="E694" s="23">
        <v>17824</v>
      </c>
      <c r="F694" s="36">
        <v>38618</v>
      </c>
      <c r="G694" s="16">
        <v>2126001000</v>
      </c>
      <c r="H694" t="s">
        <v>180</v>
      </c>
      <c r="I694" t="s">
        <v>644</v>
      </c>
      <c r="J694" s="64">
        <v>309.5</v>
      </c>
    </row>
    <row r="695" spans="1:10" x14ac:dyDescent="0.25">
      <c r="A695" s="68">
        <v>2287</v>
      </c>
      <c r="B695" s="23" t="s">
        <v>10</v>
      </c>
      <c r="C695" s="23" t="s">
        <v>7</v>
      </c>
      <c r="D695" s="23" t="s">
        <v>11</v>
      </c>
      <c r="E695" s="23">
        <v>20303</v>
      </c>
      <c r="F695" s="36">
        <v>38618</v>
      </c>
      <c r="G695" s="16">
        <v>2126003000</v>
      </c>
      <c r="H695" t="s">
        <v>365</v>
      </c>
      <c r="I695" t="s">
        <v>644</v>
      </c>
      <c r="J695" s="64">
        <v>309.5</v>
      </c>
    </row>
    <row r="696" spans="1:10" x14ac:dyDescent="0.25">
      <c r="A696" s="68">
        <v>2288</v>
      </c>
      <c r="B696" s="23" t="s">
        <v>34</v>
      </c>
      <c r="C696" s="23" t="s">
        <v>18</v>
      </c>
      <c r="D696" s="23" t="s">
        <v>19</v>
      </c>
      <c r="E696" s="23">
        <v>18755</v>
      </c>
      <c r="F696" s="36">
        <v>25688</v>
      </c>
      <c r="G696" s="16">
        <v>1176003000</v>
      </c>
      <c r="H696" t="s">
        <v>445</v>
      </c>
      <c r="I696" t="s">
        <v>644</v>
      </c>
      <c r="J696" s="64">
        <v>1154</v>
      </c>
    </row>
    <row r="697" spans="1:10" x14ac:dyDescent="0.25">
      <c r="A697" s="68">
        <v>2301</v>
      </c>
      <c r="B697" s="23" t="s">
        <v>100</v>
      </c>
      <c r="C697" s="23" t="s">
        <v>126</v>
      </c>
      <c r="D697" s="23" t="s">
        <v>446</v>
      </c>
      <c r="E697" s="23">
        <v>518</v>
      </c>
      <c r="F697" s="36">
        <v>38807</v>
      </c>
      <c r="G697" s="16">
        <v>43006000</v>
      </c>
      <c r="H697" t="s">
        <v>177</v>
      </c>
      <c r="I697" t="s">
        <v>644</v>
      </c>
      <c r="J697" s="64">
        <f t="shared" ref="J697:J707" si="0">1118.55+919</f>
        <v>2037.55</v>
      </c>
    </row>
    <row r="698" spans="1:10" x14ac:dyDescent="0.25">
      <c r="A698" s="68">
        <v>2302</v>
      </c>
      <c r="B698" s="23" t="s">
        <v>100</v>
      </c>
      <c r="C698" s="23" t="s">
        <v>126</v>
      </c>
      <c r="D698" s="23" t="s">
        <v>446</v>
      </c>
      <c r="E698" s="23">
        <v>520</v>
      </c>
      <c r="F698" s="36">
        <v>38807</v>
      </c>
      <c r="G698" s="16">
        <v>2514001000</v>
      </c>
      <c r="H698" t="s">
        <v>289</v>
      </c>
      <c r="I698" t="s">
        <v>644</v>
      </c>
      <c r="J698" s="64">
        <f t="shared" si="0"/>
        <v>2037.55</v>
      </c>
    </row>
    <row r="699" spans="1:10" x14ac:dyDescent="0.25">
      <c r="A699" s="68">
        <v>2305</v>
      </c>
      <c r="B699" s="23" t="s">
        <v>100</v>
      </c>
      <c r="C699" s="23" t="s">
        <v>126</v>
      </c>
      <c r="D699" s="23" t="s">
        <v>446</v>
      </c>
      <c r="E699" s="23">
        <v>527</v>
      </c>
      <c r="F699" s="36">
        <v>38814</v>
      </c>
      <c r="G699" s="16">
        <v>2126001000</v>
      </c>
      <c r="H699" t="s">
        <v>180</v>
      </c>
      <c r="I699" t="s">
        <v>644</v>
      </c>
      <c r="J699" s="64">
        <f t="shared" si="0"/>
        <v>2037.55</v>
      </c>
    </row>
    <row r="700" spans="1:10" x14ac:dyDescent="0.25">
      <c r="A700" s="68">
        <v>2306</v>
      </c>
      <c r="B700" s="23" t="s">
        <v>100</v>
      </c>
      <c r="C700" s="23" t="s">
        <v>126</v>
      </c>
      <c r="D700" s="23" t="s">
        <v>446</v>
      </c>
      <c r="E700" s="23">
        <v>524</v>
      </c>
      <c r="F700" s="36">
        <v>38814</v>
      </c>
      <c r="G700" s="16">
        <v>3168001000</v>
      </c>
      <c r="H700" t="s">
        <v>407</v>
      </c>
      <c r="I700" t="s">
        <v>644</v>
      </c>
      <c r="J700" s="64">
        <f t="shared" si="0"/>
        <v>2037.55</v>
      </c>
    </row>
    <row r="701" spans="1:10" x14ac:dyDescent="0.25">
      <c r="A701" s="68">
        <v>2308</v>
      </c>
      <c r="B701" s="23" t="s">
        <v>100</v>
      </c>
      <c r="C701" s="23" t="s">
        <v>126</v>
      </c>
      <c r="D701" s="23" t="s">
        <v>446</v>
      </c>
      <c r="E701" s="23">
        <v>635</v>
      </c>
      <c r="F701" s="36">
        <v>38814</v>
      </c>
      <c r="G701" s="16">
        <v>1014001</v>
      </c>
      <c r="H701" t="s">
        <v>163</v>
      </c>
      <c r="J701" s="64">
        <f t="shared" si="0"/>
        <v>2037.55</v>
      </c>
    </row>
    <row r="702" spans="1:10" x14ac:dyDescent="0.25">
      <c r="A702" s="68">
        <v>2309</v>
      </c>
      <c r="B702" s="23" t="s">
        <v>100</v>
      </c>
      <c r="C702" s="23" t="s">
        <v>126</v>
      </c>
      <c r="D702" s="23" t="s">
        <v>446</v>
      </c>
      <c r="E702" s="23">
        <v>525</v>
      </c>
      <c r="F702" s="36">
        <v>38814</v>
      </c>
      <c r="G702" s="16">
        <v>1165000000</v>
      </c>
      <c r="H702" t="s">
        <v>184</v>
      </c>
      <c r="I702" t="s">
        <v>644</v>
      </c>
      <c r="J702" s="64">
        <f t="shared" si="0"/>
        <v>2037.55</v>
      </c>
    </row>
    <row r="703" spans="1:10" x14ac:dyDescent="0.25">
      <c r="A703" s="68">
        <v>2310</v>
      </c>
      <c r="B703" s="23" t="s">
        <v>100</v>
      </c>
      <c r="C703" s="23" t="s">
        <v>126</v>
      </c>
      <c r="D703" s="23" t="s">
        <v>446</v>
      </c>
      <c r="E703" s="23">
        <v>523</v>
      </c>
      <c r="F703" s="36">
        <v>38814</v>
      </c>
      <c r="G703" s="16">
        <v>1014001</v>
      </c>
      <c r="H703" t="s">
        <v>163</v>
      </c>
      <c r="J703" s="64">
        <f t="shared" si="0"/>
        <v>2037.55</v>
      </c>
    </row>
    <row r="704" spans="1:10" x14ac:dyDescent="0.25">
      <c r="A704" s="68">
        <v>2312</v>
      </c>
      <c r="B704" s="23" t="s">
        <v>100</v>
      </c>
      <c r="C704" s="23" t="s">
        <v>126</v>
      </c>
      <c r="D704" s="23" t="s">
        <v>446</v>
      </c>
      <c r="E704" s="23">
        <v>541</v>
      </c>
      <c r="F704" s="36">
        <v>38817</v>
      </c>
      <c r="G704" s="16">
        <v>193012000</v>
      </c>
      <c r="H704" t="s">
        <v>200</v>
      </c>
      <c r="I704" t="s">
        <v>644</v>
      </c>
      <c r="J704" s="64">
        <f t="shared" si="0"/>
        <v>2037.55</v>
      </c>
    </row>
    <row r="705" spans="1:10" x14ac:dyDescent="0.25">
      <c r="A705" s="68">
        <v>2314</v>
      </c>
      <c r="B705" s="23" t="s">
        <v>100</v>
      </c>
      <c r="C705" s="23" t="s">
        <v>126</v>
      </c>
      <c r="D705" s="23" t="s">
        <v>446</v>
      </c>
      <c r="E705" s="23">
        <v>540</v>
      </c>
      <c r="F705" s="36">
        <v>38817</v>
      </c>
      <c r="G705" s="16">
        <v>3316001000</v>
      </c>
      <c r="H705" t="s">
        <v>447</v>
      </c>
      <c r="I705" t="s">
        <v>644</v>
      </c>
      <c r="J705" s="64">
        <f t="shared" si="0"/>
        <v>2037.55</v>
      </c>
    </row>
    <row r="706" spans="1:10" x14ac:dyDescent="0.25">
      <c r="A706" s="68">
        <v>2315</v>
      </c>
      <c r="B706" s="23" t="s">
        <v>100</v>
      </c>
      <c r="C706" s="23" t="s">
        <v>126</v>
      </c>
      <c r="D706" s="23" t="s">
        <v>446</v>
      </c>
      <c r="E706" s="23">
        <v>538</v>
      </c>
      <c r="F706" s="36">
        <v>38817</v>
      </c>
      <c r="G706" s="16">
        <v>3317001000</v>
      </c>
      <c r="H706" t="s">
        <v>262</v>
      </c>
      <c r="I706" t="s">
        <v>644</v>
      </c>
      <c r="J706" s="64">
        <f t="shared" si="0"/>
        <v>2037.55</v>
      </c>
    </row>
    <row r="707" spans="1:10" x14ac:dyDescent="0.25">
      <c r="A707" s="68">
        <v>2316</v>
      </c>
      <c r="B707" s="23" t="s">
        <v>100</v>
      </c>
      <c r="C707" s="23" t="s">
        <v>126</v>
      </c>
      <c r="D707" s="23" t="s">
        <v>446</v>
      </c>
      <c r="E707" s="23">
        <v>542</v>
      </c>
      <c r="F707" s="36">
        <v>38817</v>
      </c>
      <c r="G707" s="16">
        <v>2126001000</v>
      </c>
      <c r="H707" t="s">
        <v>180</v>
      </c>
      <c r="I707" t="s">
        <v>644</v>
      </c>
      <c r="J707" s="64">
        <f t="shared" si="0"/>
        <v>2037.55</v>
      </c>
    </row>
    <row r="708" spans="1:10" x14ac:dyDescent="0.25">
      <c r="A708" s="68">
        <v>2323</v>
      </c>
      <c r="B708" s="23" t="s">
        <v>6</v>
      </c>
      <c r="C708" s="23" t="s">
        <v>7</v>
      </c>
      <c r="D708" s="23" t="s">
        <v>14</v>
      </c>
      <c r="E708" s="23">
        <v>16318</v>
      </c>
      <c r="F708" s="36">
        <v>38953</v>
      </c>
      <c r="G708" s="16">
        <v>1014001</v>
      </c>
      <c r="H708" t="s">
        <v>163</v>
      </c>
      <c r="J708" s="64">
        <v>1212</v>
      </c>
    </row>
    <row r="709" spans="1:10" x14ac:dyDescent="0.25">
      <c r="A709" s="68">
        <v>2324</v>
      </c>
      <c r="B709" s="23" t="s">
        <v>6</v>
      </c>
      <c r="C709" s="23" t="s">
        <v>7</v>
      </c>
      <c r="D709" s="23" t="s">
        <v>14</v>
      </c>
      <c r="E709" s="23">
        <v>18869</v>
      </c>
      <c r="F709" s="36">
        <v>38953</v>
      </c>
      <c r="G709" s="16">
        <v>1068001000</v>
      </c>
      <c r="H709" t="s">
        <v>202</v>
      </c>
      <c r="I709" t="s">
        <v>644</v>
      </c>
      <c r="J709" s="64">
        <v>1212</v>
      </c>
    </row>
    <row r="710" spans="1:10" x14ac:dyDescent="0.25">
      <c r="A710" s="68">
        <v>2325</v>
      </c>
      <c r="B710" s="23" t="s">
        <v>6</v>
      </c>
      <c r="C710" s="23" t="s">
        <v>7</v>
      </c>
      <c r="D710" s="23" t="s">
        <v>14</v>
      </c>
      <c r="E710" s="23">
        <v>10068</v>
      </c>
      <c r="F710" s="36">
        <v>38953</v>
      </c>
      <c r="G710" s="16">
        <v>2126001000</v>
      </c>
      <c r="H710" t="s">
        <v>180</v>
      </c>
      <c r="I710" t="s">
        <v>644</v>
      </c>
      <c r="J710" s="64">
        <v>1212</v>
      </c>
    </row>
    <row r="711" spans="1:10" x14ac:dyDescent="0.25">
      <c r="A711" s="68">
        <v>2326</v>
      </c>
      <c r="B711" s="23" t="s">
        <v>6</v>
      </c>
      <c r="C711" s="23" t="s">
        <v>7</v>
      </c>
      <c r="D711" s="23" t="s">
        <v>14</v>
      </c>
      <c r="E711" s="23">
        <v>4313</v>
      </c>
      <c r="F711" s="36">
        <v>38965</v>
      </c>
      <c r="G711" s="16">
        <v>1068013000</v>
      </c>
      <c r="H711" t="s">
        <v>264</v>
      </c>
      <c r="I711" t="s">
        <v>644</v>
      </c>
      <c r="J711" s="64">
        <v>1212</v>
      </c>
    </row>
    <row r="712" spans="1:10" x14ac:dyDescent="0.25">
      <c r="A712" s="68">
        <v>2328</v>
      </c>
      <c r="B712" s="23" t="s">
        <v>6</v>
      </c>
      <c r="C712" s="23" t="s">
        <v>7</v>
      </c>
      <c r="D712" s="23" t="s">
        <v>14</v>
      </c>
      <c r="E712" s="23">
        <v>18860</v>
      </c>
      <c r="F712" s="36">
        <v>38965</v>
      </c>
      <c r="G712" s="16">
        <v>3182003000</v>
      </c>
      <c r="H712" t="s">
        <v>364</v>
      </c>
      <c r="I712" t="s">
        <v>644</v>
      </c>
      <c r="J712" s="64">
        <v>1212</v>
      </c>
    </row>
    <row r="713" spans="1:10" x14ac:dyDescent="0.25">
      <c r="A713" s="68">
        <v>2329</v>
      </c>
      <c r="B713" s="23" t="s">
        <v>6</v>
      </c>
      <c r="C713" s="23" t="s">
        <v>7</v>
      </c>
      <c r="D713" s="23" t="s">
        <v>14</v>
      </c>
      <c r="E713" s="23">
        <v>3176</v>
      </c>
      <c r="F713" s="36">
        <v>38965</v>
      </c>
      <c r="G713" s="16">
        <v>1165000000</v>
      </c>
      <c r="H713" t="s">
        <v>184</v>
      </c>
      <c r="I713" t="s">
        <v>644</v>
      </c>
      <c r="J713" s="64">
        <v>1212</v>
      </c>
    </row>
    <row r="714" spans="1:10" x14ac:dyDescent="0.25">
      <c r="A714" s="68">
        <v>2334</v>
      </c>
      <c r="B714" s="23" t="s">
        <v>6</v>
      </c>
      <c r="C714" s="23" t="s">
        <v>7</v>
      </c>
      <c r="D714" s="23" t="s">
        <v>14</v>
      </c>
      <c r="E714" s="23">
        <v>18855</v>
      </c>
      <c r="F714" s="36">
        <v>38966</v>
      </c>
      <c r="G714" s="16">
        <v>2514001000</v>
      </c>
      <c r="H714" t="s">
        <v>289</v>
      </c>
      <c r="I714" t="s">
        <v>644</v>
      </c>
      <c r="J714" s="64">
        <v>1212</v>
      </c>
    </row>
    <row r="715" spans="1:10" x14ac:dyDescent="0.25">
      <c r="A715" s="68">
        <v>2335</v>
      </c>
      <c r="B715" s="23" t="s">
        <v>6</v>
      </c>
      <c r="C715" s="23" t="s">
        <v>7</v>
      </c>
      <c r="D715" s="23" t="s">
        <v>14</v>
      </c>
      <c r="E715" s="23">
        <v>18865</v>
      </c>
      <c r="F715" s="36">
        <v>38965</v>
      </c>
      <c r="G715" s="16">
        <v>953011000</v>
      </c>
      <c r="H715" t="s">
        <v>272</v>
      </c>
      <c r="I715" t="s">
        <v>644</v>
      </c>
      <c r="J715" s="64">
        <v>1212</v>
      </c>
    </row>
    <row r="716" spans="1:10" x14ac:dyDescent="0.25">
      <c r="A716" s="68">
        <v>2339</v>
      </c>
      <c r="B716" s="23" t="s">
        <v>100</v>
      </c>
      <c r="C716" s="23" t="s">
        <v>126</v>
      </c>
      <c r="D716" s="23" t="s">
        <v>446</v>
      </c>
      <c r="E716" s="23">
        <v>660</v>
      </c>
      <c r="F716" s="36">
        <v>38960</v>
      </c>
      <c r="G716" s="16">
        <v>193012000</v>
      </c>
      <c r="H716" t="s">
        <v>200</v>
      </c>
      <c r="I716" t="s">
        <v>644</v>
      </c>
      <c r="J716" s="64">
        <f>1118.55+919</f>
        <v>2037.55</v>
      </c>
    </row>
    <row r="717" spans="1:10" x14ac:dyDescent="0.25">
      <c r="A717" s="68">
        <v>2340</v>
      </c>
      <c r="B717" s="23" t="s">
        <v>100</v>
      </c>
      <c r="C717" s="23" t="s">
        <v>126</v>
      </c>
      <c r="D717" s="23" t="s">
        <v>446</v>
      </c>
      <c r="E717" s="23">
        <v>526</v>
      </c>
      <c r="F717" s="36">
        <v>38960</v>
      </c>
      <c r="G717" s="16">
        <v>1014001</v>
      </c>
      <c r="H717" t="s">
        <v>163</v>
      </c>
      <c r="J717" s="64">
        <f>1118.55+919</f>
        <v>2037.55</v>
      </c>
    </row>
    <row r="718" spans="1:10" x14ac:dyDescent="0.25">
      <c r="A718" s="68">
        <v>2341</v>
      </c>
      <c r="B718" s="23" t="s">
        <v>100</v>
      </c>
      <c r="C718" s="23" t="s">
        <v>126</v>
      </c>
      <c r="D718" s="23" t="s">
        <v>448</v>
      </c>
      <c r="E718" s="23">
        <v>668</v>
      </c>
      <c r="F718" s="36">
        <v>38960</v>
      </c>
      <c r="G718" s="16">
        <v>1014001</v>
      </c>
      <c r="H718" t="s">
        <v>163</v>
      </c>
      <c r="J718" s="64">
        <f>1118.55+919</f>
        <v>2037.55</v>
      </c>
    </row>
    <row r="719" spans="1:10" x14ac:dyDescent="0.25">
      <c r="A719" s="68">
        <v>2342</v>
      </c>
      <c r="B719" s="23" t="s">
        <v>100</v>
      </c>
      <c r="C719" s="23" t="s">
        <v>126</v>
      </c>
      <c r="D719" s="23" t="s">
        <v>446</v>
      </c>
      <c r="E719" s="23">
        <v>667</v>
      </c>
      <c r="F719" s="36">
        <v>38960</v>
      </c>
      <c r="G719" s="16">
        <v>61007000</v>
      </c>
      <c r="H719" t="s">
        <v>291</v>
      </c>
      <c r="I719" t="s">
        <v>644</v>
      </c>
      <c r="J719" s="64">
        <f>1118.55+919</f>
        <v>2037.55</v>
      </c>
    </row>
    <row r="720" spans="1:10" x14ac:dyDescent="0.25">
      <c r="A720" s="68">
        <v>2359</v>
      </c>
      <c r="B720" s="23" t="s">
        <v>117</v>
      </c>
      <c r="C720" s="23" t="s">
        <v>36</v>
      </c>
      <c r="D720" s="23" t="s">
        <v>449</v>
      </c>
      <c r="E720" s="23">
        <v>1081</v>
      </c>
      <c r="F720" s="36">
        <v>39073</v>
      </c>
      <c r="G720" s="16">
        <v>1925007000</v>
      </c>
      <c r="H720" t="s">
        <v>450</v>
      </c>
      <c r="I720" t="s">
        <v>644</v>
      </c>
      <c r="J720" s="64">
        <f>3*745.7</f>
        <v>2237.1000000000004</v>
      </c>
    </row>
    <row r="721" spans="1:10" x14ac:dyDescent="0.25">
      <c r="A721" s="68">
        <v>2370</v>
      </c>
      <c r="B721" s="23" t="s">
        <v>401</v>
      </c>
      <c r="C721" s="23" t="s">
        <v>451</v>
      </c>
      <c r="D721" s="23">
        <v>2440</v>
      </c>
      <c r="F721" s="36">
        <v>39630</v>
      </c>
      <c r="G721" s="16">
        <v>3034001000</v>
      </c>
      <c r="H721" t="s">
        <v>356</v>
      </c>
      <c r="I721" t="s">
        <v>644</v>
      </c>
      <c r="J721">
        <v>24</v>
      </c>
    </row>
    <row r="722" spans="1:10" x14ac:dyDescent="0.25">
      <c r="A722" s="68">
        <v>2387</v>
      </c>
      <c r="B722" s="23" t="s">
        <v>400</v>
      </c>
      <c r="C722" s="23" t="s">
        <v>451</v>
      </c>
      <c r="D722" s="23" t="s">
        <v>19</v>
      </c>
      <c r="F722" s="36">
        <v>39407</v>
      </c>
      <c r="G722" s="16">
        <v>1014001</v>
      </c>
      <c r="H722" t="s">
        <v>163</v>
      </c>
      <c r="J722">
        <v>24</v>
      </c>
    </row>
    <row r="723" spans="1:10" x14ac:dyDescent="0.25">
      <c r="A723" s="68">
        <v>2390</v>
      </c>
      <c r="B723" s="23" t="s">
        <v>6</v>
      </c>
      <c r="C723" s="23" t="s">
        <v>97</v>
      </c>
      <c r="D723" s="23" t="s">
        <v>98</v>
      </c>
      <c r="E723" s="23">
        <v>130436</v>
      </c>
      <c r="F723" s="36">
        <v>39491</v>
      </c>
      <c r="G723" s="16">
        <v>2126001000</v>
      </c>
      <c r="H723" t="s">
        <v>180</v>
      </c>
      <c r="I723" t="s">
        <v>644</v>
      </c>
      <c r="J723" s="64">
        <v>791</v>
      </c>
    </row>
    <row r="724" spans="1:10" x14ac:dyDescent="0.25">
      <c r="A724" s="68">
        <v>2397</v>
      </c>
      <c r="B724" s="23" t="s">
        <v>401</v>
      </c>
      <c r="C724" s="23" t="s">
        <v>452</v>
      </c>
      <c r="D724" s="23">
        <v>2440</v>
      </c>
      <c r="F724" s="36">
        <v>39479</v>
      </c>
      <c r="G724" s="16">
        <v>529001000</v>
      </c>
      <c r="H724" t="s">
        <v>232</v>
      </c>
      <c r="I724" t="s">
        <v>644</v>
      </c>
      <c r="J724">
        <v>24</v>
      </c>
    </row>
    <row r="725" spans="1:10" x14ac:dyDescent="0.25">
      <c r="A725" s="68">
        <v>2440</v>
      </c>
      <c r="B725" s="23" t="s">
        <v>6</v>
      </c>
      <c r="C725" s="23" t="s">
        <v>7</v>
      </c>
      <c r="D725" s="23" t="s">
        <v>19</v>
      </c>
      <c r="E725" s="23">
        <v>18774</v>
      </c>
      <c r="F725" s="36">
        <v>39630</v>
      </c>
      <c r="G725" s="16">
        <v>165001000</v>
      </c>
      <c r="H725" t="s">
        <v>198</v>
      </c>
      <c r="I725" t="s">
        <v>644</v>
      </c>
      <c r="J725" s="64">
        <v>1212</v>
      </c>
    </row>
    <row r="726" spans="1:10" x14ac:dyDescent="0.25">
      <c r="A726" s="68">
        <v>2467</v>
      </c>
      <c r="B726" s="23" t="s">
        <v>6</v>
      </c>
      <c r="C726" s="23" t="s">
        <v>7</v>
      </c>
      <c r="D726" s="23" t="s">
        <v>14</v>
      </c>
      <c r="F726" s="36">
        <v>41813</v>
      </c>
      <c r="G726" s="16">
        <v>1720001000</v>
      </c>
      <c r="H726" t="s">
        <v>408</v>
      </c>
      <c r="I726" t="s">
        <v>644</v>
      </c>
      <c r="J726" s="64">
        <v>1212</v>
      </c>
    </row>
    <row r="727" spans="1:10" x14ac:dyDescent="0.25">
      <c r="A727" s="68">
        <v>2468</v>
      </c>
      <c r="B727" s="23" t="s">
        <v>6</v>
      </c>
      <c r="C727" s="23" t="s">
        <v>7</v>
      </c>
      <c r="D727" s="23" t="s">
        <v>8</v>
      </c>
      <c r="E727" s="23">
        <v>204</v>
      </c>
      <c r="F727" s="36">
        <v>42023</v>
      </c>
      <c r="G727" s="16">
        <v>3370014000</v>
      </c>
      <c r="H727" t="s">
        <v>397</v>
      </c>
      <c r="I727" t="s">
        <v>644</v>
      </c>
      <c r="J727" s="64">
        <v>1212</v>
      </c>
    </row>
    <row r="728" spans="1:10" x14ac:dyDescent="0.25">
      <c r="A728" s="68">
        <v>2473</v>
      </c>
      <c r="B728" s="23" t="s">
        <v>6</v>
      </c>
      <c r="C728" s="23" t="s">
        <v>7</v>
      </c>
      <c r="F728" s="36">
        <v>40515</v>
      </c>
      <c r="G728" s="16">
        <v>2558002000</v>
      </c>
      <c r="H728" t="s">
        <v>195</v>
      </c>
      <c r="I728" t="s">
        <v>644</v>
      </c>
      <c r="J728" s="64">
        <v>1212</v>
      </c>
    </row>
    <row r="729" spans="1:10" x14ac:dyDescent="0.25">
      <c r="A729" s="68">
        <v>2478</v>
      </c>
      <c r="B729" s="23" t="s">
        <v>6</v>
      </c>
      <c r="C729" s="23" t="s">
        <v>7</v>
      </c>
      <c r="D729" s="23" t="s">
        <v>49</v>
      </c>
      <c r="E729" s="23">
        <v>15843</v>
      </c>
      <c r="F729" s="36">
        <v>39946</v>
      </c>
      <c r="G729" s="16">
        <v>2889002000</v>
      </c>
      <c r="H729" t="s">
        <v>453</v>
      </c>
      <c r="I729" t="s">
        <v>644</v>
      </c>
      <c r="J729" s="64">
        <v>1135</v>
      </c>
    </row>
    <row r="730" spans="1:10" x14ac:dyDescent="0.25">
      <c r="A730" s="68">
        <v>2490</v>
      </c>
      <c r="B730" s="23" t="s">
        <v>401</v>
      </c>
      <c r="C730" s="23" t="s">
        <v>75</v>
      </c>
      <c r="D730" s="23" t="s">
        <v>19</v>
      </c>
      <c r="F730" s="36">
        <v>40010</v>
      </c>
      <c r="G730" s="16">
        <v>2905001000</v>
      </c>
      <c r="H730" t="s">
        <v>327</v>
      </c>
      <c r="I730" t="s">
        <v>644</v>
      </c>
      <c r="J730">
        <v>24</v>
      </c>
    </row>
    <row r="731" spans="1:10" ht="15.75" x14ac:dyDescent="0.25">
      <c r="A731" s="68">
        <v>2495</v>
      </c>
      <c r="B731" s="23" t="s">
        <v>10</v>
      </c>
      <c r="C731" s="23" t="s">
        <v>7</v>
      </c>
      <c r="D731" s="23" t="s">
        <v>20</v>
      </c>
      <c r="E731" s="23">
        <v>8150</v>
      </c>
      <c r="F731" s="36">
        <v>40032</v>
      </c>
      <c r="G731" s="16">
        <v>2126001000</v>
      </c>
      <c r="H731" t="s">
        <v>180</v>
      </c>
      <c r="I731" t="s">
        <v>644</v>
      </c>
      <c r="J731" s="65">
        <v>461</v>
      </c>
    </row>
    <row r="732" spans="1:10" x14ac:dyDescent="0.25">
      <c r="A732" s="68">
        <v>2503</v>
      </c>
      <c r="B732" s="23" t="s">
        <v>34</v>
      </c>
      <c r="C732" s="23" t="s">
        <v>7</v>
      </c>
      <c r="D732" s="23" t="s">
        <v>11</v>
      </c>
      <c r="E732" s="23">
        <v>679</v>
      </c>
      <c r="F732" s="36">
        <v>40087</v>
      </c>
      <c r="G732" s="16">
        <v>1022000</v>
      </c>
      <c r="H732" t="s">
        <v>320</v>
      </c>
      <c r="J732" s="64">
        <v>309.5</v>
      </c>
    </row>
    <row r="733" spans="1:10" x14ac:dyDescent="0.25">
      <c r="A733" s="68">
        <v>2504</v>
      </c>
      <c r="B733" s="23" t="s">
        <v>15</v>
      </c>
      <c r="C733" s="23" t="s">
        <v>137</v>
      </c>
      <c r="D733" s="23" t="s">
        <v>138</v>
      </c>
      <c r="E733" s="23">
        <v>506010</v>
      </c>
      <c r="F733" s="36">
        <v>40091</v>
      </c>
      <c r="G733" s="16">
        <v>1720001000</v>
      </c>
      <c r="H733" t="s">
        <v>408</v>
      </c>
      <c r="I733" t="s">
        <v>644</v>
      </c>
      <c r="J733" s="61">
        <v>3600</v>
      </c>
    </row>
    <row r="734" spans="1:10" ht="15.75" x14ac:dyDescent="0.25">
      <c r="A734" s="68">
        <v>2510</v>
      </c>
      <c r="B734" s="23" t="s">
        <v>10</v>
      </c>
      <c r="C734" s="23" t="s">
        <v>7</v>
      </c>
      <c r="D734" s="23" t="s">
        <v>20</v>
      </c>
      <c r="E734" s="23">
        <v>7948</v>
      </c>
      <c r="F734" s="36">
        <v>40163</v>
      </c>
      <c r="G734" s="16">
        <v>1014001</v>
      </c>
      <c r="H734" t="s">
        <v>163</v>
      </c>
      <c r="J734" s="65">
        <v>461</v>
      </c>
    </row>
    <row r="735" spans="1:10" x14ac:dyDescent="0.25">
      <c r="A735" s="68">
        <v>2516</v>
      </c>
      <c r="B735" s="23" t="s">
        <v>100</v>
      </c>
      <c r="C735" s="23" t="s">
        <v>126</v>
      </c>
      <c r="D735" s="23" t="s">
        <v>446</v>
      </c>
      <c r="F735" s="36">
        <v>40200</v>
      </c>
      <c r="G735" s="16">
        <v>165008000</v>
      </c>
      <c r="H735" t="s">
        <v>203</v>
      </c>
      <c r="I735" t="s">
        <v>644</v>
      </c>
      <c r="J735" s="64">
        <f>1118.55+919</f>
        <v>2037.55</v>
      </c>
    </row>
    <row r="736" spans="1:10" x14ac:dyDescent="0.25">
      <c r="A736" s="68">
        <v>2518</v>
      </c>
      <c r="B736" s="23" t="s">
        <v>401</v>
      </c>
      <c r="C736" s="23" t="s">
        <v>454</v>
      </c>
      <c r="D736" s="23" t="s">
        <v>455</v>
      </c>
      <c r="E736" s="23">
        <v>17250919110</v>
      </c>
      <c r="F736" s="36">
        <v>40206</v>
      </c>
      <c r="G736" s="16">
        <v>3135001000</v>
      </c>
      <c r="H736" t="s">
        <v>171</v>
      </c>
      <c r="I736" t="s">
        <v>644</v>
      </c>
      <c r="J736" s="40">
        <v>24</v>
      </c>
    </row>
    <row r="737" spans="1:10" x14ac:dyDescent="0.25">
      <c r="A737" s="68">
        <v>2525</v>
      </c>
      <c r="B737" s="23" t="s">
        <v>50</v>
      </c>
      <c r="C737" s="23" t="s">
        <v>51</v>
      </c>
      <c r="D737" s="23" t="s">
        <v>19</v>
      </c>
      <c r="E737" s="23">
        <v>2009050248</v>
      </c>
      <c r="F737" s="36">
        <v>40231</v>
      </c>
      <c r="G737" s="16">
        <v>1652002001</v>
      </c>
      <c r="H737" t="s">
        <v>294</v>
      </c>
      <c r="I737" t="s">
        <v>644</v>
      </c>
      <c r="J737" s="64">
        <v>859</v>
      </c>
    </row>
    <row r="738" spans="1:10" x14ac:dyDescent="0.25">
      <c r="A738" s="68">
        <v>2529</v>
      </c>
      <c r="B738" s="23" t="s">
        <v>6</v>
      </c>
      <c r="C738" s="23" t="s">
        <v>7</v>
      </c>
      <c r="D738" s="23" t="s">
        <v>35</v>
      </c>
      <c r="E738" s="23">
        <v>3249</v>
      </c>
      <c r="F738" s="36">
        <v>40256</v>
      </c>
      <c r="G738" s="16">
        <v>2548050000</v>
      </c>
      <c r="H738" t="s">
        <v>426</v>
      </c>
      <c r="I738" t="s">
        <v>644</v>
      </c>
      <c r="J738" s="64">
        <v>1000</v>
      </c>
    </row>
    <row r="739" spans="1:10" x14ac:dyDescent="0.25">
      <c r="A739" s="68">
        <v>2530</v>
      </c>
      <c r="B739" s="23" t="s">
        <v>6</v>
      </c>
      <c r="C739" s="23" t="s">
        <v>7</v>
      </c>
      <c r="D739" s="23" t="s">
        <v>35</v>
      </c>
      <c r="E739" s="23">
        <v>3223</v>
      </c>
      <c r="F739" s="36">
        <v>40256</v>
      </c>
      <c r="G739" s="16">
        <v>2889001000</v>
      </c>
      <c r="H739" t="s">
        <v>406</v>
      </c>
      <c r="I739" t="s">
        <v>644</v>
      </c>
      <c r="J739" s="64">
        <v>1000</v>
      </c>
    </row>
    <row r="740" spans="1:10" x14ac:dyDescent="0.25">
      <c r="A740" s="68">
        <v>2531</v>
      </c>
      <c r="B740" s="23" t="s">
        <v>6</v>
      </c>
      <c r="C740" s="23" t="s">
        <v>7</v>
      </c>
      <c r="D740" s="23" t="s">
        <v>35</v>
      </c>
      <c r="E740" s="23">
        <v>3250</v>
      </c>
      <c r="F740" s="36">
        <v>40256</v>
      </c>
      <c r="G740" s="16">
        <v>66011000</v>
      </c>
      <c r="H740" t="s">
        <v>166</v>
      </c>
      <c r="I740" t="s">
        <v>644</v>
      </c>
      <c r="J740" s="64">
        <v>1000</v>
      </c>
    </row>
    <row r="741" spans="1:10" x14ac:dyDescent="0.25">
      <c r="A741" s="68">
        <v>2535</v>
      </c>
      <c r="B741" s="23" t="s">
        <v>6</v>
      </c>
      <c r="C741" s="23" t="s">
        <v>7</v>
      </c>
      <c r="D741" s="23" t="s">
        <v>35</v>
      </c>
      <c r="E741" s="23">
        <v>3390</v>
      </c>
      <c r="F741" s="36">
        <v>40312</v>
      </c>
      <c r="G741" s="16">
        <v>165001000</v>
      </c>
      <c r="H741" t="s">
        <v>198</v>
      </c>
      <c r="I741" t="s">
        <v>644</v>
      </c>
      <c r="J741" s="64">
        <v>1000</v>
      </c>
    </row>
    <row r="742" spans="1:10" x14ac:dyDescent="0.25">
      <c r="A742" s="68">
        <v>2540</v>
      </c>
      <c r="B742" s="23" t="s">
        <v>15</v>
      </c>
      <c r="C742" s="23" t="s">
        <v>57</v>
      </c>
      <c r="D742" s="23" t="s">
        <v>86</v>
      </c>
      <c r="E742" s="23">
        <v>301002201</v>
      </c>
      <c r="F742" s="36">
        <v>40333</v>
      </c>
      <c r="G742" s="16">
        <v>1014002</v>
      </c>
      <c r="H742" t="s">
        <v>191</v>
      </c>
      <c r="J742" s="61">
        <v>3600</v>
      </c>
    </row>
    <row r="743" spans="1:10" x14ac:dyDescent="0.25">
      <c r="A743" s="68">
        <v>2555</v>
      </c>
      <c r="B743" s="23" t="s">
        <v>50</v>
      </c>
      <c r="C743" s="23" t="s">
        <v>51</v>
      </c>
      <c r="D743" s="23" t="s">
        <v>19</v>
      </c>
      <c r="F743" s="36">
        <v>40451</v>
      </c>
      <c r="G743" s="16">
        <v>3288001000</v>
      </c>
      <c r="H743" t="s">
        <v>183</v>
      </c>
      <c r="I743" t="s">
        <v>644</v>
      </c>
      <c r="J743" s="64">
        <v>859</v>
      </c>
    </row>
    <row r="744" spans="1:10" x14ac:dyDescent="0.25">
      <c r="A744" s="68">
        <v>2565</v>
      </c>
      <c r="B744" s="23" t="s">
        <v>6</v>
      </c>
      <c r="C744" s="23" t="s">
        <v>51</v>
      </c>
      <c r="D744" s="23" t="s">
        <v>19</v>
      </c>
      <c r="F744" s="36">
        <v>40480</v>
      </c>
      <c r="G744" s="16">
        <v>66011000</v>
      </c>
      <c r="H744" t="s">
        <v>166</v>
      </c>
      <c r="I744" t="s">
        <v>644</v>
      </c>
      <c r="J744" s="64">
        <v>859</v>
      </c>
    </row>
    <row r="745" spans="1:10" x14ac:dyDescent="0.25">
      <c r="A745" s="68">
        <v>2566</v>
      </c>
      <c r="B745" s="23" t="s">
        <v>22</v>
      </c>
      <c r="C745" s="23" t="s">
        <v>40</v>
      </c>
      <c r="D745" s="23">
        <v>2000</v>
      </c>
      <c r="E745" s="23">
        <v>9280</v>
      </c>
      <c r="F745" s="36">
        <v>40480</v>
      </c>
      <c r="G745" s="16">
        <v>1550001000</v>
      </c>
      <c r="H745" t="s">
        <v>304</v>
      </c>
      <c r="I745" t="s">
        <v>644</v>
      </c>
      <c r="J745" s="64">
        <v>939.5</v>
      </c>
    </row>
    <row r="746" spans="1:10" x14ac:dyDescent="0.25">
      <c r="A746" s="68">
        <v>2591</v>
      </c>
      <c r="B746" s="23" t="s">
        <v>100</v>
      </c>
      <c r="C746" s="23" t="s">
        <v>126</v>
      </c>
      <c r="D746" s="23" t="s">
        <v>446</v>
      </c>
      <c r="E746" s="23">
        <v>2066</v>
      </c>
      <c r="F746" s="36">
        <v>40631</v>
      </c>
      <c r="G746" s="16">
        <v>2548092000</v>
      </c>
      <c r="H746" t="s">
        <v>331</v>
      </c>
      <c r="I746" t="s">
        <v>644</v>
      </c>
      <c r="J746" s="64">
        <f>1118.55+919</f>
        <v>2037.55</v>
      </c>
    </row>
    <row r="747" spans="1:10" x14ac:dyDescent="0.25">
      <c r="A747" s="68">
        <v>2592</v>
      </c>
      <c r="B747" s="23" t="s">
        <v>100</v>
      </c>
      <c r="C747" s="23" t="s">
        <v>126</v>
      </c>
      <c r="D747" s="23" t="s">
        <v>446</v>
      </c>
      <c r="E747" s="23">
        <v>2067</v>
      </c>
      <c r="F747" s="36">
        <v>40631</v>
      </c>
      <c r="G747" s="16">
        <v>2514001000</v>
      </c>
      <c r="H747" t="s">
        <v>289</v>
      </c>
      <c r="I747" t="s">
        <v>644</v>
      </c>
      <c r="J747" s="64">
        <f>1118.55+919</f>
        <v>2037.55</v>
      </c>
    </row>
    <row r="748" spans="1:10" x14ac:dyDescent="0.25">
      <c r="A748" s="68">
        <v>2593</v>
      </c>
      <c r="B748" s="23" t="s">
        <v>10</v>
      </c>
      <c r="C748" s="23" t="s">
        <v>7</v>
      </c>
      <c r="D748" s="23" t="s">
        <v>11</v>
      </c>
      <c r="E748" s="23">
        <v>31688</v>
      </c>
      <c r="F748" s="36">
        <v>40631</v>
      </c>
      <c r="G748" s="16">
        <v>165001000</v>
      </c>
      <c r="H748" t="s">
        <v>198</v>
      </c>
      <c r="I748" t="s">
        <v>644</v>
      </c>
      <c r="J748" s="64">
        <v>309.5</v>
      </c>
    </row>
    <row r="749" spans="1:10" x14ac:dyDescent="0.25">
      <c r="A749" s="68">
        <v>2596</v>
      </c>
      <c r="B749" s="23" t="s">
        <v>34</v>
      </c>
      <c r="C749" s="23" t="s">
        <v>7</v>
      </c>
      <c r="D749" s="23" t="s">
        <v>11</v>
      </c>
      <c r="E749" s="23">
        <v>31551</v>
      </c>
      <c r="F749" s="36">
        <v>40631</v>
      </c>
      <c r="G749" s="16">
        <v>1685002000</v>
      </c>
      <c r="H749" t="s">
        <v>456</v>
      </c>
      <c r="I749" t="s">
        <v>644</v>
      </c>
      <c r="J749" s="64">
        <v>309.5</v>
      </c>
    </row>
    <row r="750" spans="1:10" x14ac:dyDescent="0.25">
      <c r="A750" s="68">
        <v>2597</v>
      </c>
      <c r="B750" s="23" t="s">
        <v>10</v>
      </c>
      <c r="C750" s="23" t="s">
        <v>7</v>
      </c>
      <c r="D750" s="23" t="s">
        <v>11</v>
      </c>
      <c r="E750" s="23">
        <v>31632</v>
      </c>
      <c r="F750" s="36">
        <v>40631</v>
      </c>
      <c r="G750" s="16">
        <v>3265001000</v>
      </c>
      <c r="H750" t="s">
        <v>245</v>
      </c>
      <c r="I750" t="s">
        <v>644</v>
      </c>
      <c r="J750" s="64">
        <v>309.5</v>
      </c>
    </row>
    <row r="751" spans="1:10" x14ac:dyDescent="0.25">
      <c r="A751" s="68">
        <v>2598</v>
      </c>
      <c r="B751" s="23" t="s">
        <v>6</v>
      </c>
      <c r="C751" s="23" t="s">
        <v>7</v>
      </c>
      <c r="D751" s="23" t="s">
        <v>46</v>
      </c>
      <c r="E751" s="23">
        <v>5514</v>
      </c>
      <c r="F751" s="36">
        <v>40631</v>
      </c>
      <c r="G751" s="16">
        <v>165008000</v>
      </c>
      <c r="H751" t="s">
        <v>203</v>
      </c>
      <c r="I751" t="s">
        <v>644</v>
      </c>
      <c r="J751" s="64">
        <v>882.5</v>
      </c>
    </row>
    <row r="752" spans="1:10" x14ac:dyDescent="0.25">
      <c r="A752" s="68">
        <v>2600</v>
      </c>
      <c r="B752" s="23" t="s">
        <v>6</v>
      </c>
      <c r="C752" s="23" t="s">
        <v>7</v>
      </c>
      <c r="D752" s="23" t="s">
        <v>46</v>
      </c>
      <c r="E752" s="23">
        <v>5516</v>
      </c>
      <c r="F752" s="36">
        <v>40631</v>
      </c>
      <c r="G752" s="16">
        <v>3319001000</v>
      </c>
      <c r="H752" t="s">
        <v>394</v>
      </c>
      <c r="I752" t="s">
        <v>644</v>
      </c>
      <c r="J752" s="64">
        <v>882.5</v>
      </c>
    </row>
    <row r="753" spans="1:10" x14ac:dyDescent="0.25">
      <c r="A753" s="68">
        <v>2602</v>
      </c>
      <c r="B753" s="23" t="s">
        <v>6</v>
      </c>
      <c r="C753" s="23" t="s">
        <v>7</v>
      </c>
      <c r="D753" s="23" t="s">
        <v>46</v>
      </c>
      <c r="E753" s="23">
        <v>5518</v>
      </c>
      <c r="F753" s="36">
        <v>40631</v>
      </c>
      <c r="G753" s="16">
        <v>2994001000</v>
      </c>
      <c r="H753" t="s">
        <v>284</v>
      </c>
      <c r="I753" t="s">
        <v>644</v>
      </c>
      <c r="J753" s="64">
        <v>882.5</v>
      </c>
    </row>
    <row r="754" spans="1:10" x14ac:dyDescent="0.25">
      <c r="A754" s="68">
        <v>2603</v>
      </c>
      <c r="B754" s="23" t="s">
        <v>6</v>
      </c>
      <c r="C754" s="23" t="s">
        <v>7</v>
      </c>
      <c r="D754" s="23" t="s">
        <v>46</v>
      </c>
      <c r="E754" s="23">
        <v>5520</v>
      </c>
      <c r="F754" s="36">
        <v>40631</v>
      </c>
      <c r="G754" s="16">
        <v>1068015000</v>
      </c>
      <c r="H754" t="s">
        <v>457</v>
      </c>
      <c r="I754" t="s">
        <v>644</v>
      </c>
      <c r="J754" s="64">
        <v>882.5</v>
      </c>
    </row>
    <row r="755" spans="1:10" x14ac:dyDescent="0.25">
      <c r="A755" s="68">
        <v>2604</v>
      </c>
      <c r="B755" s="23" t="s">
        <v>6</v>
      </c>
      <c r="C755" s="23" t="s">
        <v>7</v>
      </c>
      <c r="D755" s="23" t="s">
        <v>46</v>
      </c>
      <c r="E755" s="23">
        <v>5522</v>
      </c>
      <c r="F755" s="36">
        <v>40631</v>
      </c>
      <c r="G755" s="16">
        <v>1967012000</v>
      </c>
      <c r="H755" t="s">
        <v>273</v>
      </c>
      <c r="I755" t="s">
        <v>644</v>
      </c>
      <c r="J755" s="64">
        <v>882.5</v>
      </c>
    </row>
    <row r="756" spans="1:10" x14ac:dyDescent="0.25">
      <c r="A756" s="68">
        <v>2606</v>
      </c>
      <c r="B756" s="23" t="s">
        <v>6</v>
      </c>
      <c r="C756" s="23" t="s">
        <v>7</v>
      </c>
      <c r="D756" s="23" t="s">
        <v>46</v>
      </c>
      <c r="E756" s="23">
        <v>5525</v>
      </c>
      <c r="F756" s="36">
        <v>40631</v>
      </c>
      <c r="G756" s="16">
        <v>2126003000</v>
      </c>
      <c r="H756" t="s">
        <v>365</v>
      </c>
      <c r="I756" t="s">
        <v>644</v>
      </c>
      <c r="J756" s="64">
        <v>882.5</v>
      </c>
    </row>
    <row r="757" spans="1:10" x14ac:dyDescent="0.25">
      <c r="A757" s="68">
        <v>2608</v>
      </c>
      <c r="B757" s="23" t="s">
        <v>10</v>
      </c>
      <c r="C757" s="23" t="s">
        <v>71</v>
      </c>
      <c r="D757" s="23" t="s">
        <v>19</v>
      </c>
      <c r="F757" s="36">
        <v>40631</v>
      </c>
      <c r="G757" s="16">
        <v>3317001000</v>
      </c>
      <c r="H757" t="s">
        <v>262</v>
      </c>
      <c r="I757" t="s">
        <v>644</v>
      </c>
      <c r="J757" s="61"/>
    </row>
    <row r="758" spans="1:10" x14ac:dyDescent="0.25">
      <c r="A758" s="68">
        <v>2610</v>
      </c>
      <c r="B758" s="23" t="s">
        <v>10</v>
      </c>
      <c r="C758" s="23" t="s">
        <v>71</v>
      </c>
      <c r="D758" s="23" t="s">
        <v>19</v>
      </c>
      <c r="F758" s="36">
        <v>40631</v>
      </c>
      <c r="G758" s="16">
        <v>1014001</v>
      </c>
      <c r="H758" t="s">
        <v>163</v>
      </c>
      <c r="J758" s="61"/>
    </row>
    <row r="759" spans="1:10" x14ac:dyDescent="0.25">
      <c r="A759" s="68">
        <v>2611</v>
      </c>
      <c r="B759" s="23" t="s">
        <v>10</v>
      </c>
      <c r="C759" s="23" t="s">
        <v>71</v>
      </c>
      <c r="D759" s="23" t="s">
        <v>19</v>
      </c>
      <c r="F759" s="36">
        <v>40631</v>
      </c>
      <c r="G759" s="16">
        <v>1652002001</v>
      </c>
      <c r="H759" t="s">
        <v>294</v>
      </c>
      <c r="I759" t="s">
        <v>644</v>
      </c>
      <c r="J759" s="61"/>
    </row>
    <row r="760" spans="1:10" x14ac:dyDescent="0.25">
      <c r="A760" s="68">
        <v>2612</v>
      </c>
      <c r="B760" s="23" t="s">
        <v>10</v>
      </c>
      <c r="C760" s="23" t="s">
        <v>71</v>
      </c>
      <c r="D760" s="23" t="s">
        <v>19</v>
      </c>
      <c r="F760" s="36">
        <v>40631</v>
      </c>
      <c r="G760" s="16">
        <v>1023006</v>
      </c>
      <c r="H760" t="s">
        <v>360</v>
      </c>
      <c r="J760" s="61"/>
    </row>
    <row r="761" spans="1:10" x14ac:dyDescent="0.25">
      <c r="A761" s="68">
        <v>2613</v>
      </c>
      <c r="B761" s="23" t="s">
        <v>50</v>
      </c>
      <c r="C761" s="23" t="s">
        <v>458</v>
      </c>
      <c r="D761" s="23" t="s">
        <v>459</v>
      </c>
      <c r="E761" s="23">
        <v>2393</v>
      </c>
      <c r="F761" s="36">
        <v>40631</v>
      </c>
      <c r="G761" s="16">
        <v>3265001000</v>
      </c>
      <c r="H761" t="s">
        <v>245</v>
      </c>
      <c r="I761" t="s">
        <v>644</v>
      </c>
      <c r="J761" s="61"/>
    </row>
    <row r="762" spans="1:10" x14ac:dyDescent="0.25">
      <c r="A762" s="68">
        <v>2614</v>
      </c>
      <c r="B762" s="23" t="s">
        <v>50</v>
      </c>
      <c r="C762" s="23" t="s">
        <v>458</v>
      </c>
      <c r="D762" s="23" t="s">
        <v>459</v>
      </c>
      <c r="E762" s="23">
        <v>2356</v>
      </c>
      <c r="F762" s="36">
        <v>40631</v>
      </c>
      <c r="G762" s="16">
        <v>1014002</v>
      </c>
      <c r="H762" t="s">
        <v>191</v>
      </c>
      <c r="J762" s="61"/>
    </row>
    <row r="763" spans="1:10" x14ac:dyDescent="0.25">
      <c r="A763" s="68">
        <v>2620</v>
      </c>
      <c r="B763" s="23" t="s">
        <v>6</v>
      </c>
      <c r="C763" s="23" t="s">
        <v>28</v>
      </c>
      <c r="D763" s="23" t="s">
        <v>29</v>
      </c>
      <c r="E763" s="23">
        <v>3827</v>
      </c>
      <c r="F763" s="36">
        <v>40675</v>
      </c>
      <c r="G763" s="16">
        <v>3212001000</v>
      </c>
      <c r="H763" t="s">
        <v>278</v>
      </c>
      <c r="I763" t="s">
        <v>644</v>
      </c>
      <c r="J763" s="64">
        <v>1000</v>
      </c>
    </row>
    <row r="764" spans="1:10" x14ac:dyDescent="0.25">
      <c r="A764" s="68">
        <v>2621</v>
      </c>
      <c r="B764" s="23" t="s">
        <v>6</v>
      </c>
      <c r="C764" s="23" t="s">
        <v>28</v>
      </c>
      <c r="D764" s="23" t="s">
        <v>29</v>
      </c>
      <c r="E764" s="23">
        <v>3833</v>
      </c>
      <c r="F764" s="36">
        <v>40675</v>
      </c>
      <c r="G764" s="16">
        <v>1068016000</v>
      </c>
      <c r="H764" t="s">
        <v>260</v>
      </c>
      <c r="I764" t="s">
        <v>644</v>
      </c>
      <c r="J764" s="64">
        <v>1000</v>
      </c>
    </row>
    <row r="765" spans="1:10" x14ac:dyDescent="0.25">
      <c r="A765" s="68">
        <v>2622</v>
      </c>
      <c r="B765" s="23" t="s">
        <v>6</v>
      </c>
      <c r="C765" s="23" t="s">
        <v>28</v>
      </c>
      <c r="D765" s="23" t="s">
        <v>29</v>
      </c>
      <c r="E765" s="23">
        <v>3834</v>
      </c>
      <c r="F765" s="36">
        <v>40675</v>
      </c>
      <c r="G765" s="16">
        <v>2886003000</v>
      </c>
      <c r="H765" t="s">
        <v>179</v>
      </c>
      <c r="I765" t="s">
        <v>644</v>
      </c>
      <c r="J765" s="64">
        <v>1000</v>
      </c>
    </row>
    <row r="766" spans="1:10" x14ac:dyDescent="0.25">
      <c r="A766" s="68">
        <v>2623</v>
      </c>
      <c r="B766" s="23" t="s">
        <v>6</v>
      </c>
      <c r="C766" s="23" t="s">
        <v>28</v>
      </c>
      <c r="D766" s="23" t="s">
        <v>29</v>
      </c>
      <c r="E766" s="23">
        <v>3855</v>
      </c>
      <c r="F766" s="36">
        <v>40675</v>
      </c>
      <c r="G766" s="16">
        <v>2514001000</v>
      </c>
      <c r="H766" t="s">
        <v>289</v>
      </c>
      <c r="I766" t="s">
        <v>644</v>
      </c>
      <c r="J766" s="64">
        <v>1000</v>
      </c>
    </row>
    <row r="767" spans="1:10" x14ac:dyDescent="0.25">
      <c r="A767" s="68">
        <v>2624</v>
      </c>
      <c r="B767" s="23" t="s">
        <v>6</v>
      </c>
      <c r="C767" s="23" t="s">
        <v>28</v>
      </c>
      <c r="D767" s="23" t="s">
        <v>29</v>
      </c>
      <c r="E767" s="23">
        <v>3858</v>
      </c>
      <c r="F767" s="36">
        <v>40675</v>
      </c>
      <c r="G767" s="16">
        <v>2044029000</v>
      </c>
      <c r="H767" t="s">
        <v>460</v>
      </c>
      <c r="I767" t="s">
        <v>644</v>
      </c>
      <c r="J767" s="64">
        <v>1000</v>
      </c>
    </row>
    <row r="768" spans="1:10" x14ac:dyDescent="0.25">
      <c r="A768" s="68">
        <v>2625</v>
      </c>
      <c r="B768" s="23" t="s">
        <v>6</v>
      </c>
      <c r="C768" s="23" t="s">
        <v>28</v>
      </c>
      <c r="D768" s="23" t="s">
        <v>29</v>
      </c>
      <c r="E768" s="23">
        <v>3899</v>
      </c>
      <c r="F768" s="36">
        <v>40675</v>
      </c>
      <c r="G768" s="16">
        <v>66011000</v>
      </c>
      <c r="H768" t="s">
        <v>166</v>
      </c>
      <c r="I768" t="s">
        <v>644</v>
      </c>
      <c r="J768" s="64">
        <v>1000</v>
      </c>
    </row>
    <row r="769" spans="1:10" x14ac:dyDescent="0.25">
      <c r="A769" s="68">
        <v>2626</v>
      </c>
      <c r="B769" s="23" t="s">
        <v>6</v>
      </c>
      <c r="C769" s="23" t="s">
        <v>28</v>
      </c>
      <c r="D769" s="23" t="s">
        <v>29</v>
      </c>
      <c r="E769" s="23">
        <v>3824</v>
      </c>
      <c r="F769" s="36">
        <v>40675</v>
      </c>
      <c r="G769" s="16">
        <v>2995001000</v>
      </c>
      <c r="H769" t="s">
        <v>281</v>
      </c>
      <c r="I769" t="s">
        <v>644</v>
      </c>
      <c r="J769" s="64">
        <v>1000</v>
      </c>
    </row>
    <row r="770" spans="1:10" x14ac:dyDescent="0.25">
      <c r="A770" s="68">
        <v>2627</v>
      </c>
      <c r="B770" s="23" t="s">
        <v>6</v>
      </c>
      <c r="C770" s="23" t="s">
        <v>28</v>
      </c>
      <c r="D770" s="23" t="s">
        <v>29</v>
      </c>
      <c r="E770" s="23">
        <v>3893</v>
      </c>
      <c r="F770" s="36">
        <v>40675</v>
      </c>
      <c r="G770" s="16">
        <v>165001000</v>
      </c>
      <c r="H770" t="s">
        <v>198</v>
      </c>
      <c r="I770" t="s">
        <v>644</v>
      </c>
      <c r="J770" s="64">
        <v>1000</v>
      </c>
    </row>
    <row r="771" spans="1:10" x14ac:dyDescent="0.25">
      <c r="A771" s="68">
        <v>2628</v>
      </c>
      <c r="B771" s="23" t="s">
        <v>6</v>
      </c>
      <c r="C771" s="23" t="s">
        <v>28</v>
      </c>
      <c r="D771" s="23" t="s">
        <v>29</v>
      </c>
      <c r="E771" s="23">
        <v>3889</v>
      </c>
      <c r="F771" s="36">
        <v>40675</v>
      </c>
      <c r="G771" s="16">
        <v>1652002001</v>
      </c>
      <c r="H771" t="s">
        <v>294</v>
      </c>
      <c r="I771" t="s">
        <v>644</v>
      </c>
      <c r="J771" s="64">
        <v>1000</v>
      </c>
    </row>
    <row r="772" spans="1:10" x14ac:dyDescent="0.25">
      <c r="A772" s="68">
        <v>2630</v>
      </c>
      <c r="B772" s="23" t="s">
        <v>6</v>
      </c>
      <c r="C772" s="23" t="s">
        <v>28</v>
      </c>
      <c r="D772" s="23" t="s">
        <v>29</v>
      </c>
      <c r="E772" s="23">
        <v>3965</v>
      </c>
      <c r="F772" s="36">
        <v>40675</v>
      </c>
      <c r="G772" s="16">
        <v>165001000</v>
      </c>
      <c r="H772" t="s">
        <v>198</v>
      </c>
      <c r="I772" t="s">
        <v>644</v>
      </c>
      <c r="J772" s="64">
        <v>1000</v>
      </c>
    </row>
    <row r="773" spans="1:10" x14ac:dyDescent="0.25">
      <c r="A773" s="68">
        <v>2632</v>
      </c>
      <c r="B773" s="23" t="s">
        <v>6</v>
      </c>
      <c r="C773" s="23" t="s">
        <v>28</v>
      </c>
      <c r="D773" s="23" t="s">
        <v>29</v>
      </c>
      <c r="E773" s="23">
        <v>3841</v>
      </c>
      <c r="F773" s="36">
        <v>40675</v>
      </c>
      <c r="G773" s="16">
        <v>165001000</v>
      </c>
      <c r="H773" t="s">
        <v>198</v>
      </c>
      <c r="I773" t="s">
        <v>644</v>
      </c>
      <c r="J773" s="64">
        <v>1000</v>
      </c>
    </row>
    <row r="774" spans="1:10" x14ac:dyDescent="0.25">
      <c r="A774" s="68">
        <v>2633</v>
      </c>
      <c r="B774" s="23" t="s">
        <v>6</v>
      </c>
      <c r="C774" s="23" t="s">
        <v>28</v>
      </c>
      <c r="D774" s="23" t="s">
        <v>29</v>
      </c>
      <c r="E774" s="23">
        <v>3969</v>
      </c>
      <c r="F774" s="36">
        <v>40675</v>
      </c>
      <c r="G774" s="16">
        <v>1165000000</v>
      </c>
      <c r="H774" t="s">
        <v>184</v>
      </c>
      <c r="I774" t="s">
        <v>644</v>
      </c>
      <c r="J774" s="64">
        <v>1000</v>
      </c>
    </row>
    <row r="775" spans="1:10" x14ac:dyDescent="0.25">
      <c r="A775" s="68">
        <v>2634</v>
      </c>
      <c r="B775" s="23" t="s">
        <v>6</v>
      </c>
      <c r="C775" s="23" t="s">
        <v>28</v>
      </c>
      <c r="D775" s="23" t="s">
        <v>29</v>
      </c>
      <c r="E775" s="23">
        <v>3740</v>
      </c>
      <c r="F775" s="36">
        <v>40675</v>
      </c>
      <c r="G775" s="16">
        <v>2798001000</v>
      </c>
      <c r="H775" t="s">
        <v>181</v>
      </c>
      <c r="I775" t="s">
        <v>644</v>
      </c>
      <c r="J775" s="64">
        <v>1000</v>
      </c>
    </row>
    <row r="776" spans="1:10" x14ac:dyDescent="0.25">
      <c r="A776" s="68">
        <v>2639</v>
      </c>
      <c r="B776" s="23" t="s">
        <v>401</v>
      </c>
      <c r="C776" s="23" t="s">
        <v>75</v>
      </c>
      <c r="D776" s="23" t="s">
        <v>461</v>
      </c>
      <c r="F776" s="36">
        <v>40729</v>
      </c>
      <c r="G776" s="16">
        <v>66011000</v>
      </c>
      <c r="H776" t="s">
        <v>166</v>
      </c>
      <c r="I776" t="s">
        <v>644</v>
      </c>
      <c r="J776">
        <v>24</v>
      </c>
    </row>
    <row r="777" spans="1:10" x14ac:dyDescent="0.25">
      <c r="A777" s="68">
        <v>2644</v>
      </c>
      <c r="B777" s="23" t="s">
        <v>15</v>
      </c>
      <c r="C777" s="23" t="s">
        <v>462</v>
      </c>
      <c r="D777" s="23" t="s">
        <v>19</v>
      </c>
      <c r="F777" s="36">
        <v>40781</v>
      </c>
      <c r="G777" s="16">
        <v>1009015</v>
      </c>
      <c r="H777" t="s">
        <v>463</v>
      </c>
      <c r="J777" s="61">
        <v>3600</v>
      </c>
    </row>
    <row r="778" spans="1:10" x14ac:dyDescent="0.25">
      <c r="A778" s="68">
        <v>2653</v>
      </c>
      <c r="B778" s="23" t="s">
        <v>50</v>
      </c>
      <c r="C778" s="23" t="s">
        <v>40</v>
      </c>
      <c r="D778" s="23" t="s">
        <v>62</v>
      </c>
      <c r="F778" s="36">
        <v>40893</v>
      </c>
      <c r="G778" s="16">
        <v>1176003000</v>
      </c>
      <c r="H778" t="s">
        <v>445</v>
      </c>
      <c r="I778" t="s">
        <v>644</v>
      </c>
      <c r="J778" s="64">
        <v>2000</v>
      </c>
    </row>
    <row r="779" spans="1:10" x14ac:dyDescent="0.25">
      <c r="A779" s="68">
        <v>2654</v>
      </c>
      <c r="B779" s="23" t="s">
        <v>22</v>
      </c>
      <c r="C779" s="23" t="s">
        <v>40</v>
      </c>
      <c r="D779" s="23" t="s">
        <v>41</v>
      </c>
      <c r="F779" s="36">
        <v>40904</v>
      </c>
      <c r="G779" s="16">
        <v>18001000</v>
      </c>
      <c r="H779" t="s">
        <v>193</v>
      </c>
      <c r="I779" t="s">
        <v>644</v>
      </c>
      <c r="J779" s="64">
        <v>939.5</v>
      </c>
    </row>
    <row r="780" spans="1:10" x14ac:dyDescent="0.25">
      <c r="A780" s="68">
        <v>2655</v>
      </c>
      <c r="B780" s="23" t="s">
        <v>100</v>
      </c>
      <c r="C780" s="23" t="s">
        <v>129</v>
      </c>
      <c r="D780" s="23" t="s">
        <v>464</v>
      </c>
      <c r="F780" s="36">
        <v>40904</v>
      </c>
      <c r="G780" s="16">
        <v>18001000</v>
      </c>
      <c r="H780" t="s">
        <v>193</v>
      </c>
      <c r="I780" t="s">
        <v>644</v>
      </c>
      <c r="J780" s="64">
        <v>1500</v>
      </c>
    </row>
    <row r="781" spans="1:10" x14ac:dyDescent="0.25">
      <c r="A781" s="68">
        <v>2658</v>
      </c>
      <c r="B781" s="23" t="s">
        <v>6</v>
      </c>
      <c r="C781" s="23" t="s">
        <v>28</v>
      </c>
      <c r="D781" s="23" t="s">
        <v>29</v>
      </c>
      <c r="F781" s="36">
        <v>40927</v>
      </c>
      <c r="G781" s="16">
        <v>2514001000</v>
      </c>
      <c r="H781" t="s">
        <v>289</v>
      </c>
      <c r="I781" t="s">
        <v>644</v>
      </c>
      <c r="J781" s="64">
        <v>1000</v>
      </c>
    </row>
    <row r="782" spans="1:10" x14ac:dyDescent="0.25">
      <c r="A782" s="68">
        <v>2659</v>
      </c>
      <c r="B782" s="23" t="s">
        <v>6</v>
      </c>
      <c r="C782" s="23" t="s">
        <v>28</v>
      </c>
      <c r="D782" s="23" t="s">
        <v>29</v>
      </c>
      <c r="F782" s="36">
        <v>40927</v>
      </c>
      <c r="G782" s="16">
        <v>3260001000</v>
      </c>
      <c r="H782" t="s">
        <v>465</v>
      </c>
      <c r="I782" t="s">
        <v>644</v>
      </c>
      <c r="J782" s="64">
        <v>1000</v>
      </c>
    </row>
    <row r="783" spans="1:10" x14ac:dyDescent="0.25">
      <c r="A783" s="68">
        <v>2662</v>
      </c>
      <c r="B783" s="23" t="s">
        <v>6</v>
      </c>
      <c r="C783" s="23" t="s">
        <v>28</v>
      </c>
      <c r="D783" s="23" t="s">
        <v>29</v>
      </c>
      <c r="E783" s="23">
        <v>3810</v>
      </c>
      <c r="F783" s="36">
        <v>40982</v>
      </c>
      <c r="G783" s="16">
        <v>3168001000</v>
      </c>
      <c r="H783" t="s">
        <v>407</v>
      </c>
      <c r="I783" t="s">
        <v>644</v>
      </c>
      <c r="J783" s="64">
        <v>1000</v>
      </c>
    </row>
    <row r="784" spans="1:10" x14ac:dyDescent="0.25">
      <c r="A784" s="68">
        <v>2663</v>
      </c>
      <c r="B784" s="23" t="s">
        <v>50</v>
      </c>
      <c r="C784" s="23" t="s">
        <v>40</v>
      </c>
      <c r="D784" s="23" t="s">
        <v>62</v>
      </c>
      <c r="F784" s="36">
        <v>40984</v>
      </c>
      <c r="G784" s="16">
        <v>66011000</v>
      </c>
      <c r="H784" t="s">
        <v>166</v>
      </c>
      <c r="I784" t="s">
        <v>644</v>
      </c>
      <c r="J784" s="64">
        <v>2000</v>
      </c>
    </row>
    <row r="785" spans="1:10" x14ac:dyDescent="0.25">
      <c r="A785" s="68">
        <v>2664</v>
      </c>
      <c r="B785" s="23" t="s">
        <v>65</v>
      </c>
      <c r="C785" s="23" t="s">
        <v>466</v>
      </c>
      <c r="D785" s="23" t="s">
        <v>19</v>
      </c>
      <c r="F785" s="36">
        <v>41010</v>
      </c>
      <c r="G785" s="16">
        <v>1000003</v>
      </c>
      <c r="H785" t="s">
        <v>248</v>
      </c>
      <c r="J785">
        <v>0</v>
      </c>
    </row>
    <row r="786" spans="1:10" x14ac:dyDescent="0.25">
      <c r="A786" s="68">
        <v>2667</v>
      </c>
      <c r="B786" s="23" t="s">
        <v>400</v>
      </c>
      <c r="C786" s="23" t="s">
        <v>467</v>
      </c>
      <c r="D786" s="23" t="s">
        <v>19</v>
      </c>
      <c r="E786" s="23" t="s">
        <v>468</v>
      </c>
      <c r="F786" s="36">
        <v>41011</v>
      </c>
      <c r="G786" s="16">
        <v>66011000</v>
      </c>
      <c r="H786" t="s">
        <v>166</v>
      </c>
      <c r="I786" t="s">
        <v>644</v>
      </c>
      <c r="J786">
        <v>36</v>
      </c>
    </row>
    <row r="787" spans="1:10" x14ac:dyDescent="0.25">
      <c r="A787" s="68">
        <v>2669</v>
      </c>
      <c r="B787" s="23" t="s">
        <v>34</v>
      </c>
      <c r="C787" s="23" t="s">
        <v>129</v>
      </c>
      <c r="D787" s="23" t="s">
        <v>153</v>
      </c>
      <c r="E787" s="23">
        <v>411</v>
      </c>
      <c r="F787" s="36">
        <v>41037</v>
      </c>
      <c r="G787" s="16">
        <v>2126003000</v>
      </c>
      <c r="H787" t="s">
        <v>365</v>
      </c>
      <c r="I787" t="s">
        <v>644</v>
      </c>
      <c r="J787" s="64">
        <v>1100</v>
      </c>
    </row>
    <row r="788" spans="1:10" x14ac:dyDescent="0.25">
      <c r="A788" s="68">
        <v>2675</v>
      </c>
      <c r="B788" s="23" t="s">
        <v>400</v>
      </c>
      <c r="C788" s="23" t="s">
        <v>469</v>
      </c>
      <c r="D788" s="23" t="s">
        <v>470</v>
      </c>
      <c r="F788" s="36">
        <v>41040</v>
      </c>
      <c r="G788" s="16">
        <v>66011000</v>
      </c>
      <c r="H788" t="s">
        <v>166</v>
      </c>
      <c r="I788" t="s">
        <v>644</v>
      </c>
      <c r="J788">
        <v>36</v>
      </c>
    </row>
    <row r="789" spans="1:10" x14ac:dyDescent="0.25">
      <c r="A789" s="68">
        <v>2678</v>
      </c>
      <c r="B789" s="23" t="s">
        <v>34</v>
      </c>
      <c r="C789" s="23" t="s">
        <v>12</v>
      </c>
      <c r="D789" s="23" t="s">
        <v>19</v>
      </c>
      <c r="F789" s="36">
        <v>41074</v>
      </c>
      <c r="G789" s="16">
        <v>66011000</v>
      </c>
      <c r="H789" t="s">
        <v>166</v>
      </c>
      <c r="I789" t="s">
        <v>644</v>
      </c>
      <c r="J789" s="64">
        <v>1289</v>
      </c>
    </row>
    <row r="790" spans="1:10" x14ac:dyDescent="0.25">
      <c r="A790" s="68">
        <v>2679</v>
      </c>
      <c r="B790" s="23" t="s">
        <v>6</v>
      </c>
      <c r="C790" s="23" t="s">
        <v>28</v>
      </c>
      <c r="D790" s="23" t="s">
        <v>29</v>
      </c>
      <c r="E790" s="23">
        <v>3959</v>
      </c>
      <c r="F790" s="36">
        <v>41079</v>
      </c>
      <c r="G790" s="16">
        <v>2548079000</v>
      </c>
      <c r="H790" t="s">
        <v>471</v>
      </c>
      <c r="I790" t="s">
        <v>644</v>
      </c>
      <c r="J790" s="64">
        <v>1000</v>
      </c>
    </row>
    <row r="791" spans="1:10" x14ac:dyDescent="0.25">
      <c r="A791" s="68">
        <v>2684</v>
      </c>
      <c r="B791" s="23" t="s">
        <v>6</v>
      </c>
      <c r="C791" s="23" t="s">
        <v>28</v>
      </c>
      <c r="D791" s="23" t="s">
        <v>29</v>
      </c>
      <c r="F791" s="36">
        <v>41127</v>
      </c>
      <c r="G791" s="16">
        <v>165001000</v>
      </c>
      <c r="H791" t="s">
        <v>198</v>
      </c>
      <c r="I791" t="s">
        <v>644</v>
      </c>
      <c r="J791" s="64">
        <v>1000</v>
      </c>
    </row>
    <row r="792" spans="1:10" x14ac:dyDescent="0.25">
      <c r="A792" s="68">
        <v>2697</v>
      </c>
      <c r="B792" s="23" t="s">
        <v>15</v>
      </c>
      <c r="C792" s="23" t="s">
        <v>16</v>
      </c>
      <c r="D792" s="23" t="s">
        <v>17</v>
      </c>
      <c r="F792" s="36">
        <v>41137</v>
      </c>
      <c r="G792" s="16">
        <v>3300200000</v>
      </c>
      <c r="H792" t="s">
        <v>399</v>
      </c>
      <c r="I792" t="s">
        <v>644</v>
      </c>
      <c r="J792" s="64">
        <v>3400</v>
      </c>
    </row>
    <row r="793" spans="1:10" x14ac:dyDescent="0.25">
      <c r="A793" s="68">
        <v>2712</v>
      </c>
      <c r="B793" s="23" t="s">
        <v>50</v>
      </c>
      <c r="C793" s="23" t="s">
        <v>40</v>
      </c>
      <c r="D793" s="23" t="s">
        <v>62</v>
      </c>
      <c r="E793" s="23" t="s">
        <v>472</v>
      </c>
      <c r="F793" s="36">
        <v>41254</v>
      </c>
      <c r="G793" s="16">
        <v>1165000000</v>
      </c>
      <c r="H793" t="s">
        <v>184</v>
      </c>
      <c r="I793" t="s">
        <v>644</v>
      </c>
      <c r="J793" s="64">
        <v>2000</v>
      </c>
    </row>
    <row r="794" spans="1:10" x14ac:dyDescent="0.25">
      <c r="A794" s="68">
        <v>2714</v>
      </c>
      <c r="B794" s="23" t="s">
        <v>15</v>
      </c>
      <c r="C794" s="23" t="s">
        <v>16</v>
      </c>
      <c r="D794" s="23" t="s">
        <v>77</v>
      </c>
      <c r="F794" s="36">
        <v>41288</v>
      </c>
      <c r="G794" s="16">
        <v>2126001000</v>
      </c>
      <c r="H794" t="s">
        <v>180</v>
      </c>
      <c r="I794" t="s">
        <v>644</v>
      </c>
      <c r="J794" s="64">
        <v>3400</v>
      </c>
    </row>
    <row r="795" spans="1:10" x14ac:dyDescent="0.25">
      <c r="A795" s="68">
        <v>2716</v>
      </c>
      <c r="B795" s="23" t="s">
        <v>6</v>
      </c>
      <c r="C795" s="23" t="s">
        <v>28</v>
      </c>
      <c r="D795" s="23" t="s">
        <v>35</v>
      </c>
      <c r="E795" s="23">
        <v>3898</v>
      </c>
      <c r="F795" s="36">
        <v>41310</v>
      </c>
      <c r="G795" s="16">
        <v>1817001000</v>
      </c>
      <c r="H795" t="s">
        <v>271</v>
      </c>
      <c r="I795" t="s">
        <v>644</v>
      </c>
      <c r="J795" s="64">
        <v>1000</v>
      </c>
    </row>
    <row r="796" spans="1:10" x14ac:dyDescent="0.25">
      <c r="A796" s="68">
        <v>2717</v>
      </c>
      <c r="B796" s="23" t="s">
        <v>6</v>
      </c>
      <c r="C796" s="23" t="s">
        <v>28</v>
      </c>
      <c r="D796" s="23" t="s">
        <v>29</v>
      </c>
      <c r="E796" s="23">
        <v>3820</v>
      </c>
      <c r="F796" s="36">
        <v>41311</v>
      </c>
      <c r="G796" s="16">
        <v>2916001000</v>
      </c>
      <c r="H796" t="s">
        <v>265</v>
      </c>
      <c r="I796" t="s">
        <v>644</v>
      </c>
      <c r="J796" s="64">
        <v>1000</v>
      </c>
    </row>
    <row r="797" spans="1:10" x14ac:dyDescent="0.25">
      <c r="A797" s="68">
        <v>2723</v>
      </c>
      <c r="B797" s="23" t="s">
        <v>6</v>
      </c>
      <c r="C797" s="23" t="s">
        <v>28</v>
      </c>
      <c r="D797" s="23" t="s">
        <v>29</v>
      </c>
      <c r="F797" s="36">
        <v>41401</v>
      </c>
      <c r="G797" s="16">
        <v>2548066000</v>
      </c>
      <c r="H797" t="s">
        <v>473</v>
      </c>
      <c r="I797" t="s">
        <v>644</v>
      </c>
      <c r="J797" s="64">
        <v>1000</v>
      </c>
    </row>
    <row r="798" spans="1:10" x14ac:dyDescent="0.25">
      <c r="A798" s="68">
        <v>2724</v>
      </c>
      <c r="B798" s="23" t="s">
        <v>6</v>
      </c>
      <c r="C798" s="23" t="s">
        <v>28</v>
      </c>
      <c r="D798" s="23" t="s">
        <v>29</v>
      </c>
      <c r="F798" s="36">
        <v>41401</v>
      </c>
      <c r="G798" s="16">
        <v>1652002001</v>
      </c>
      <c r="H798" t="s">
        <v>294</v>
      </c>
      <c r="I798" t="s">
        <v>644</v>
      </c>
      <c r="J798" s="64">
        <v>1000</v>
      </c>
    </row>
    <row r="799" spans="1:10" x14ac:dyDescent="0.25">
      <c r="A799" s="68">
        <v>2725</v>
      </c>
      <c r="B799" s="23" t="s">
        <v>6</v>
      </c>
      <c r="C799" s="23" t="s">
        <v>28</v>
      </c>
      <c r="D799" s="23" t="s">
        <v>29</v>
      </c>
      <c r="F799" s="36">
        <v>41401</v>
      </c>
      <c r="G799" s="16">
        <v>1023006</v>
      </c>
      <c r="H799" t="s">
        <v>360</v>
      </c>
      <c r="J799" s="64">
        <v>1000</v>
      </c>
    </row>
    <row r="800" spans="1:10" x14ac:dyDescent="0.25">
      <c r="A800" s="68">
        <v>2726</v>
      </c>
      <c r="B800" s="23" t="s">
        <v>10</v>
      </c>
      <c r="C800" s="23" t="s">
        <v>7</v>
      </c>
      <c r="D800" s="23" t="s">
        <v>11</v>
      </c>
      <c r="E800" s="23">
        <v>3319</v>
      </c>
      <c r="F800" s="36">
        <v>25688</v>
      </c>
      <c r="G800" s="16">
        <v>3182003000</v>
      </c>
      <c r="H800" t="s">
        <v>364</v>
      </c>
      <c r="I800" t="s">
        <v>644</v>
      </c>
      <c r="J800" s="64">
        <v>309.5</v>
      </c>
    </row>
    <row r="801" spans="1:10" x14ac:dyDescent="0.25">
      <c r="A801" s="68">
        <v>2752</v>
      </c>
      <c r="B801" s="23" t="s">
        <v>474</v>
      </c>
      <c r="C801" s="23" t="s">
        <v>475</v>
      </c>
      <c r="D801" s="23" t="s">
        <v>476</v>
      </c>
      <c r="E801" s="23" t="s">
        <v>477</v>
      </c>
      <c r="F801" s="36">
        <v>41599</v>
      </c>
      <c r="G801" s="16">
        <v>2514001000</v>
      </c>
      <c r="H801" t="s">
        <v>289</v>
      </c>
      <c r="I801" t="s">
        <v>644</v>
      </c>
      <c r="J801" s="64">
        <f>1*745.7</f>
        <v>745.7</v>
      </c>
    </row>
    <row r="802" spans="1:10" x14ac:dyDescent="0.25">
      <c r="A802" s="68">
        <v>2754</v>
      </c>
      <c r="B802" s="23" t="s">
        <v>65</v>
      </c>
      <c r="C802" s="23" t="s">
        <v>66</v>
      </c>
      <c r="D802" s="23" t="s">
        <v>19</v>
      </c>
      <c r="F802" s="36">
        <v>41632</v>
      </c>
      <c r="G802" s="16">
        <v>1000011</v>
      </c>
      <c r="H802" t="s">
        <v>221</v>
      </c>
      <c r="J802">
        <v>0</v>
      </c>
    </row>
    <row r="803" spans="1:10" x14ac:dyDescent="0.25">
      <c r="A803" s="68">
        <v>2755</v>
      </c>
      <c r="B803" s="23" t="s">
        <v>15</v>
      </c>
      <c r="C803" s="23" t="s">
        <v>478</v>
      </c>
      <c r="D803" s="23" t="s">
        <v>19</v>
      </c>
      <c r="F803" s="36">
        <v>41653</v>
      </c>
      <c r="G803" s="16">
        <v>2126001000</v>
      </c>
      <c r="H803" t="s">
        <v>180</v>
      </c>
      <c r="I803" t="s">
        <v>644</v>
      </c>
      <c r="J803" s="61">
        <v>3600</v>
      </c>
    </row>
    <row r="804" spans="1:10" x14ac:dyDescent="0.25">
      <c r="A804" s="68">
        <v>2758</v>
      </c>
      <c r="B804" s="23" t="s">
        <v>6</v>
      </c>
      <c r="C804" s="23" t="s">
        <v>7</v>
      </c>
      <c r="D804" s="23" t="s">
        <v>35</v>
      </c>
      <c r="E804" s="23">
        <v>6142</v>
      </c>
      <c r="F804" s="36">
        <v>41675</v>
      </c>
      <c r="G804" s="16">
        <v>165001000</v>
      </c>
      <c r="H804" t="s">
        <v>198</v>
      </c>
      <c r="I804" t="s">
        <v>644</v>
      </c>
      <c r="J804" s="64">
        <v>1000</v>
      </c>
    </row>
    <row r="805" spans="1:10" x14ac:dyDescent="0.25">
      <c r="A805" s="68">
        <v>2759</v>
      </c>
      <c r="B805" s="23" t="s">
        <v>6</v>
      </c>
      <c r="C805" s="23" t="s">
        <v>7</v>
      </c>
      <c r="D805" s="23" t="s">
        <v>35</v>
      </c>
      <c r="E805" s="23">
        <v>6146</v>
      </c>
      <c r="F805" s="36">
        <v>41675</v>
      </c>
      <c r="G805" s="16">
        <v>165001000</v>
      </c>
      <c r="H805" t="s">
        <v>198</v>
      </c>
      <c r="I805" t="s">
        <v>644</v>
      </c>
      <c r="J805" s="64">
        <v>1000</v>
      </c>
    </row>
    <row r="806" spans="1:10" x14ac:dyDescent="0.25">
      <c r="A806" s="68">
        <v>2760</v>
      </c>
      <c r="B806" s="23" t="s">
        <v>6</v>
      </c>
      <c r="C806" s="23" t="s">
        <v>7</v>
      </c>
      <c r="D806" s="23" t="s">
        <v>35</v>
      </c>
      <c r="E806" s="23">
        <v>6140</v>
      </c>
      <c r="F806" s="36">
        <v>41675</v>
      </c>
      <c r="G806" s="16">
        <v>1014001</v>
      </c>
      <c r="H806" t="s">
        <v>163</v>
      </c>
      <c r="J806" s="64">
        <v>1000</v>
      </c>
    </row>
    <row r="807" spans="1:10" x14ac:dyDescent="0.25">
      <c r="A807" s="68">
        <v>2768</v>
      </c>
      <c r="B807" s="23" t="s">
        <v>6</v>
      </c>
      <c r="C807" s="23" t="s">
        <v>63</v>
      </c>
      <c r="D807" s="23">
        <v>15</v>
      </c>
      <c r="F807" s="36">
        <v>41957</v>
      </c>
      <c r="G807" s="16">
        <v>3178002000</v>
      </c>
      <c r="H807" t="s">
        <v>321</v>
      </c>
      <c r="I807" t="s">
        <v>644</v>
      </c>
      <c r="J807" s="64">
        <v>1150</v>
      </c>
    </row>
    <row r="808" spans="1:10" x14ac:dyDescent="0.25">
      <c r="A808" s="68">
        <v>2769</v>
      </c>
      <c r="B808" s="23" t="s">
        <v>6</v>
      </c>
      <c r="C808" s="23" t="s">
        <v>63</v>
      </c>
      <c r="D808" s="23">
        <v>15</v>
      </c>
      <c r="F808" s="36">
        <v>41957</v>
      </c>
      <c r="G808" s="16">
        <v>1176003000</v>
      </c>
      <c r="H808" t="s">
        <v>445</v>
      </c>
      <c r="I808" t="s">
        <v>644</v>
      </c>
      <c r="J808" s="64">
        <v>1150</v>
      </c>
    </row>
    <row r="809" spans="1:10" x14ac:dyDescent="0.25">
      <c r="A809" s="68">
        <v>2770</v>
      </c>
      <c r="B809" s="23" t="s">
        <v>6</v>
      </c>
      <c r="C809" s="23" t="s">
        <v>63</v>
      </c>
      <c r="D809" s="23">
        <v>15</v>
      </c>
      <c r="F809" s="36">
        <v>41957</v>
      </c>
      <c r="G809" s="16">
        <v>1176003000</v>
      </c>
      <c r="H809" t="s">
        <v>445</v>
      </c>
      <c r="I809" t="s">
        <v>644</v>
      </c>
      <c r="J809" s="64">
        <v>1150</v>
      </c>
    </row>
    <row r="810" spans="1:10" x14ac:dyDescent="0.25">
      <c r="A810" s="68">
        <v>2772</v>
      </c>
      <c r="B810" s="23" t="s">
        <v>34</v>
      </c>
      <c r="C810" s="23" t="s">
        <v>64</v>
      </c>
      <c r="D810" s="23">
        <v>165</v>
      </c>
      <c r="F810" s="36">
        <v>41957</v>
      </c>
      <c r="G810" s="16">
        <v>1176003000</v>
      </c>
      <c r="H810" t="s">
        <v>445</v>
      </c>
      <c r="I810" t="s">
        <v>644</v>
      </c>
      <c r="J810" s="64">
        <v>1100</v>
      </c>
    </row>
    <row r="811" spans="1:10" x14ac:dyDescent="0.25">
      <c r="A811" s="68">
        <v>2773</v>
      </c>
      <c r="B811" s="23" t="s">
        <v>22</v>
      </c>
      <c r="C811" s="23" t="s">
        <v>64</v>
      </c>
      <c r="D811" s="23">
        <v>1200</v>
      </c>
      <c r="F811" s="36">
        <v>41957</v>
      </c>
      <c r="G811" s="16">
        <v>1176003000</v>
      </c>
      <c r="H811" t="s">
        <v>445</v>
      </c>
      <c r="I811" t="s">
        <v>644</v>
      </c>
      <c r="J811" s="64">
        <v>1300</v>
      </c>
    </row>
    <row r="812" spans="1:10" x14ac:dyDescent="0.25">
      <c r="A812" s="68">
        <v>2781</v>
      </c>
      <c r="B812" s="23" t="s">
        <v>401</v>
      </c>
      <c r="C812" s="23" t="s">
        <v>129</v>
      </c>
      <c r="D812" s="23" t="s">
        <v>19</v>
      </c>
      <c r="F812" s="36">
        <v>41960</v>
      </c>
      <c r="G812" s="16">
        <v>165001000</v>
      </c>
      <c r="H812" t="s">
        <v>198</v>
      </c>
      <c r="I812" t="s">
        <v>644</v>
      </c>
      <c r="J812">
        <v>24</v>
      </c>
    </row>
    <row r="813" spans="1:10" x14ac:dyDescent="0.25">
      <c r="A813" s="68">
        <v>2785</v>
      </c>
      <c r="B813" s="23" t="s">
        <v>401</v>
      </c>
      <c r="C813" s="23" t="s">
        <v>129</v>
      </c>
      <c r="D813" s="23" t="s">
        <v>19</v>
      </c>
      <c r="E813" s="23">
        <v>111111</v>
      </c>
      <c r="F813" s="36">
        <v>41961</v>
      </c>
      <c r="G813" s="16">
        <v>1406010000</v>
      </c>
      <c r="H813" t="s">
        <v>391</v>
      </c>
      <c r="I813" t="s">
        <v>644</v>
      </c>
      <c r="J813">
        <v>24</v>
      </c>
    </row>
    <row r="814" spans="1:10" x14ac:dyDescent="0.25">
      <c r="A814" s="68">
        <v>2788</v>
      </c>
      <c r="B814" s="23" t="s">
        <v>133</v>
      </c>
      <c r="C814" s="23" t="s">
        <v>16</v>
      </c>
      <c r="D814" s="23" t="s">
        <v>19</v>
      </c>
      <c r="F814" s="36">
        <v>41976</v>
      </c>
      <c r="G814" s="16">
        <v>2905001000</v>
      </c>
      <c r="H814" t="s">
        <v>327</v>
      </c>
      <c r="I814" t="s">
        <v>644</v>
      </c>
      <c r="J814" s="64">
        <v>591.5</v>
      </c>
    </row>
    <row r="815" spans="1:10" x14ac:dyDescent="0.25">
      <c r="A815" s="68">
        <v>2790</v>
      </c>
      <c r="B815" s="23" t="s">
        <v>15</v>
      </c>
      <c r="C815" s="23" t="s">
        <v>16</v>
      </c>
      <c r="D815" s="23" t="s">
        <v>77</v>
      </c>
      <c r="F815" s="36">
        <v>42012</v>
      </c>
      <c r="G815" s="16">
        <v>66011000</v>
      </c>
      <c r="H815" t="s">
        <v>166</v>
      </c>
      <c r="I815" t="s">
        <v>644</v>
      </c>
      <c r="J815" s="64">
        <v>3400</v>
      </c>
    </row>
    <row r="816" spans="1:10" x14ac:dyDescent="0.25">
      <c r="A816" s="68">
        <v>2791</v>
      </c>
      <c r="B816" s="23" t="s">
        <v>409</v>
      </c>
      <c r="C816" s="23" t="s">
        <v>16</v>
      </c>
      <c r="D816" s="23" t="s">
        <v>479</v>
      </c>
      <c r="F816" s="36">
        <v>42013</v>
      </c>
      <c r="G816" s="16">
        <v>43001000</v>
      </c>
      <c r="H816" t="s">
        <v>173</v>
      </c>
      <c r="I816" t="s">
        <v>644</v>
      </c>
      <c r="J816" s="64">
        <v>3600</v>
      </c>
    </row>
    <row r="817" spans="1:10" x14ac:dyDescent="0.25">
      <c r="A817" s="68">
        <v>2803</v>
      </c>
      <c r="B817" s="23" t="s">
        <v>6</v>
      </c>
      <c r="C817" s="23" t="s">
        <v>16</v>
      </c>
      <c r="D817" s="23" t="s">
        <v>127</v>
      </c>
      <c r="F817" s="36">
        <v>41792</v>
      </c>
      <c r="G817" s="16">
        <v>165001000</v>
      </c>
      <c r="H817" t="s">
        <v>198</v>
      </c>
      <c r="I817" t="s">
        <v>644</v>
      </c>
      <c r="J817" s="64">
        <v>1200</v>
      </c>
    </row>
    <row r="818" spans="1:10" x14ac:dyDescent="0.25">
      <c r="A818" s="68">
        <v>2804</v>
      </c>
      <c r="B818" s="23" t="s">
        <v>6</v>
      </c>
      <c r="C818" s="23" t="s">
        <v>16</v>
      </c>
      <c r="D818" s="23" t="s">
        <v>60</v>
      </c>
      <c r="F818" s="36">
        <v>42157</v>
      </c>
      <c r="G818" s="16">
        <v>66011000</v>
      </c>
      <c r="H818" t="s">
        <v>166</v>
      </c>
      <c r="I818" t="s">
        <v>644</v>
      </c>
      <c r="J818" s="64">
        <v>1500</v>
      </c>
    </row>
    <row r="819" spans="1:10" x14ac:dyDescent="0.25">
      <c r="A819" s="68">
        <v>2805</v>
      </c>
      <c r="B819" s="23" t="s">
        <v>6</v>
      </c>
      <c r="C819" s="23" t="s">
        <v>16</v>
      </c>
      <c r="D819" s="23" t="s">
        <v>60</v>
      </c>
      <c r="F819" s="36">
        <v>42157</v>
      </c>
      <c r="G819" s="16">
        <v>165001000</v>
      </c>
      <c r="H819" t="s">
        <v>198</v>
      </c>
      <c r="I819" t="s">
        <v>644</v>
      </c>
      <c r="J819" s="64">
        <v>1500</v>
      </c>
    </row>
    <row r="820" spans="1:10" x14ac:dyDescent="0.25">
      <c r="A820" s="68">
        <v>2812</v>
      </c>
      <c r="B820" s="23" t="s">
        <v>134</v>
      </c>
      <c r="C820" s="23" t="s">
        <v>16</v>
      </c>
      <c r="D820" s="23" t="s">
        <v>135</v>
      </c>
      <c r="F820" s="36">
        <v>42173</v>
      </c>
      <c r="G820" s="16">
        <v>3135001000</v>
      </c>
      <c r="H820" t="s">
        <v>171</v>
      </c>
      <c r="I820" t="s">
        <v>644</v>
      </c>
      <c r="J820" s="61"/>
    </row>
    <row r="821" spans="1:10" x14ac:dyDescent="0.25">
      <c r="A821" s="68">
        <v>2817</v>
      </c>
      <c r="B821" s="23" t="s">
        <v>10</v>
      </c>
      <c r="C821" s="23" t="s">
        <v>7</v>
      </c>
      <c r="D821" s="23" t="s">
        <v>11</v>
      </c>
      <c r="F821" s="36">
        <v>42192</v>
      </c>
      <c r="G821" s="16">
        <v>43006000</v>
      </c>
      <c r="H821" t="s">
        <v>177</v>
      </c>
      <c r="I821" t="s">
        <v>644</v>
      </c>
      <c r="J821" s="64">
        <v>309.5</v>
      </c>
    </row>
    <row r="822" spans="1:10" x14ac:dyDescent="0.25">
      <c r="A822" s="68">
        <v>2820</v>
      </c>
      <c r="B822" s="23" t="s">
        <v>10</v>
      </c>
      <c r="C822" s="23" t="s">
        <v>18</v>
      </c>
      <c r="D822" s="23" t="s">
        <v>19</v>
      </c>
      <c r="F822" s="36">
        <v>42215</v>
      </c>
      <c r="G822" s="16">
        <v>153002000</v>
      </c>
      <c r="H822" t="s">
        <v>189</v>
      </c>
      <c r="I822" t="s">
        <v>644</v>
      </c>
      <c r="J822" s="64">
        <v>1154</v>
      </c>
    </row>
    <row r="823" spans="1:10" x14ac:dyDescent="0.25">
      <c r="A823" s="68">
        <v>2821</v>
      </c>
      <c r="B823" s="23" t="s">
        <v>56</v>
      </c>
      <c r="C823" s="23" t="s">
        <v>16</v>
      </c>
      <c r="D823" s="23" t="s">
        <v>480</v>
      </c>
      <c r="F823" s="36">
        <v>42262</v>
      </c>
      <c r="G823" s="16">
        <v>43006000</v>
      </c>
      <c r="H823" t="s">
        <v>177</v>
      </c>
      <c r="I823" t="s">
        <v>644</v>
      </c>
      <c r="J823" s="61">
        <v>3600</v>
      </c>
    </row>
    <row r="824" spans="1:10" x14ac:dyDescent="0.25">
      <c r="A824" s="68">
        <v>2822</v>
      </c>
      <c r="B824" s="23" t="s">
        <v>34</v>
      </c>
      <c r="C824" s="23" t="s">
        <v>7</v>
      </c>
      <c r="D824" s="23" t="s">
        <v>11</v>
      </c>
      <c r="F824" s="36">
        <v>42298</v>
      </c>
      <c r="G824" s="16">
        <v>1176003000</v>
      </c>
      <c r="H824" t="s">
        <v>445</v>
      </c>
      <c r="I824" t="s">
        <v>644</v>
      </c>
      <c r="J824" s="64">
        <v>309.5</v>
      </c>
    </row>
    <row r="825" spans="1:10" x14ac:dyDescent="0.25">
      <c r="A825" s="68">
        <v>2825</v>
      </c>
      <c r="B825" s="23" t="s">
        <v>401</v>
      </c>
      <c r="C825" s="23" t="s">
        <v>142</v>
      </c>
      <c r="F825" s="36">
        <v>42303</v>
      </c>
      <c r="G825" s="16">
        <v>3154002000</v>
      </c>
      <c r="H825" t="s">
        <v>481</v>
      </c>
      <c r="I825" t="s">
        <v>644</v>
      </c>
      <c r="J825">
        <v>24</v>
      </c>
    </row>
    <row r="826" spans="1:10" x14ac:dyDescent="0.25">
      <c r="A826" s="68">
        <v>2834</v>
      </c>
      <c r="B826" s="23" t="s">
        <v>6</v>
      </c>
      <c r="C826" s="23" t="s">
        <v>32</v>
      </c>
      <c r="D826" s="23" t="s">
        <v>154</v>
      </c>
      <c r="F826" s="36">
        <v>42492</v>
      </c>
      <c r="G826" s="16">
        <v>2126006000</v>
      </c>
      <c r="H826" t="s">
        <v>353</v>
      </c>
      <c r="I826" t="s">
        <v>644</v>
      </c>
      <c r="J826" s="64">
        <v>1138.5</v>
      </c>
    </row>
    <row r="827" spans="1:10" x14ac:dyDescent="0.25">
      <c r="A827" s="68">
        <v>2836</v>
      </c>
      <c r="B827" s="23" t="s">
        <v>409</v>
      </c>
      <c r="C827" s="23" t="s">
        <v>16</v>
      </c>
      <c r="F827" s="36">
        <v>42517</v>
      </c>
      <c r="G827" s="16">
        <v>1000002</v>
      </c>
      <c r="H827" t="s">
        <v>205</v>
      </c>
      <c r="J827" s="64">
        <v>591.5</v>
      </c>
    </row>
    <row r="828" spans="1:10" x14ac:dyDescent="0.25">
      <c r="A828" s="68">
        <v>2845</v>
      </c>
      <c r="B828" s="23" t="s">
        <v>6</v>
      </c>
      <c r="C828" s="23" t="s">
        <v>7</v>
      </c>
      <c r="D828" s="23" t="s">
        <v>35</v>
      </c>
      <c r="E828" s="23">
        <v>7954</v>
      </c>
      <c r="F828" s="36">
        <v>42534</v>
      </c>
      <c r="G828" s="16">
        <v>2762002000</v>
      </c>
      <c r="H828" t="s">
        <v>482</v>
      </c>
      <c r="I828" t="s">
        <v>644</v>
      </c>
      <c r="J828" s="64">
        <v>1000</v>
      </c>
    </row>
    <row r="829" spans="1:10" x14ac:dyDescent="0.25">
      <c r="A829" s="68">
        <v>2846</v>
      </c>
      <c r="B829" s="23" t="s">
        <v>6</v>
      </c>
      <c r="C829" s="23" t="s">
        <v>7</v>
      </c>
      <c r="D829" s="23" t="s">
        <v>35</v>
      </c>
      <c r="E829" s="23">
        <v>7943</v>
      </c>
      <c r="F829" s="36">
        <v>42534</v>
      </c>
      <c r="G829" s="16">
        <v>1068001000</v>
      </c>
      <c r="H829" t="s">
        <v>202</v>
      </c>
      <c r="I829" t="s">
        <v>644</v>
      </c>
      <c r="J829" s="64">
        <v>1000</v>
      </c>
    </row>
    <row r="830" spans="1:10" x14ac:dyDescent="0.25">
      <c r="A830" s="68">
        <v>2848</v>
      </c>
      <c r="B830" s="23" t="s">
        <v>6</v>
      </c>
      <c r="C830" s="23" t="s">
        <v>28</v>
      </c>
      <c r="D830" s="23" t="s">
        <v>29</v>
      </c>
      <c r="E830" s="23">
        <v>7899</v>
      </c>
      <c r="F830" s="36">
        <v>42564</v>
      </c>
      <c r="G830" s="16">
        <v>157002000</v>
      </c>
      <c r="H830" t="s">
        <v>201</v>
      </c>
      <c r="I830" t="s">
        <v>644</v>
      </c>
      <c r="J830" s="64">
        <v>1000</v>
      </c>
    </row>
    <row r="831" spans="1:10" x14ac:dyDescent="0.25">
      <c r="A831" s="68">
        <v>2849</v>
      </c>
      <c r="B831" s="23" t="s">
        <v>6</v>
      </c>
      <c r="C831" s="23" t="s">
        <v>28</v>
      </c>
      <c r="D831" s="23" t="s">
        <v>29</v>
      </c>
      <c r="E831" s="23">
        <v>7929</v>
      </c>
      <c r="F831" s="36">
        <v>42564</v>
      </c>
      <c r="G831" s="16">
        <v>1000002</v>
      </c>
      <c r="H831" t="s">
        <v>205</v>
      </c>
      <c r="J831" s="64">
        <v>1000</v>
      </c>
    </row>
    <row r="832" spans="1:10" x14ac:dyDescent="0.25">
      <c r="A832" s="68">
        <v>2850</v>
      </c>
      <c r="B832" s="23" t="s">
        <v>6</v>
      </c>
      <c r="C832" s="23" t="s">
        <v>28</v>
      </c>
      <c r="D832" s="23" t="s">
        <v>29</v>
      </c>
      <c r="E832" s="23">
        <v>7898</v>
      </c>
      <c r="F832" s="36">
        <v>42564</v>
      </c>
      <c r="G832" s="16">
        <v>157001000</v>
      </c>
      <c r="H832" t="s">
        <v>382</v>
      </c>
      <c r="I832" t="s">
        <v>644</v>
      </c>
      <c r="J832" s="64">
        <v>1000</v>
      </c>
    </row>
    <row r="833" spans="1:10" x14ac:dyDescent="0.25">
      <c r="A833" s="68">
        <v>2857</v>
      </c>
      <c r="B833" s="23" t="s">
        <v>6</v>
      </c>
      <c r="C833" s="23" t="s">
        <v>28</v>
      </c>
      <c r="D833" s="23" t="s">
        <v>29</v>
      </c>
      <c r="E833" s="23">
        <v>7930</v>
      </c>
      <c r="F833" s="36">
        <v>42611</v>
      </c>
      <c r="G833" s="16">
        <v>1685002000</v>
      </c>
      <c r="H833" t="s">
        <v>456</v>
      </c>
      <c r="I833" t="s">
        <v>644</v>
      </c>
      <c r="J833" s="64">
        <v>1000</v>
      </c>
    </row>
    <row r="834" spans="1:10" x14ac:dyDescent="0.25">
      <c r="A834" s="68">
        <v>2863</v>
      </c>
      <c r="B834" s="23" t="s">
        <v>401</v>
      </c>
      <c r="C834" s="23" t="s">
        <v>16</v>
      </c>
      <c r="D834" s="23" t="s">
        <v>19</v>
      </c>
      <c r="E834" s="23">
        <v>1234</v>
      </c>
      <c r="F834" s="36">
        <v>42644</v>
      </c>
      <c r="G834" s="16">
        <v>66034000</v>
      </c>
      <c r="H834" t="s">
        <v>375</v>
      </c>
      <c r="I834" t="s">
        <v>644</v>
      </c>
      <c r="J834" s="64">
        <v>24</v>
      </c>
    </row>
    <row r="835" spans="1:10" x14ac:dyDescent="0.25">
      <c r="A835" s="68">
        <v>2872</v>
      </c>
      <c r="B835" s="23" t="s">
        <v>401</v>
      </c>
      <c r="C835" s="23" t="s">
        <v>126</v>
      </c>
      <c r="F835" s="36">
        <v>42615</v>
      </c>
      <c r="G835" s="16">
        <v>3042058002</v>
      </c>
      <c r="H835" t="s">
        <v>223</v>
      </c>
      <c r="I835" t="s">
        <v>643</v>
      </c>
      <c r="J835" s="40">
        <v>24</v>
      </c>
    </row>
    <row r="836" spans="1:10" x14ac:dyDescent="0.25">
      <c r="A836" s="68">
        <v>2874</v>
      </c>
      <c r="B836" s="23" t="s">
        <v>401</v>
      </c>
      <c r="C836" s="23" t="s">
        <v>126</v>
      </c>
      <c r="F836" s="36">
        <v>42615</v>
      </c>
      <c r="G836" s="16">
        <v>66031000</v>
      </c>
      <c r="H836" t="s">
        <v>185</v>
      </c>
      <c r="I836" t="s">
        <v>644</v>
      </c>
      <c r="J836">
        <v>24</v>
      </c>
    </row>
    <row r="837" spans="1:10" x14ac:dyDescent="0.25">
      <c r="A837" s="68">
        <v>2875</v>
      </c>
      <c r="B837" s="23" t="s">
        <v>401</v>
      </c>
      <c r="C837" s="23" t="s">
        <v>126</v>
      </c>
      <c r="D837" s="23" t="s">
        <v>483</v>
      </c>
      <c r="E837" s="23">
        <v>12345</v>
      </c>
      <c r="F837" s="36">
        <v>42615</v>
      </c>
      <c r="G837" s="16">
        <v>1023000</v>
      </c>
      <c r="H837" t="s">
        <v>240</v>
      </c>
      <c r="J837">
        <v>24</v>
      </c>
    </row>
    <row r="838" spans="1:10" x14ac:dyDescent="0.25">
      <c r="A838" s="68">
        <v>2876</v>
      </c>
      <c r="B838" s="23" t="s">
        <v>401</v>
      </c>
      <c r="C838" s="23" t="s">
        <v>126</v>
      </c>
      <c r="F838" s="36">
        <v>42615</v>
      </c>
      <c r="G838" s="16">
        <v>66011000</v>
      </c>
      <c r="H838" t="s">
        <v>166</v>
      </c>
      <c r="I838" t="s">
        <v>644</v>
      </c>
      <c r="J838">
        <v>24</v>
      </c>
    </row>
    <row r="839" spans="1:10" x14ac:dyDescent="0.25">
      <c r="A839" s="68">
        <v>2881</v>
      </c>
      <c r="B839" s="23" t="s">
        <v>6</v>
      </c>
      <c r="C839" s="23" t="s">
        <v>7</v>
      </c>
      <c r="D839" s="23" t="s">
        <v>35</v>
      </c>
      <c r="E839" s="23">
        <v>8163</v>
      </c>
      <c r="F839" s="36">
        <v>42625</v>
      </c>
      <c r="G839" s="16">
        <v>3260001000</v>
      </c>
      <c r="H839" t="s">
        <v>465</v>
      </c>
      <c r="I839" t="s">
        <v>644</v>
      </c>
      <c r="J839" s="64">
        <v>1000</v>
      </c>
    </row>
    <row r="840" spans="1:10" x14ac:dyDescent="0.25">
      <c r="A840" s="68">
        <v>2882</v>
      </c>
      <c r="B840" s="23" t="s">
        <v>6</v>
      </c>
      <c r="C840" s="23" t="s">
        <v>7</v>
      </c>
      <c r="D840" s="23" t="s">
        <v>35</v>
      </c>
      <c r="E840" s="23">
        <v>8170</v>
      </c>
      <c r="F840" s="36">
        <v>42625</v>
      </c>
      <c r="G840" s="16">
        <v>157005000</v>
      </c>
      <c r="H840" t="s">
        <v>268</v>
      </c>
      <c r="I840" t="s">
        <v>644</v>
      </c>
      <c r="J840" s="64">
        <v>1000</v>
      </c>
    </row>
    <row r="841" spans="1:10" x14ac:dyDescent="0.25">
      <c r="A841" s="68">
        <v>2883</v>
      </c>
      <c r="B841" s="23" t="s">
        <v>409</v>
      </c>
      <c r="C841" s="23" t="s">
        <v>16</v>
      </c>
      <c r="D841" s="23" t="s">
        <v>70</v>
      </c>
      <c r="E841" s="23">
        <v>10292</v>
      </c>
      <c r="F841" s="36">
        <v>42627</v>
      </c>
      <c r="G841" s="16">
        <v>165001000</v>
      </c>
      <c r="H841" t="s">
        <v>198</v>
      </c>
      <c r="I841" t="s">
        <v>644</v>
      </c>
      <c r="J841" s="64">
        <v>591.5</v>
      </c>
    </row>
    <row r="842" spans="1:10" x14ac:dyDescent="0.25">
      <c r="A842" s="68">
        <v>2884</v>
      </c>
      <c r="B842" s="23" t="s">
        <v>409</v>
      </c>
      <c r="C842" s="23" t="s">
        <v>16</v>
      </c>
      <c r="D842" s="23" t="s">
        <v>479</v>
      </c>
      <c r="E842" s="23">
        <v>10481</v>
      </c>
      <c r="F842" s="36">
        <v>42627</v>
      </c>
      <c r="G842" s="16">
        <v>2499001000</v>
      </c>
      <c r="H842" t="s">
        <v>363</v>
      </c>
      <c r="I842" t="s">
        <v>644</v>
      </c>
      <c r="J842" s="64">
        <v>3600</v>
      </c>
    </row>
    <row r="843" spans="1:10" x14ac:dyDescent="0.25">
      <c r="A843" s="68">
        <v>2885</v>
      </c>
      <c r="B843" s="23" t="s">
        <v>22</v>
      </c>
      <c r="C843" s="23" t="s">
        <v>25</v>
      </c>
      <c r="D843" s="23">
        <v>1500</v>
      </c>
      <c r="F843" s="36">
        <v>42662</v>
      </c>
      <c r="G843" s="16">
        <v>165001000</v>
      </c>
      <c r="H843" t="s">
        <v>198</v>
      </c>
      <c r="I843" t="s">
        <v>644</v>
      </c>
      <c r="J843" s="64">
        <v>1200</v>
      </c>
    </row>
    <row r="844" spans="1:10" x14ac:dyDescent="0.25">
      <c r="A844" s="68">
        <v>2886</v>
      </c>
      <c r="B844" s="23" t="s">
        <v>15</v>
      </c>
      <c r="C844" s="23" t="s">
        <v>16</v>
      </c>
      <c r="D844" s="23" t="s">
        <v>77</v>
      </c>
      <c r="E844" s="23">
        <v>11700</v>
      </c>
      <c r="F844" s="36">
        <v>42654</v>
      </c>
      <c r="G844" s="16">
        <v>2514002000</v>
      </c>
      <c r="H844" t="s">
        <v>217</v>
      </c>
      <c r="I844" t="s">
        <v>644</v>
      </c>
      <c r="J844" s="64">
        <v>3400</v>
      </c>
    </row>
    <row r="845" spans="1:10" x14ac:dyDescent="0.25">
      <c r="A845" s="68">
        <v>2887</v>
      </c>
      <c r="B845" s="23" t="s">
        <v>22</v>
      </c>
      <c r="C845" s="23" t="s">
        <v>25</v>
      </c>
      <c r="D845" s="23">
        <v>1500</v>
      </c>
      <c r="F845" s="36">
        <v>42662</v>
      </c>
      <c r="G845" s="16">
        <v>3265001000</v>
      </c>
      <c r="H845" t="s">
        <v>245</v>
      </c>
      <c r="I845" t="s">
        <v>644</v>
      </c>
      <c r="J845" s="64">
        <v>1200</v>
      </c>
    </row>
    <row r="846" spans="1:10" x14ac:dyDescent="0.25">
      <c r="A846" s="68">
        <v>2889</v>
      </c>
      <c r="B846" s="23" t="s">
        <v>6</v>
      </c>
      <c r="C846" s="23" t="s">
        <v>28</v>
      </c>
      <c r="D846" s="23" t="s">
        <v>92</v>
      </c>
      <c r="E846" s="23">
        <v>8171</v>
      </c>
      <c r="F846" s="36">
        <v>42682</v>
      </c>
      <c r="G846" s="16">
        <v>3101001000</v>
      </c>
      <c r="H846" t="s">
        <v>442</v>
      </c>
      <c r="I846" t="s">
        <v>644</v>
      </c>
      <c r="J846" s="64">
        <v>884</v>
      </c>
    </row>
    <row r="847" spans="1:10" x14ac:dyDescent="0.25">
      <c r="A847" s="68">
        <v>2892</v>
      </c>
      <c r="B847" s="23" t="s">
        <v>6</v>
      </c>
      <c r="C847" s="23" t="s">
        <v>7</v>
      </c>
      <c r="D847" s="23" t="s">
        <v>35</v>
      </c>
      <c r="E847" s="23">
        <v>8169</v>
      </c>
      <c r="F847" s="36">
        <v>42709</v>
      </c>
      <c r="G847" s="16">
        <v>953011000</v>
      </c>
      <c r="H847" t="s">
        <v>272</v>
      </c>
      <c r="I847" t="s">
        <v>644</v>
      </c>
      <c r="J847" s="64">
        <v>1000</v>
      </c>
    </row>
    <row r="848" spans="1:10" x14ac:dyDescent="0.25">
      <c r="A848" s="68">
        <v>2898</v>
      </c>
      <c r="B848" s="23" t="s">
        <v>6</v>
      </c>
      <c r="C848" s="23" t="s">
        <v>7</v>
      </c>
      <c r="D848" s="23" t="s">
        <v>35</v>
      </c>
      <c r="E848" s="23">
        <v>8532</v>
      </c>
      <c r="F848" s="36">
        <v>42818</v>
      </c>
      <c r="G848" s="16">
        <v>2994001000</v>
      </c>
      <c r="H848" t="s">
        <v>284</v>
      </c>
      <c r="I848" t="s">
        <v>644</v>
      </c>
      <c r="J848" s="64">
        <v>1000</v>
      </c>
    </row>
    <row r="849" spans="1:10" x14ac:dyDescent="0.25">
      <c r="A849" s="68">
        <v>2899</v>
      </c>
      <c r="B849" s="23" t="s">
        <v>6</v>
      </c>
      <c r="C849" s="23" t="s">
        <v>7</v>
      </c>
      <c r="D849" s="23" t="s">
        <v>35</v>
      </c>
      <c r="E849" s="23">
        <v>8531</v>
      </c>
      <c r="F849" s="36">
        <v>42818</v>
      </c>
      <c r="G849" s="16">
        <v>2994001000</v>
      </c>
      <c r="H849" t="s">
        <v>284</v>
      </c>
      <c r="I849" t="s">
        <v>644</v>
      </c>
      <c r="J849" s="64">
        <v>1000</v>
      </c>
    </row>
    <row r="850" spans="1:10" x14ac:dyDescent="0.25">
      <c r="A850" s="68">
        <v>2900</v>
      </c>
      <c r="B850" s="23" t="s">
        <v>6</v>
      </c>
      <c r="C850" s="23" t="s">
        <v>7</v>
      </c>
      <c r="D850" s="23" t="s">
        <v>35</v>
      </c>
      <c r="E850" s="23">
        <v>8525</v>
      </c>
      <c r="F850" s="36">
        <v>42818</v>
      </c>
      <c r="G850" s="16">
        <v>1967012000</v>
      </c>
      <c r="H850" t="s">
        <v>273</v>
      </c>
      <c r="I850" t="s">
        <v>644</v>
      </c>
      <c r="J850" s="64">
        <v>1000</v>
      </c>
    </row>
    <row r="851" spans="1:10" x14ac:dyDescent="0.25">
      <c r="A851" s="68">
        <v>2901</v>
      </c>
      <c r="B851" s="23" t="s">
        <v>6</v>
      </c>
      <c r="C851" s="23" t="s">
        <v>7</v>
      </c>
      <c r="D851" s="23" t="s">
        <v>35</v>
      </c>
      <c r="E851" s="23">
        <v>8529</v>
      </c>
      <c r="F851" s="36">
        <v>42818</v>
      </c>
      <c r="G851" s="16">
        <v>1978003000</v>
      </c>
      <c r="H851" t="s">
        <v>334</v>
      </c>
      <c r="I851" t="s">
        <v>644</v>
      </c>
      <c r="J851" s="64">
        <v>1000</v>
      </c>
    </row>
    <row r="852" spans="1:10" x14ac:dyDescent="0.25">
      <c r="A852" s="68">
        <v>2902</v>
      </c>
      <c r="B852" s="23" t="s">
        <v>6</v>
      </c>
      <c r="C852" s="23" t="s">
        <v>7</v>
      </c>
      <c r="D852" s="23" t="s">
        <v>35</v>
      </c>
      <c r="E852" s="23">
        <v>8522</v>
      </c>
      <c r="F852" s="36">
        <v>42818</v>
      </c>
      <c r="G852" s="16">
        <v>2994001000</v>
      </c>
      <c r="H852" t="s">
        <v>284</v>
      </c>
      <c r="I852" t="s">
        <v>644</v>
      </c>
      <c r="J852" s="64">
        <v>1000</v>
      </c>
    </row>
    <row r="853" spans="1:10" x14ac:dyDescent="0.25">
      <c r="A853" s="68">
        <v>2903</v>
      </c>
      <c r="B853" s="23" t="s">
        <v>6</v>
      </c>
      <c r="C853" s="23" t="s">
        <v>7</v>
      </c>
      <c r="D853" s="23" t="s">
        <v>35</v>
      </c>
      <c r="E853" s="23">
        <v>8524</v>
      </c>
      <c r="F853" s="36">
        <v>42818</v>
      </c>
      <c r="G853" s="16">
        <v>2995001000</v>
      </c>
      <c r="H853" t="s">
        <v>281</v>
      </c>
      <c r="I853" t="s">
        <v>644</v>
      </c>
      <c r="J853" s="64">
        <v>1000</v>
      </c>
    </row>
    <row r="854" spans="1:10" x14ac:dyDescent="0.25">
      <c r="A854" s="68">
        <v>2904</v>
      </c>
      <c r="B854" s="23" t="s">
        <v>401</v>
      </c>
      <c r="C854" s="23" t="s">
        <v>454</v>
      </c>
      <c r="E854" s="23">
        <v>55981338907</v>
      </c>
      <c r="F854" s="36">
        <v>42818</v>
      </c>
      <c r="G854" s="16">
        <v>1720001000</v>
      </c>
      <c r="H854" t="s">
        <v>408</v>
      </c>
      <c r="I854" t="s">
        <v>644</v>
      </c>
      <c r="J854" s="40">
        <v>24</v>
      </c>
    </row>
    <row r="855" spans="1:10" x14ac:dyDescent="0.25">
      <c r="A855" s="68">
        <v>2905</v>
      </c>
      <c r="B855" s="23" t="s">
        <v>6</v>
      </c>
      <c r="C855" s="23" t="s">
        <v>16</v>
      </c>
      <c r="D855" s="23" t="s">
        <v>47</v>
      </c>
      <c r="E855" s="23">
        <v>11136</v>
      </c>
      <c r="F855" s="36">
        <v>42822</v>
      </c>
      <c r="G855" s="16">
        <v>2994001000</v>
      </c>
      <c r="H855" t="s">
        <v>284</v>
      </c>
      <c r="I855" t="s">
        <v>644</v>
      </c>
      <c r="J855" s="64">
        <v>1031</v>
      </c>
    </row>
    <row r="856" spans="1:10" x14ac:dyDescent="0.25">
      <c r="A856" s="68">
        <v>2908</v>
      </c>
      <c r="B856" s="23" t="s">
        <v>15</v>
      </c>
      <c r="C856" s="23" t="s">
        <v>16</v>
      </c>
      <c r="D856" s="23" t="s">
        <v>77</v>
      </c>
      <c r="E856" s="23">
        <v>27499</v>
      </c>
      <c r="F856" s="36">
        <v>42837</v>
      </c>
      <c r="G856" s="16">
        <v>2499001000</v>
      </c>
      <c r="H856" t="s">
        <v>363</v>
      </c>
      <c r="I856" t="s">
        <v>644</v>
      </c>
      <c r="J856" s="64">
        <v>3400</v>
      </c>
    </row>
    <row r="857" spans="1:10" x14ac:dyDescent="0.25">
      <c r="A857" s="68">
        <v>2909</v>
      </c>
      <c r="B857" s="23" t="s">
        <v>6</v>
      </c>
      <c r="C857" s="23" t="s">
        <v>7</v>
      </c>
      <c r="D857" s="23" t="s">
        <v>35</v>
      </c>
      <c r="E857" s="23">
        <v>8701</v>
      </c>
      <c r="F857" s="36">
        <v>42857</v>
      </c>
      <c r="G857" s="16">
        <v>1165000000</v>
      </c>
      <c r="H857" t="s">
        <v>184</v>
      </c>
      <c r="I857" t="s">
        <v>644</v>
      </c>
      <c r="J857" s="64">
        <v>1000</v>
      </c>
    </row>
    <row r="858" spans="1:10" x14ac:dyDescent="0.25">
      <c r="A858" s="68">
        <v>2910</v>
      </c>
      <c r="B858" s="23" t="s">
        <v>6</v>
      </c>
      <c r="C858" s="23" t="s">
        <v>7</v>
      </c>
      <c r="D858" s="23" t="s">
        <v>35</v>
      </c>
      <c r="E858" s="23">
        <v>8698</v>
      </c>
      <c r="F858" s="36">
        <v>42857</v>
      </c>
      <c r="G858" s="16">
        <v>3300202000</v>
      </c>
      <c r="H858" t="s">
        <v>220</v>
      </c>
      <c r="I858" t="s">
        <v>644</v>
      </c>
      <c r="J858" s="64">
        <v>1000</v>
      </c>
    </row>
    <row r="859" spans="1:10" x14ac:dyDescent="0.25">
      <c r="A859" s="68">
        <v>2911</v>
      </c>
      <c r="B859" s="23" t="s">
        <v>6</v>
      </c>
      <c r="C859" s="23" t="s">
        <v>7</v>
      </c>
      <c r="D859" s="23" t="s">
        <v>35</v>
      </c>
      <c r="E859" s="23">
        <v>8693</v>
      </c>
      <c r="F859" s="36">
        <v>42859</v>
      </c>
      <c r="G859" s="16">
        <v>3370001000</v>
      </c>
      <c r="H859" t="s">
        <v>376</v>
      </c>
      <c r="I859" t="s">
        <v>644</v>
      </c>
      <c r="J859" s="64">
        <v>1000</v>
      </c>
    </row>
    <row r="860" spans="1:10" x14ac:dyDescent="0.25">
      <c r="A860" s="68">
        <v>2912</v>
      </c>
      <c r="B860" s="23" t="s">
        <v>6</v>
      </c>
      <c r="C860" s="23" t="s">
        <v>7</v>
      </c>
      <c r="D860" s="23" t="s">
        <v>35</v>
      </c>
      <c r="E860" s="23">
        <v>8699</v>
      </c>
      <c r="F860" s="36">
        <v>42859</v>
      </c>
      <c r="G860" s="16">
        <v>3370009000</v>
      </c>
      <c r="H860" t="s">
        <v>484</v>
      </c>
      <c r="I860" t="s">
        <v>644</v>
      </c>
      <c r="J860" s="64">
        <v>1000</v>
      </c>
    </row>
    <row r="861" spans="1:10" x14ac:dyDescent="0.25">
      <c r="A861" s="68">
        <v>2913</v>
      </c>
      <c r="B861" s="23" t="s">
        <v>6</v>
      </c>
      <c r="C861" s="23" t="s">
        <v>7</v>
      </c>
      <c r="D861" s="23" t="s">
        <v>35</v>
      </c>
      <c r="E861" s="23">
        <v>8694</v>
      </c>
      <c r="F861" s="36">
        <v>42859</v>
      </c>
      <c r="G861" s="16">
        <v>2789001000</v>
      </c>
      <c r="H861" t="s">
        <v>323</v>
      </c>
      <c r="I861" t="s">
        <v>644</v>
      </c>
      <c r="J861" s="64">
        <v>1000</v>
      </c>
    </row>
    <row r="862" spans="1:10" x14ac:dyDescent="0.25">
      <c r="A862" s="68">
        <v>2914</v>
      </c>
      <c r="B862" s="23" t="s">
        <v>6</v>
      </c>
      <c r="C862" s="23" t="s">
        <v>7</v>
      </c>
      <c r="D862" s="23" t="s">
        <v>35</v>
      </c>
      <c r="E862" s="23">
        <v>8700</v>
      </c>
      <c r="F862" s="36">
        <v>42859</v>
      </c>
      <c r="G862" s="16">
        <v>2499009000</v>
      </c>
      <c r="H862" t="s">
        <v>206</v>
      </c>
      <c r="I862" t="s">
        <v>644</v>
      </c>
      <c r="J862" s="64">
        <v>1000</v>
      </c>
    </row>
    <row r="863" spans="1:10" x14ac:dyDescent="0.25">
      <c r="A863" s="68">
        <v>2916</v>
      </c>
      <c r="B863" s="23" t="s">
        <v>401</v>
      </c>
      <c r="C863" s="23" t="s">
        <v>485</v>
      </c>
      <c r="D863" s="23" t="s">
        <v>486</v>
      </c>
      <c r="E863" s="23">
        <v>617</v>
      </c>
      <c r="F863" s="36">
        <v>42917</v>
      </c>
      <c r="G863" s="16">
        <v>1000003</v>
      </c>
      <c r="H863" t="s">
        <v>248</v>
      </c>
      <c r="J863">
        <v>24</v>
      </c>
    </row>
    <row r="864" spans="1:10" x14ac:dyDescent="0.25">
      <c r="A864" s="68">
        <v>2922</v>
      </c>
      <c r="B864" s="23" t="s">
        <v>401</v>
      </c>
      <c r="C864" s="23" t="s">
        <v>487</v>
      </c>
      <c r="D864" s="23" t="s">
        <v>483</v>
      </c>
      <c r="E864" s="23" t="s">
        <v>488</v>
      </c>
      <c r="F864" s="36">
        <v>42986</v>
      </c>
      <c r="G864" s="16">
        <v>2886002000</v>
      </c>
      <c r="H864" t="s">
        <v>275</v>
      </c>
      <c r="I864" t="s">
        <v>644</v>
      </c>
      <c r="J864">
        <v>24</v>
      </c>
    </row>
    <row r="865" spans="1:10" x14ac:dyDescent="0.25">
      <c r="A865" s="68">
        <v>2923</v>
      </c>
      <c r="B865" s="23" t="s">
        <v>15</v>
      </c>
      <c r="C865" s="23" t="s">
        <v>16</v>
      </c>
      <c r="D865" s="23" t="s">
        <v>77</v>
      </c>
      <c r="E865" s="23">
        <v>10253</v>
      </c>
      <c r="F865" s="36">
        <v>42992</v>
      </c>
      <c r="G865" s="16">
        <v>3042058002</v>
      </c>
      <c r="H865" t="s">
        <v>223</v>
      </c>
      <c r="I865" t="s">
        <v>643</v>
      </c>
      <c r="J865" s="64">
        <v>3400</v>
      </c>
    </row>
    <row r="866" spans="1:10" x14ac:dyDescent="0.25">
      <c r="A866" s="68">
        <v>2926</v>
      </c>
      <c r="B866" s="23" t="s">
        <v>56</v>
      </c>
      <c r="C866" s="23" t="s">
        <v>489</v>
      </c>
      <c r="D866" s="23" t="s">
        <v>489</v>
      </c>
      <c r="E866" s="23" t="s">
        <v>490</v>
      </c>
      <c r="F866" s="36">
        <v>42999</v>
      </c>
      <c r="G866" s="16">
        <v>1000003</v>
      </c>
      <c r="H866" t="s">
        <v>248</v>
      </c>
      <c r="J866" s="61">
        <v>3600</v>
      </c>
    </row>
    <row r="867" spans="1:10" x14ac:dyDescent="0.25">
      <c r="A867" s="68">
        <v>2929</v>
      </c>
      <c r="B867" s="23" t="s">
        <v>143</v>
      </c>
      <c r="C867" s="23" t="s">
        <v>7</v>
      </c>
      <c r="D867" s="23">
        <v>500</v>
      </c>
      <c r="E867" s="23">
        <v>46</v>
      </c>
      <c r="F867" s="36">
        <v>43006</v>
      </c>
      <c r="G867" s="16">
        <v>66011000</v>
      </c>
      <c r="H867" t="s">
        <v>166</v>
      </c>
      <c r="I867" t="s">
        <v>644</v>
      </c>
      <c r="J867" s="64">
        <v>432</v>
      </c>
    </row>
    <row r="868" spans="1:10" x14ac:dyDescent="0.25">
      <c r="A868" s="68">
        <v>2930</v>
      </c>
      <c r="B868" s="23" t="s">
        <v>143</v>
      </c>
      <c r="C868" s="23" t="s">
        <v>12</v>
      </c>
      <c r="D868" s="23">
        <v>500</v>
      </c>
      <c r="E868" s="23">
        <v>45</v>
      </c>
      <c r="F868" s="36">
        <v>43006</v>
      </c>
      <c r="G868" s="16">
        <v>66011000</v>
      </c>
      <c r="H868" t="s">
        <v>166</v>
      </c>
      <c r="I868" t="s">
        <v>644</v>
      </c>
      <c r="J868" s="61"/>
    </row>
    <row r="869" spans="1:10" x14ac:dyDescent="0.25">
      <c r="A869" s="68">
        <v>2944</v>
      </c>
      <c r="B869" s="23" t="s">
        <v>22</v>
      </c>
      <c r="C869" s="23" t="s">
        <v>129</v>
      </c>
      <c r="D869" s="23" t="s">
        <v>140</v>
      </c>
      <c r="E869" s="23">
        <v>1449</v>
      </c>
      <c r="F869" s="36">
        <v>43046</v>
      </c>
      <c r="G869" s="16">
        <v>2514001000</v>
      </c>
      <c r="H869" t="s">
        <v>289</v>
      </c>
      <c r="I869" t="s">
        <v>644</v>
      </c>
      <c r="J869" s="64">
        <v>1500</v>
      </c>
    </row>
    <row r="870" spans="1:10" x14ac:dyDescent="0.25">
      <c r="A870" s="68">
        <v>2947</v>
      </c>
      <c r="B870" s="23" t="s">
        <v>401</v>
      </c>
      <c r="C870" s="23" t="s">
        <v>454</v>
      </c>
      <c r="D870" s="23" t="s">
        <v>455</v>
      </c>
      <c r="E870" s="23">
        <v>1455711</v>
      </c>
      <c r="F870" s="36">
        <v>43063</v>
      </c>
      <c r="G870" s="16">
        <v>3156001000</v>
      </c>
      <c r="H870" t="s">
        <v>491</v>
      </c>
      <c r="I870" t="s">
        <v>644</v>
      </c>
      <c r="J870" s="40">
        <v>24</v>
      </c>
    </row>
    <row r="871" spans="1:10" x14ac:dyDescent="0.25">
      <c r="A871" s="68">
        <v>2952</v>
      </c>
      <c r="B871" s="23" t="s">
        <v>6</v>
      </c>
      <c r="C871" s="23" t="s">
        <v>7</v>
      </c>
      <c r="D871" s="23" t="s">
        <v>35</v>
      </c>
      <c r="E871" s="23">
        <v>8944</v>
      </c>
      <c r="F871" s="36">
        <v>43095</v>
      </c>
      <c r="G871" s="16">
        <v>1967012000</v>
      </c>
      <c r="H871" t="s">
        <v>273</v>
      </c>
      <c r="I871" t="s">
        <v>644</v>
      </c>
      <c r="J871" s="64">
        <v>1000</v>
      </c>
    </row>
    <row r="872" spans="1:10" x14ac:dyDescent="0.25">
      <c r="A872" s="68">
        <v>2953</v>
      </c>
      <c r="B872" s="23" t="s">
        <v>6</v>
      </c>
      <c r="C872" s="23" t="s">
        <v>7</v>
      </c>
      <c r="D872" s="23" t="s">
        <v>35</v>
      </c>
      <c r="E872" s="23">
        <v>9032</v>
      </c>
      <c r="F872" s="36">
        <v>43095</v>
      </c>
      <c r="G872" s="16">
        <v>3152001000</v>
      </c>
      <c r="H872" t="s">
        <v>416</v>
      </c>
      <c r="I872" t="s">
        <v>644</v>
      </c>
      <c r="J872" s="64">
        <v>1000</v>
      </c>
    </row>
    <row r="873" spans="1:10" x14ac:dyDescent="0.25">
      <c r="A873" s="68">
        <v>2954</v>
      </c>
      <c r="B873" s="23" t="s">
        <v>6</v>
      </c>
      <c r="C873" s="23" t="s">
        <v>7</v>
      </c>
      <c r="D873" s="23" t="s">
        <v>35</v>
      </c>
      <c r="E873" s="23">
        <v>9080</v>
      </c>
      <c r="F873" s="36">
        <v>43095</v>
      </c>
      <c r="G873" s="16">
        <v>1967007000</v>
      </c>
      <c r="H873" t="s">
        <v>282</v>
      </c>
      <c r="I873" t="s">
        <v>644</v>
      </c>
      <c r="J873" s="64">
        <v>1000</v>
      </c>
    </row>
    <row r="874" spans="1:10" x14ac:dyDescent="0.25">
      <c r="A874" s="68">
        <v>2955</v>
      </c>
      <c r="B874" s="23" t="s">
        <v>6</v>
      </c>
      <c r="C874" s="23" t="s">
        <v>7</v>
      </c>
      <c r="D874" s="23" t="s">
        <v>35</v>
      </c>
      <c r="E874" s="23">
        <v>9035</v>
      </c>
      <c r="F874" s="36">
        <v>43095</v>
      </c>
      <c r="G874" s="16">
        <v>1967007000</v>
      </c>
      <c r="H874" t="s">
        <v>282</v>
      </c>
      <c r="I874" t="s">
        <v>644</v>
      </c>
      <c r="J874" s="64">
        <v>1000</v>
      </c>
    </row>
    <row r="875" spans="1:10" x14ac:dyDescent="0.25">
      <c r="A875" s="68">
        <v>2959</v>
      </c>
      <c r="B875" s="23" t="s">
        <v>15</v>
      </c>
      <c r="C875" s="23" t="s">
        <v>16</v>
      </c>
      <c r="D875" s="23" t="s">
        <v>48</v>
      </c>
      <c r="E875" s="23">
        <v>93982120002500</v>
      </c>
      <c r="F875" s="36">
        <v>43164</v>
      </c>
      <c r="G875" s="16">
        <v>2994001000</v>
      </c>
      <c r="H875" t="s">
        <v>284</v>
      </c>
      <c r="I875" t="s">
        <v>644</v>
      </c>
      <c r="J875" s="64">
        <v>2200</v>
      </c>
    </row>
    <row r="876" spans="1:10" x14ac:dyDescent="0.25">
      <c r="A876" s="68">
        <v>2964</v>
      </c>
      <c r="B876" s="23" t="s">
        <v>492</v>
      </c>
      <c r="C876" s="23" t="s">
        <v>493</v>
      </c>
      <c r="D876" s="23" t="s">
        <v>494</v>
      </c>
      <c r="E876" s="23">
        <v>117009705</v>
      </c>
      <c r="F876" s="36">
        <v>43175</v>
      </c>
      <c r="G876" s="16">
        <v>3265001000</v>
      </c>
      <c r="H876" t="s">
        <v>245</v>
      </c>
      <c r="I876" t="s">
        <v>644</v>
      </c>
      <c r="J876" s="6"/>
    </row>
    <row r="877" spans="1:10" x14ac:dyDescent="0.25">
      <c r="A877" s="68">
        <v>2965</v>
      </c>
      <c r="B877" s="23" t="s">
        <v>400</v>
      </c>
      <c r="C877" s="23" t="s">
        <v>493</v>
      </c>
      <c r="D877" s="23" t="s">
        <v>19</v>
      </c>
      <c r="E877" s="23" t="s">
        <v>495</v>
      </c>
      <c r="F877" s="36">
        <v>43175</v>
      </c>
      <c r="G877" s="16">
        <v>3265001000</v>
      </c>
      <c r="H877" t="s">
        <v>245</v>
      </c>
      <c r="I877" t="s">
        <v>644</v>
      </c>
      <c r="J877">
        <v>36</v>
      </c>
    </row>
    <row r="878" spans="1:10" x14ac:dyDescent="0.25">
      <c r="A878" s="68">
        <v>2966</v>
      </c>
      <c r="B878" s="23" t="s">
        <v>144</v>
      </c>
      <c r="C878" s="23" t="s">
        <v>16</v>
      </c>
      <c r="D878" s="23" t="s">
        <v>19</v>
      </c>
      <c r="E878" s="23">
        <v>27235</v>
      </c>
      <c r="F878" s="36">
        <v>43174</v>
      </c>
      <c r="G878" s="16">
        <v>66011000</v>
      </c>
      <c r="H878" t="s">
        <v>166</v>
      </c>
      <c r="I878" t="s">
        <v>644</v>
      </c>
      <c r="J878" s="64">
        <v>591.5</v>
      </c>
    </row>
    <row r="879" spans="1:10" x14ac:dyDescent="0.25">
      <c r="A879" s="68">
        <v>2969</v>
      </c>
      <c r="B879" s="23" t="s">
        <v>15</v>
      </c>
      <c r="C879" s="23" t="s">
        <v>16</v>
      </c>
      <c r="D879" s="23" t="s">
        <v>48</v>
      </c>
      <c r="E879" s="23">
        <v>2665</v>
      </c>
      <c r="F879" s="36">
        <v>43228</v>
      </c>
      <c r="G879" s="16">
        <v>953011000</v>
      </c>
      <c r="H879" t="s">
        <v>272</v>
      </c>
      <c r="I879" t="s">
        <v>644</v>
      </c>
      <c r="J879" s="64">
        <v>2200</v>
      </c>
    </row>
    <row r="880" spans="1:10" x14ac:dyDescent="0.25">
      <c r="A880" s="68">
        <v>2970</v>
      </c>
      <c r="B880" s="23" t="s">
        <v>15</v>
      </c>
      <c r="C880" s="23" t="s">
        <v>16</v>
      </c>
      <c r="D880" s="23" t="s">
        <v>17</v>
      </c>
      <c r="F880" s="36">
        <v>43294</v>
      </c>
      <c r="G880" s="16">
        <v>193012000</v>
      </c>
      <c r="H880" t="s">
        <v>200</v>
      </c>
      <c r="I880" t="s">
        <v>644</v>
      </c>
      <c r="J880" s="64">
        <v>3400</v>
      </c>
    </row>
    <row r="881" spans="1:10" x14ac:dyDescent="0.25">
      <c r="A881" s="68">
        <v>2977</v>
      </c>
      <c r="B881" s="23" t="s">
        <v>6</v>
      </c>
      <c r="C881" s="23" t="s">
        <v>75</v>
      </c>
      <c r="D881" s="23" t="s">
        <v>19</v>
      </c>
      <c r="F881" s="36">
        <v>43358</v>
      </c>
      <c r="G881" s="16">
        <v>165008000</v>
      </c>
      <c r="H881" t="s">
        <v>203</v>
      </c>
      <c r="I881" t="s">
        <v>644</v>
      </c>
      <c r="J881" s="61"/>
    </row>
    <row r="882" spans="1:10" x14ac:dyDescent="0.25">
      <c r="A882" s="68">
        <v>2978</v>
      </c>
      <c r="B882" s="23" t="s">
        <v>492</v>
      </c>
      <c r="C882" s="23" t="s">
        <v>496</v>
      </c>
      <c r="D882" s="23">
        <v>7876817</v>
      </c>
      <c r="F882" s="36">
        <v>43403</v>
      </c>
      <c r="G882" s="16">
        <v>1014002</v>
      </c>
      <c r="H882" t="s">
        <v>191</v>
      </c>
      <c r="J882" s="61"/>
    </row>
    <row r="883" spans="1:10" x14ac:dyDescent="0.25">
      <c r="A883" s="68">
        <v>2979</v>
      </c>
      <c r="B883" s="23" t="s">
        <v>400</v>
      </c>
      <c r="C883" s="23" t="s">
        <v>497</v>
      </c>
      <c r="D883" s="23" t="s">
        <v>498</v>
      </c>
      <c r="F883" s="36">
        <v>43403</v>
      </c>
      <c r="G883" s="16">
        <v>66011000</v>
      </c>
      <c r="H883" t="s">
        <v>166</v>
      </c>
      <c r="I883" t="s">
        <v>644</v>
      </c>
      <c r="J883">
        <v>36</v>
      </c>
    </row>
    <row r="884" spans="1:10" x14ac:dyDescent="0.25">
      <c r="A884" s="68">
        <v>2981</v>
      </c>
      <c r="B884" s="23" t="s">
        <v>56</v>
      </c>
      <c r="C884" s="23" t="s">
        <v>16</v>
      </c>
      <c r="D884" s="23" t="s">
        <v>499</v>
      </c>
      <c r="F884" s="36">
        <v>43500</v>
      </c>
      <c r="G884" s="16">
        <v>2126001000</v>
      </c>
      <c r="H884" t="s">
        <v>180</v>
      </c>
      <c r="I884" t="s">
        <v>644</v>
      </c>
      <c r="J884" s="64">
        <v>3400</v>
      </c>
    </row>
    <row r="885" spans="1:10" x14ac:dyDescent="0.25">
      <c r="A885" s="68">
        <v>2986</v>
      </c>
      <c r="B885" s="23" t="s">
        <v>409</v>
      </c>
      <c r="C885" s="23" t="s">
        <v>16</v>
      </c>
      <c r="D885" s="23" t="s">
        <v>479</v>
      </c>
      <c r="E885" s="23" t="s">
        <v>472</v>
      </c>
      <c r="F885" s="36">
        <v>43676</v>
      </c>
      <c r="G885" s="16">
        <v>165001000</v>
      </c>
      <c r="H885" t="s">
        <v>198</v>
      </c>
      <c r="I885" t="s">
        <v>644</v>
      </c>
      <c r="J885" s="64">
        <v>3600</v>
      </c>
    </row>
    <row r="886" spans="1:10" x14ac:dyDescent="0.25">
      <c r="A886" s="68">
        <v>2988</v>
      </c>
      <c r="B886" s="23" t="s">
        <v>6</v>
      </c>
      <c r="C886" s="23" t="s">
        <v>7</v>
      </c>
      <c r="D886" s="23" t="s">
        <v>35</v>
      </c>
      <c r="E886" s="23">
        <v>9863</v>
      </c>
      <c r="F886" s="36">
        <v>43711</v>
      </c>
      <c r="G886" s="16">
        <v>153002000</v>
      </c>
      <c r="H886" t="s">
        <v>189</v>
      </c>
      <c r="I886" t="s">
        <v>644</v>
      </c>
      <c r="J886" s="64">
        <v>1000</v>
      </c>
    </row>
    <row r="887" spans="1:10" x14ac:dyDescent="0.25">
      <c r="A887" s="68">
        <v>2989</v>
      </c>
      <c r="B887" s="23" t="s">
        <v>6</v>
      </c>
      <c r="C887" s="23" t="s">
        <v>7</v>
      </c>
      <c r="D887" s="23" t="s">
        <v>35</v>
      </c>
      <c r="E887" s="23">
        <v>9930</v>
      </c>
      <c r="F887" s="36">
        <v>43711</v>
      </c>
      <c r="G887" s="16">
        <v>2548013000</v>
      </c>
      <c r="H887" t="s">
        <v>319</v>
      </c>
      <c r="I887" t="s">
        <v>644</v>
      </c>
      <c r="J887" s="64">
        <v>1000</v>
      </c>
    </row>
    <row r="888" spans="1:10" x14ac:dyDescent="0.25">
      <c r="A888" s="68">
        <v>2990</v>
      </c>
      <c r="B888" s="23" t="s">
        <v>6</v>
      </c>
      <c r="C888" s="23" t="s">
        <v>66</v>
      </c>
      <c r="E888" s="23" t="s">
        <v>500</v>
      </c>
      <c r="F888" s="36">
        <v>43718</v>
      </c>
      <c r="G888" s="16">
        <v>3319002000</v>
      </c>
      <c r="H888" t="s">
        <v>224</v>
      </c>
      <c r="I888" t="s">
        <v>644</v>
      </c>
      <c r="J888" s="64">
        <v>767</v>
      </c>
    </row>
    <row r="889" spans="1:10" x14ac:dyDescent="0.25">
      <c r="A889" s="68">
        <v>2993</v>
      </c>
      <c r="B889" s="23" t="s">
        <v>6</v>
      </c>
      <c r="C889" s="23" t="s">
        <v>16</v>
      </c>
      <c r="D889" s="23" t="s">
        <v>127</v>
      </c>
      <c r="F889" s="36">
        <v>43719</v>
      </c>
      <c r="G889" s="16">
        <v>3135003000</v>
      </c>
      <c r="H889" t="s">
        <v>307</v>
      </c>
      <c r="I889" t="s">
        <v>644</v>
      </c>
      <c r="J889" s="64">
        <v>1200</v>
      </c>
    </row>
    <row r="890" spans="1:10" x14ac:dyDescent="0.25">
      <c r="A890" s="68">
        <v>2994</v>
      </c>
      <c r="B890" s="23" t="s">
        <v>56</v>
      </c>
      <c r="C890" s="23" t="s">
        <v>44</v>
      </c>
      <c r="D890" s="23" t="s">
        <v>19</v>
      </c>
      <c r="F890" s="36">
        <v>43718</v>
      </c>
      <c r="G890" s="16">
        <v>165008000</v>
      </c>
      <c r="H890" t="s">
        <v>203</v>
      </c>
      <c r="I890" t="s">
        <v>644</v>
      </c>
      <c r="J890" s="61"/>
    </row>
    <row r="891" spans="1:10" x14ac:dyDescent="0.25">
      <c r="A891" s="68">
        <v>3000</v>
      </c>
      <c r="B891" s="23" t="s">
        <v>6</v>
      </c>
      <c r="C891" s="23" t="s">
        <v>7</v>
      </c>
      <c r="D891" s="23" t="s">
        <v>35</v>
      </c>
      <c r="F891" s="36">
        <v>43763</v>
      </c>
      <c r="G891" s="16">
        <v>3178010000</v>
      </c>
      <c r="H891" t="s">
        <v>301</v>
      </c>
      <c r="I891" t="s">
        <v>644</v>
      </c>
      <c r="J891" s="64">
        <v>1000</v>
      </c>
    </row>
    <row r="892" spans="1:10" x14ac:dyDescent="0.25">
      <c r="A892" s="68">
        <v>3016</v>
      </c>
      <c r="B892" s="23" t="s">
        <v>15</v>
      </c>
      <c r="C892" s="23" t="s">
        <v>44</v>
      </c>
      <c r="D892" s="23" t="s">
        <v>45</v>
      </c>
      <c r="E892" s="23">
        <v>123456</v>
      </c>
      <c r="F892" s="36">
        <v>43776</v>
      </c>
      <c r="G892" s="16">
        <v>3116001000</v>
      </c>
      <c r="H892" t="s">
        <v>188</v>
      </c>
      <c r="I892" t="s">
        <v>644</v>
      </c>
      <c r="J892" s="64">
        <v>1700</v>
      </c>
    </row>
    <row r="893" spans="1:10" x14ac:dyDescent="0.25">
      <c r="A893" s="68">
        <v>3017</v>
      </c>
      <c r="B893" s="23" t="s">
        <v>34</v>
      </c>
      <c r="C893" s="23" t="s">
        <v>7</v>
      </c>
      <c r="D893" s="23" t="s">
        <v>11</v>
      </c>
      <c r="E893" s="23">
        <v>39695</v>
      </c>
      <c r="F893" s="36">
        <v>43781</v>
      </c>
      <c r="G893" s="16">
        <v>1652002001</v>
      </c>
      <c r="H893" t="s">
        <v>294</v>
      </c>
      <c r="I893" t="s">
        <v>644</v>
      </c>
      <c r="J893" s="64">
        <v>309.5</v>
      </c>
    </row>
    <row r="894" spans="1:10" x14ac:dyDescent="0.25">
      <c r="A894" s="68">
        <v>3020</v>
      </c>
      <c r="B894" s="23" t="s">
        <v>6</v>
      </c>
      <c r="C894" s="23" t="s">
        <v>28</v>
      </c>
      <c r="D894" s="23" t="s">
        <v>35</v>
      </c>
      <c r="E894" s="23">
        <v>10065</v>
      </c>
      <c r="F894" s="36">
        <v>43781</v>
      </c>
      <c r="G894" s="16">
        <v>1068027000</v>
      </c>
      <c r="H894" t="s">
        <v>501</v>
      </c>
      <c r="I894" t="s">
        <v>644</v>
      </c>
      <c r="J894" s="64">
        <v>1000</v>
      </c>
    </row>
    <row r="895" spans="1:10" x14ac:dyDescent="0.25">
      <c r="A895" s="68">
        <v>3021</v>
      </c>
      <c r="B895" s="23" t="s">
        <v>6</v>
      </c>
      <c r="C895" s="23" t="s">
        <v>28</v>
      </c>
      <c r="D895" s="23" t="s">
        <v>35</v>
      </c>
      <c r="E895" s="23">
        <v>10066</v>
      </c>
      <c r="F895" s="36">
        <v>43781</v>
      </c>
      <c r="G895" s="16">
        <v>1165000000</v>
      </c>
      <c r="H895" t="s">
        <v>184</v>
      </c>
      <c r="I895" t="s">
        <v>644</v>
      </c>
      <c r="J895" s="64">
        <v>1000</v>
      </c>
    </row>
    <row r="896" spans="1:10" x14ac:dyDescent="0.25">
      <c r="A896" s="68">
        <v>3022</v>
      </c>
      <c r="B896" s="23" t="s">
        <v>6</v>
      </c>
      <c r="C896" s="23" t="s">
        <v>28</v>
      </c>
      <c r="D896" s="23" t="s">
        <v>35</v>
      </c>
      <c r="E896" s="23">
        <v>10067</v>
      </c>
      <c r="F896" s="36">
        <v>43781</v>
      </c>
      <c r="G896" s="16">
        <v>1652002001</v>
      </c>
      <c r="H896" t="s">
        <v>294</v>
      </c>
      <c r="I896" t="s">
        <v>644</v>
      </c>
      <c r="J896" s="64">
        <v>1000</v>
      </c>
    </row>
    <row r="897" spans="1:10" x14ac:dyDescent="0.25">
      <c r="A897" s="68">
        <v>3023</v>
      </c>
      <c r="B897" s="23" t="s">
        <v>6</v>
      </c>
      <c r="C897" s="23" t="s">
        <v>28</v>
      </c>
      <c r="D897" s="23" t="s">
        <v>35</v>
      </c>
      <c r="E897" s="23">
        <v>10068</v>
      </c>
      <c r="F897" s="36">
        <v>43781</v>
      </c>
      <c r="G897" s="16">
        <v>3370011000</v>
      </c>
      <c r="H897" t="s">
        <v>404</v>
      </c>
      <c r="I897" t="s">
        <v>644</v>
      </c>
      <c r="J897" s="64">
        <v>1000</v>
      </c>
    </row>
    <row r="898" spans="1:10" x14ac:dyDescent="0.25">
      <c r="A898" s="68">
        <v>3024</v>
      </c>
      <c r="B898" s="23" t="s">
        <v>6</v>
      </c>
      <c r="C898" s="23" t="s">
        <v>28</v>
      </c>
      <c r="D898" s="23" t="s">
        <v>35</v>
      </c>
      <c r="E898" s="23">
        <v>10070</v>
      </c>
      <c r="F898" s="36">
        <v>43798</v>
      </c>
      <c r="G898" s="16">
        <v>1925007000</v>
      </c>
      <c r="H898" t="s">
        <v>450</v>
      </c>
      <c r="I898" t="s">
        <v>644</v>
      </c>
      <c r="J898" s="64">
        <v>1000</v>
      </c>
    </row>
    <row r="899" spans="1:10" x14ac:dyDescent="0.25">
      <c r="A899" s="68">
        <v>3025</v>
      </c>
      <c r="B899" s="23" t="s">
        <v>6</v>
      </c>
      <c r="C899" s="23" t="s">
        <v>28</v>
      </c>
      <c r="D899" s="23" t="s">
        <v>35</v>
      </c>
      <c r="E899" s="23">
        <v>10069</v>
      </c>
      <c r="F899" s="36">
        <v>43798</v>
      </c>
      <c r="G899" s="16">
        <v>2053001000</v>
      </c>
      <c r="H899" t="s">
        <v>300</v>
      </c>
      <c r="I899" t="s">
        <v>644</v>
      </c>
      <c r="J899" s="64">
        <v>1000</v>
      </c>
    </row>
    <row r="900" spans="1:10" x14ac:dyDescent="0.25">
      <c r="A900" s="68">
        <v>3036</v>
      </c>
      <c r="B900" s="23" t="s">
        <v>6</v>
      </c>
      <c r="C900" s="23" t="s">
        <v>111</v>
      </c>
      <c r="D900" s="23" t="s">
        <v>112</v>
      </c>
      <c r="E900" s="23">
        <v>1192</v>
      </c>
      <c r="F900" s="36">
        <v>43803</v>
      </c>
      <c r="G900" s="16">
        <v>2499001000</v>
      </c>
      <c r="H900" t="s">
        <v>363</v>
      </c>
      <c r="I900" t="s">
        <v>644</v>
      </c>
      <c r="J900" s="64">
        <f>2.2*1000</f>
        <v>2200</v>
      </c>
    </row>
    <row r="901" spans="1:10" x14ac:dyDescent="0.25">
      <c r="A901" s="68">
        <v>3037</v>
      </c>
      <c r="B901" s="23" t="s">
        <v>6</v>
      </c>
      <c r="C901" s="23" t="s">
        <v>111</v>
      </c>
      <c r="D901" s="23" t="s">
        <v>112</v>
      </c>
      <c r="E901" s="23">
        <v>1200</v>
      </c>
      <c r="F901" s="36">
        <v>43803</v>
      </c>
      <c r="G901" s="16">
        <v>165001000</v>
      </c>
      <c r="H901" t="s">
        <v>198</v>
      </c>
      <c r="I901" t="s">
        <v>644</v>
      </c>
      <c r="J901" s="64">
        <f>2.2*1000</f>
        <v>2200</v>
      </c>
    </row>
    <row r="902" spans="1:10" x14ac:dyDescent="0.25">
      <c r="A902" s="68">
        <v>3038</v>
      </c>
      <c r="B902" s="23" t="s">
        <v>6</v>
      </c>
      <c r="C902" s="23" t="s">
        <v>111</v>
      </c>
      <c r="D902" s="23" t="s">
        <v>112</v>
      </c>
      <c r="E902" s="23">
        <v>1199</v>
      </c>
      <c r="F902" s="36">
        <v>43773</v>
      </c>
      <c r="G902" s="16">
        <v>1925010000</v>
      </c>
      <c r="H902" t="s">
        <v>433</v>
      </c>
      <c r="I902" t="s">
        <v>644</v>
      </c>
      <c r="J902" s="64">
        <f>2.2*1000</f>
        <v>2200</v>
      </c>
    </row>
    <row r="903" spans="1:10" x14ac:dyDescent="0.25">
      <c r="A903" s="68">
        <v>3040</v>
      </c>
      <c r="B903" s="23" t="s">
        <v>15</v>
      </c>
      <c r="C903" s="23" t="s">
        <v>113</v>
      </c>
      <c r="D903" s="23" t="s">
        <v>114</v>
      </c>
      <c r="E903" s="23">
        <v>12345</v>
      </c>
      <c r="F903" s="36">
        <v>43590</v>
      </c>
      <c r="G903" s="16">
        <v>3135001000</v>
      </c>
      <c r="H903" t="s">
        <v>171</v>
      </c>
      <c r="I903" t="s">
        <v>644</v>
      </c>
      <c r="J903" s="64">
        <v>1199.5</v>
      </c>
    </row>
    <row r="904" spans="1:10" x14ac:dyDescent="0.25">
      <c r="A904" s="68">
        <v>3041</v>
      </c>
      <c r="B904" s="23" t="s">
        <v>15</v>
      </c>
      <c r="C904" s="23" t="s">
        <v>113</v>
      </c>
      <c r="D904" s="23" t="s">
        <v>114</v>
      </c>
      <c r="E904" s="23">
        <v>12345</v>
      </c>
      <c r="F904" s="36">
        <v>43811</v>
      </c>
      <c r="G904" s="16">
        <v>3365001000</v>
      </c>
      <c r="H904" t="s">
        <v>227</v>
      </c>
      <c r="I904" t="s">
        <v>644</v>
      </c>
      <c r="J904" s="64">
        <v>1199.5</v>
      </c>
    </row>
    <row r="905" spans="1:10" x14ac:dyDescent="0.25">
      <c r="A905" s="68">
        <v>3042</v>
      </c>
      <c r="B905" s="23" t="s">
        <v>15</v>
      </c>
      <c r="C905" s="23" t="s">
        <v>113</v>
      </c>
      <c r="D905" s="23" t="s">
        <v>114</v>
      </c>
      <c r="E905" s="23">
        <v>5656565</v>
      </c>
      <c r="F905" s="36">
        <v>43811</v>
      </c>
      <c r="G905" s="16">
        <v>165001000</v>
      </c>
      <c r="H905" t="s">
        <v>198</v>
      </c>
      <c r="I905" t="s">
        <v>644</v>
      </c>
      <c r="J905" s="64">
        <v>1199.5</v>
      </c>
    </row>
    <row r="906" spans="1:10" x14ac:dyDescent="0.25">
      <c r="A906" s="68">
        <v>3043</v>
      </c>
      <c r="B906" s="23" t="s">
        <v>15</v>
      </c>
      <c r="C906" s="23" t="s">
        <v>113</v>
      </c>
      <c r="D906" s="23" t="s">
        <v>114</v>
      </c>
      <c r="E906" s="23">
        <v>12345</v>
      </c>
      <c r="F906" s="36">
        <v>43816</v>
      </c>
      <c r="G906" s="16">
        <v>66035000</v>
      </c>
      <c r="H906" t="s">
        <v>242</v>
      </c>
      <c r="I906" t="s">
        <v>644</v>
      </c>
      <c r="J906" s="64">
        <v>1199.5</v>
      </c>
    </row>
    <row r="907" spans="1:10" x14ac:dyDescent="0.25">
      <c r="A907" s="68">
        <v>3044</v>
      </c>
      <c r="B907" s="23" t="s">
        <v>409</v>
      </c>
      <c r="C907" s="23" t="s">
        <v>113</v>
      </c>
      <c r="D907" s="23" t="s">
        <v>410</v>
      </c>
      <c r="E907" s="23">
        <v>12345</v>
      </c>
      <c r="F907" s="36">
        <v>43816</v>
      </c>
      <c r="G907" s="16">
        <v>1925007000</v>
      </c>
      <c r="H907" t="s">
        <v>450</v>
      </c>
      <c r="I907" t="s">
        <v>644</v>
      </c>
      <c r="J907" s="61">
        <v>3600</v>
      </c>
    </row>
    <row r="908" spans="1:10" x14ac:dyDescent="0.25">
      <c r="A908" s="68">
        <v>3045</v>
      </c>
      <c r="B908" s="23" t="s">
        <v>6</v>
      </c>
      <c r="C908" s="23" t="s">
        <v>25</v>
      </c>
      <c r="D908" s="23" t="s">
        <v>55</v>
      </c>
      <c r="E908" s="23" t="s">
        <v>502</v>
      </c>
      <c r="F908" s="36">
        <v>43831</v>
      </c>
      <c r="G908" s="16">
        <v>3134001000</v>
      </c>
      <c r="H908" t="s">
        <v>312</v>
      </c>
      <c r="I908" t="s">
        <v>644</v>
      </c>
      <c r="J908" s="64">
        <v>1000</v>
      </c>
    </row>
    <row r="909" spans="1:10" x14ac:dyDescent="0.25">
      <c r="A909" s="68">
        <v>3046</v>
      </c>
      <c r="B909" s="23" t="s">
        <v>6</v>
      </c>
      <c r="C909" s="23" t="s">
        <v>25</v>
      </c>
      <c r="D909" s="23" t="s">
        <v>55</v>
      </c>
      <c r="E909" s="23" t="s">
        <v>503</v>
      </c>
      <c r="F909" s="36">
        <v>43831</v>
      </c>
      <c r="G909" s="16">
        <v>2147001000</v>
      </c>
      <c r="H909" t="s">
        <v>415</v>
      </c>
      <c r="I909" t="s">
        <v>644</v>
      </c>
      <c r="J909" s="64">
        <v>1000</v>
      </c>
    </row>
    <row r="910" spans="1:10" x14ac:dyDescent="0.25">
      <c r="A910" s="68">
        <v>3047</v>
      </c>
      <c r="B910" s="23" t="s">
        <v>6</v>
      </c>
      <c r="C910" s="23" t="s">
        <v>25</v>
      </c>
      <c r="D910" s="23" t="s">
        <v>55</v>
      </c>
      <c r="E910" s="23" t="s">
        <v>504</v>
      </c>
      <c r="F910" s="36">
        <v>43831</v>
      </c>
      <c r="G910" s="16">
        <v>3134001000</v>
      </c>
      <c r="H910" t="s">
        <v>312</v>
      </c>
      <c r="I910" t="s">
        <v>644</v>
      </c>
      <c r="J910" s="64">
        <v>1000</v>
      </c>
    </row>
    <row r="911" spans="1:10" x14ac:dyDescent="0.25">
      <c r="A911" s="68">
        <v>3052</v>
      </c>
      <c r="B911" s="23" t="s">
        <v>15</v>
      </c>
      <c r="C911" s="23" t="s">
        <v>44</v>
      </c>
      <c r="D911" s="23" t="s">
        <v>45</v>
      </c>
      <c r="E911" s="23">
        <v>6543211</v>
      </c>
      <c r="F911" s="36">
        <v>43846</v>
      </c>
      <c r="G911" s="16">
        <v>1925007000</v>
      </c>
      <c r="H911" t="s">
        <v>450</v>
      </c>
      <c r="I911" t="s">
        <v>644</v>
      </c>
      <c r="J911" s="64">
        <v>1700</v>
      </c>
    </row>
    <row r="912" spans="1:10" x14ac:dyDescent="0.25">
      <c r="A912" s="68">
        <v>3057</v>
      </c>
      <c r="B912" s="23" t="s">
        <v>6</v>
      </c>
      <c r="C912" s="23" t="s">
        <v>25</v>
      </c>
      <c r="D912" s="23" t="s">
        <v>136</v>
      </c>
      <c r="E912" s="23" t="s">
        <v>505</v>
      </c>
      <c r="F912" s="36">
        <v>43854</v>
      </c>
      <c r="G912" s="16">
        <v>2499001000</v>
      </c>
      <c r="H912" t="s">
        <v>363</v>
      </c>
      <c r="I912" t="s">
        <v>644</v>
      </c>
      <c r="J912" s="64">
        <v>1000</v>
      </c>
    </row>
    <row r="913" spans="1:10" x14ac:dyDescent="0.25">
      <c r="A913" s="68">
        <v>3058</v>
      </c>
      <c r="B913" s="23" t="s">
        <v>6</v>
      </c>
      <c r="C913" s="23" t="s">
        <v>25</v>
      </c>
      <c r="D913" s="23" t="s">
        <v>136</v>
      </c>
      <c r="E913" s="23" t="s">
        <v>506</v>
      </c>
      <c r="F913" s="36">
        <v>43854</v>
      </c>
      <c r="G913" s="16">
        <v>3135002000</v>
      </c>
      <c r="H913" t="s">
        <v>507</v>
      </c>
      <c r="I913" t="s">
        <v>644</v>
      </c>
      <c r="J913" s="64">
        <v>1000</v>
      </c>
    </row>
    <row r="914" spans="1:10" x14ac:dyDescent="0.25">
      <c r="A914" s="68">
        <v>3059</v>
      </c>
      <c r="B914" s="23" t="s">
        <v>409</v>
      </c>
      <c r="C914" s="23" t="s">
        <v>113</v>
      </c>
      <c r="D914" s="23" t="s">
        <v>410</v>
      </c>
      <c r="E914" s="23">
        <v>1234567</v>
      </c>
      <c r="F914" s="36">
        <v>43854</v>
      </c>
      <c r="G914" s="16">
        <v>1014001</v>
      </c>
      <c r="H914" t="s">
        <v>163</v>
      </c>
      <c r="J914" s="61">
        <v>3600</v>
      </c>
    </row>
    <row r="915" spans="1:10" x14ac:dyDescent="0.25">
      <c r="A915" s="68">
        <v>3061</v>
      </c>
      <c r="B915" s="23" t="s">
        <v>6</v>
      </c>
      <c r="C915" s="23" t="s">
        <v>28</v>
      </c>
      <c r="D915" s="23" t="s">
        <v>29</v>
      </c>
      <c r="E915" s="23">
        <v>10051</v>
      </c>
      <c r="F915" s="36">
        <v>43857</v>
      </c>
      <c r="G915" s="16">
        <v>2053001000</v>
      </c>
      <c r="H915" t="s">
        <v>300</v>
      </c>
      <c r="I915" t="s">
        <v>644</v>
      </c>
      <c r="J915" s="64">
        <v>1000</v>
      </c>
    </row>
    <row r="916" spans="1:10" x14ac:dyDescent="0.25">
      <c r="A916" s="68">
        <v>3062</v>
      </c>
      <c r="B916" s="23" t="s">
        <v>6</v>
      </c>
      <c r="C916" s="23" t="s">
        <v>28</v>
      </c>
      <c r="D916" s="23" t="s">
        <v>29</v>
      </c>
      <c r="E916" s="23">
        <v>10052</v>
      </c>
      <c r="F916" s="36">
        <v>43857</v>
      </c>
      <c r="G916" s="16">
        <v>3135005000</v>
      </c>
      <c r="H916" t="s">
        <v>440</v>
      </c>
      <c r="I916" t="s">
        <v>644</v>
      </c>
      <c r="J916" s="64">
        <v>1000</v>
      </c>
    </row>
    <row r="917" spans="1:10" x14ac:dyDescent="0.25">
      <c r="A917" s="68">
        <v>3063</v>
      </c>
      <c r="B917" s="23" t="s">
        <v>6</v>
      </c>
      <c r="C917" s="23" t="s">
        <v>28</v>
      </c>
      <c r="D917" s="23" t="s">
        <v>35</v>
      </c>
      <c r="E917" s="23">
        <v>10076</v>
      </c>
      <c r="F917" s="36">
        <v>43858</v>
      </c>
      <c r="G917" s="16">
        <v>3135001000</v>
      </c>
      <c r="H917" t="s">
        <v>171</v>
      </c>
      <c r="I917" t="s">
        <v>644</v>
      </c>
      <c r="J917" s="64">
        <v>1000</v>
      </c>
    </row>
    <row r="918" spans="1:10" x14ac:dyDescent="0.25">
      <c r="A918" s="68">
        <v>3064</v>
      </c>
      <c r="B918" s="23" t="s">
        <v>6</v>
      </c>
      <c r="C918" s="23" t="s">
        <v>28</v>
      </c>
      <c r="D918" s="23" t="s">
        <v>35</v>
      </c>
      <c r="E918" s="23">
        <v>10080</v>
      </c>
      <c r="F918" s="36">
        <v>43858</v>
      </c>
      <c r="G918" s="16">
        <v>3135003000</v>
      </c>
      <c r="H918" t="s">
        <v>307</v>
      </c>
      <c r="I918" t="s">
        <v>644</v>
      </c>
      <c r="J918" s="64">
        <v>1000</v>
      </c>
    </row>
    <row r="919" spans="1:10" x14ac:dyDescent="0.25">
      <c r="A919" s="68">
        <v>3066</v>
      </c>
      <c r="B919" s="23" t="s">
        <v>56</v>
      </c>
      <c r="C919" s="23" t="s">
        <v>44</v>
      </c>
      <c r="F919" s="36">
        <v>43871</v>
      </c>
      <c r="G919" s="16">
        <v>3134001000</v>
      </c>
      <c r="H919" t="s">
        <v>312</v>
      </c>
      <c r="I919" t="s">
        <v>644</v>
      </c>
      <c r="J919" s="61">
        <v>3600</v>
      </c>
    </row>
    <row r="920" spans="1:10" x14ac:dyDescent="0.25">
      <c r="A920" s="68">
        <v>3069</v>
      </c>
      <c r="B920" s="23" t="s">
        <v>401</v>
      </c>
      <c r="C920" s="23" t="s">
        <v>25</v>
      </c>
      <c r="E920" s="23">
        <v>12345678</v>
      </c>
      <c r="F920" s="36">
        <v>43888</v>
      </c>
      <c r="G920" s="16">
        <v>1014002</v>
      </c>
      <c r="H920" t="s">
        <v>191</v>
      </c>
      <c r="J920" s="40">
        <v>24</v>
      </c>
    </row>
    <row r="921" spans="1:10" x14ac:dyDescent="0.25">
      <c r="A921" s="68">
        <v>3071</v>
      </c>
      <c r="B921" s="23" t="s">
        <v>401</v>
      </c>
      <c r="C921" s="23" t="s">
        <v>25</v>
      </c>
      <c r="D921" s="23" t="s">
        <v>19</v>
      </c>
      <c r="E921" s="23">
        <v>123456789</v>
      </c>
      <c r="F921" s="36">
        <v>43888</v>
      </c>
      <c r="G921" s="16">
        <v>2499001000</v>
      </c>
      <c r="H921" t="s">
        <v>363</v>
      </c>
      <c r="I921" t="s">
        <v>644</v>
      </c>
      <c r="J921" s="40">
        <v>24</v>
      </c>
    </row>
    <row r="922" spans="1:10" x14ac:dyDescent="0.25">
      <c r="A922" s="68">
        <v>3075</v>
      </c>
      <c r="B922" s="23" t="s">
        <v>6</v>
      </c>
      <c r="C922" s="23" t="s">
        <v>16</v>
      </c>
      <c r="D922" s="23" t="s">
        <v>60</v>
      </c>
      <c r="E922" s="23">
        <v>11111111111</v>
      </c>
      <c r="F922" s="36">
        <v>43831</v>
      </c>
      <c r="G922" s="16">
        <v>2499001000</v>
      </c>
      <c r="H922" t="s">
        <v>363</v>
      </c>
      <c r="I922" t="s">
        <v>644</v>
      </c>
      <c r="J922" s="64">
        <v>1500</v>
      </c>
    </row>
    <row r="923" spans="1:10" x14ac:dyDescent="0.25">
      <c r="A923" s="68">
        <v>3076</v>
      </c>
      <c r="B923" s="23" t="s">
        <v>6</v>
      </c>
      <c r="C923" s="23" t="s">
        <v>25</v>
      </c>
      <c r="D923" s="23" t="s">
        <v>42</v>
      </c>
      <c r="E923" s="23" t="s">
        <v>508</v>
      </c>
      <c r="F923" s="36">
        <v>43903</v>
      </c>
      <c r="G923" s="16">
        <v>18001000</v>
      </c>
      <c r="H923" t="s">
        <v>193</v>
      </c>
      <c r="I923" t="s">
        <v>644</v>
      </c>
      <c r="J923" s="64">
        <v>2000</v>
      </c>
    </row>
    <row r="924" spans="1:10" x14ac:dyDescent="0.25">
      <c r="A924" s="68">
        <v>3083</v>
      </c>
      <c r="B924" s="23" t="s">
        <v>401</v>
      </c>
      <c r="C924" s="23" t="s">
        <v>111</v>
      </c>
      <c r="D924" s="23" t="s">
        <v>19</v>
      </c>
      <c r="E924" s="23" t="s">
        <v>509</v>
      </c>
      <c r="F924" s="36">
        <v>43949</v>
      </c>
      <c r="G924" s="16">
        <v>66032000</v>
      </c>
      <c r="H924" t="s">
        <v>190</v>
      </c>
      <c r="I924" t="s">
        <v>644</v>
      </c>
      <c r="J924">
        <v>24</v>
      </c>
    </row>
    <row r="925" spans="1:10" x14ac:dyDescent="0.25">
      <c r="A925" s="68">
        <v>3084</v>
      </c>
      <c r="B925" s="23" t="s">
        <v>401</v>
      </c>
      <c r="C925" s="23" t="s">
        <v>111</v>
      </c>
      <c r="D925" s="23" t="s">
        <v>19</v>
      </c>
      <c r="E925" s="23" t="s">
        <v>510</v>
      </c>
      <c r="F925" s="36">
        <v>43949</v>
      </c>
      <c r="G925" s="16">
        <v>3265004000</v>
      </c>
      <c r="H925" t="s">
        <v>511</v>
      </c>
      <c r="I925" t="s">
        <v>644</v>
      </c>
      <c r="J925">
        <v>24</v>
      </c>
    </row>
    <row r="926" spans="1:10" x14ac:dyDescent="0.25">
      <c r="A926" s="68">
        <v>3085</v>
      </c>
      <c r="B926" s="23" t="s">
        <v>401</v>
      </c>
      <c r="C926" s="23" t="s">
        <v>111</v>
      </c>
      <c r="D926" s="23" t="s">
        <v>19</v>
      </c>
      <c r="E926" s="23" t="s">
        <v>512</v>
      </c>
      <c r="F926" s="36">
        <v>43949</v>
      </c>
      <c r="G926" s="16">
        <v>66032000</v>
      </c>
      <c r="H926" t="s">
        <v>190</v>
      </c>
      <c r="I926" t="s">
        <v>644</v>
      </c>
      <c r="J926">
        <v>24</v>
      </c>
    </row>
    <row r="927" spans="1:10" x14ac:dyDescent="0.25">
      <c r="A927" s="68">
        <v>3096</v>
      </c>
      <c r="B927" s="23" t="s">
        <v>149</v>
      </c>
      <c r="C927" s="23" t="s">
        <v>513</v>
      </c>
      <c r="D927" s="23" t="s">
        <v>19</v>
      </c>
      <c r="E927" s="23">
        <v>12349</v>
      </c>
      <c r="F927" s="36">
        <v>44354</v>
      </c>
      <c r="G927" s="16">
        <v>66011000</v>
      </c>
      <c r="H927" t="s">
        <v>166</v>
      </c>
      <c r="I927" t="s">
        <v>644</v>
      </c>
      <c r="J927" s="61"/>
    </row>
    <row r="928" spans="1:10" x14ac:dyDescent="0.25">
      <c r="A928" s="68">
        <v>3097</v>
      </c>
      <c r="B928" s="23" t="s">
        <v>104</v>
      </c>
      <c r="C928" s="23" t="s">
        <v>75</v>
      </c>
      <c r="D928" s="23" t="s">
        <v>19</v>
      </c>
      <c r="E928" s="23" t="s">
        <v>514</v>
      </c>
      <c r="F928" s="36">
        <v>43987</v>
      </c>
      <c r="G928" s="16">
        <v>953015000</v>
      </c>
      <c r="H928" t="s">
        <v>515</v>
      </c>
      <c r="I928" t="s">
        <v>644</v>
      </c>
      <c r="J928" s="61"/>
    </row>
    <row r="929" spans="1:10" x14ac:dyDescent="0.25">
      <c r="A929" s="68">
        <v>3104</v>
      </c>
      <c r="B929" s="23" t="s">
        <v>401</v>
      </c>
      <c r="C929" s="23" t="s">
        <v>516</v>
      </c>
      <c r="D929" s="23" t="s">
        <v>517</v>
      </c>
      <c r="E929" s="23">
        <v>123456789</v>
      </c>
      <c r="F929" s="36">
        <v>44013</v>
      </c>
      <c r="G929" s="16">
        <v>165001000</v>
      </c>
      <c r="H929" t="s">
        <v>198</v>
      </c>
      <c r="I929" t="s">
        <v>644</v>
      </c>
      <c r="J929" s="40">
        <v>24</v>
      </c>
    </row>
    <row r="930" spans="1:10" x14ac:dyDescent="0.25">
      <c r="A930" s="68">
        <v>3107</v>
      </c>
      <c r="B930" s="23" t="s">
        <v>15</v>
      </c>
      <c r="C930" s="23" t="s">
        <v>113</v>
      </c>
      <c r="D930" s="23" t="s">
        <v>114</v>
      </c>
      <c r="E930" s="23">
        <v>12345456</v>
      </c>
      <c r="F930" s="36">
        <v>44102</v>
      </c>
      <c r="G930" s="16">
        <v>3260001000</v>
      </c>
      <c r="H930" t="s">
        <v>465</v>
      </c>
      <c r="I930" t="s">
        <v>644</v>
      </c>
      <c r="J930" s="64">
        <v>1199.5</v>
      </c>
    </row>
    <row r="931" spans="1:10" x14ac:dyDescent="0.25">
      <c r="A931" s="68">
        <v>3108</v>
      </c>
      <c r="B931" s="23" t="s">
        <v>401</v>
      </c>
      <c r="C931" s="23" t="s">
        <v>111</v>
      </c>
      <c r="D931" s="23" t="s">
        <v>483</v>
      </c>
      <c r="E931" s="23" t="s">
        <v>518</v>
      </c>
      <c r="F931" s="36">
        <v>44106</v>
      </c>
      <c r="G931" s="16">
        <v>1406001000</v>
      </c>
      <c r="H931" t="s">
        <v>215</v>
      </c>
      <c r="I931" t="s">
        <v>644</v>
      </c>
      <c r="J931">
        <v>24</v>
      </c>
    </row>
    <row r="932" spans="1:10" x14ac:dyDescent="0.25">
      <c r="A932" s="68">
        <v>3109</v>
      </c>
      <c r="B932" s="23" t="s">
        <v>401</v>
      </c>
      <c r="C932" s="23" t="s">
        <v>111</v>
      </c>
      <c r="D932" s="23" t="s">
        <v>483</v>
      </c>
      <c r="E932" s="23" t="s">
        <v>519</v>
      </c>
      <c r="F932" s="36">
        <v>44106</v>
      </c>
      <c r="G932" s="16">
        <v>1014001</v>
      </c>
      <c r="H932" t="s">
        <v>163</v>
      </c>
      <c r="J932">
        <v>24</v>
      </c>
    </row>
    <row r="933" spans="1:10" x14ac:dyDescent="0.25">
      <c r="A933" s="68">
        <v>3110</v>
      </c>
      <c r="B933" s="23" t="s">
        <v>401</v>
      </c>
      <c r="C933" s="23" t="s">
        <v>111</v>
      </c>
      <c r="D933" s="23" t="s">
        <v>483</v>
      </c>
      <c r="E933" s="23" t="s">
        <v>520</v>
      </c>
      <c r="F933" s="36">
        <v>44106</v>
      </c>
      <c r="G933" s="16">
        <v>66031000</v>
      </c>
      <c r="H933" t="s">
        <v>185</v>
      </c>
      <c r="I933" t="s">
        <v>644</v>
      </c>
      <c r="J933">
        <v>24</v>
      </c>
    </row>
    <row r="934" spans="1:10" x14ac:dyDescent="0.25">
      <c r="A934" s="68">
        <v>3112</v>
      </c>
      <c r="B934" s="23" t="s">
        <v>149</v>
      </c>
      <c r="C934" s="23" t="s">
        <v>150</v>
      </c>
      <c r="D934" s="23" t="s">
        <v>19</v>
      </c>
      <c r="E934" s="23">
        <v>12002</v>
      </c>
      <c r="F934" s="36">
        <v>44140</v>
      </c>
      <c r="G934" s="16">
        <v>3135001000</v>
      </c>
      <c r="H934" t="s">
        <v>171</v>
      </c>
      <c r="I934" t="s">
        <v>644</v>
      </c>
      <c r="J934" s="61"/>
    </row>
    <row r="935" spans="1:10" x14ac:dyDescent="0.25">
      <c r="A935" s="68">
        <v>3123</v>
      </c>
      <c r="B935" s="23" t="s">
        <v>401</v>
      </c>
      <c r="C935" s="23" t="s">
        <v>25</v>
      </c>
      <c r="D935" s="23" t="s">
        <v>521</v>
      </c>
      <c r="E935" s="23">
        <v>2449627</v>
      </c>
      <c r="F935" s="36">
        <v>43860</v>
      </c>
      <c r="G935" s="16">
        <v>1978003000</v>
      </c>
      <c r="H935" t="s">
        <v>334</v>
      </c>
      <c r="I935" t="s">
        <v>644</v>
      </c>
      <c r="J935" s="40">
        <v>24</v>
      </c>
    </row>
    <row r="936" spans="1:10" x14ac:dyDescent="0.25">
      <c r="A936" s="68">
        <v>3124</v>
      </c>
      <c r="B936" s="23" t="s">
        <v>401</v>
      </c>
      <c r="C936" s="23" t="s">
        <v>25</v>
      </c>
      <c r="D936" s="23" t="s">
        <v>521</v>
      </c>
      <c r="E936" s="23">
        <v>2449632</v>
      </c>
      <c r="F936" s="36">
        <v>44165</v>
      </c>
      <c r="G936" s="16">
        <v>3042058001</v>
      </c>
      <c r="H936" t="s">
        <v>522</v>
      </c>
      <c r="I936" t="s">
        <v>643</v>
      </c>
      <c r="J936" s="40">
        <v>24</v>
      </c>
    </row>
    <row r="937" spans="1:10" x14ac:dyDescent="0.25">
      <c r="A937" s="68">
        <v>3125</v>
      </c>
      <c r="B937" s="23" t="s">
        <v>401</v>
      </c>
      <c r="C937" s="23" t="s">
        <v>25</v>
      </c>
      <c r="D937" s="23" t="s">
        <v>521</v>
      </c>
      <c r="E937" s="23">
        <v>2559644</v>
      </c>
      <c r="F937" s="36">
        <v>44165</v>
      </c>
      <c r="G937" s="16">
        <v>3042058001</v>
      </c>
      <c r="H937" t="s">
        <v>522</v>
      </c>
      <c r="I937" t="s">
        <v>643</v>
      </c>
      <c r="J937" s="40">
        <v>24</v>
      </c>
    </row>
    <row r="938" spans="1:10" x14ac:dyDescent="0.25">
      <c r="A938" s="68">
        <v>3127</v>
      </c>
      <c r="B938" s="23" t="s">
        <v>15</v>
      </c>
      <c r="C938" s="23" t="s">
        <v>113</v>
      </c>
      <c r="D938" s="23" t="s">
        <v>19</v>
      </c>
      <c r="E938" s="23">
        <v>654321</v>
      </c>
      <c r="F938" s="36">
        <v>44187</v>
      </c>
      <c r="G938" s="16">
        <v>66031000</v>
      </c>
      <c r="H938" t="s">
        <v>185</v>
      </c>
      <c r="I938" t="s">
        <v>644</v>
      </c>
      <c r="J938" s="64">
        <v>1199.5</v>
      </c>
    </row>
    <row r="939" spans="1:10" x14ac:dyDescent="0.25">
      <c r="A939" s="68">
        <v>3131</v>
      </c>
      <c r="B939" s="23" t="s">
        <v>523</v>
      </c>
      <c r="C939" s="23" t="s">
        <v>75</v>
      </c>
      <c r="D939" s="23" t="s">
        <v>19</v>
      </c>
      <c r="E939" s="23">
        <v>222</v>
      </c>
      <c r="F939" s="36">
        <v>37703</v>
      </c>
      <c r="G939" s="16">
        <v>1925011000</v>
      </c>
      <c r="H939" t="s">
        <v>249</v>
      </c>
      <c r="I939" t="s">
        <v>644</v>
      </c>
      <c r="J939" s="61"/>
    </row>
    <row r="940" spans="1:10" x14ac:dyDescent="0.25">
      <c r="A940" s="68">
        <v>3134</v>
      </c>
      <c r="B940" s="23" t="s">
        <v>401</v>
      </c>
      <c r="C940" s="23" t="s">
        <v>25</v>
      </c>
      <c r="D940" s="23" t="s">
        <v>521</v>
      </c>
      <c r="E940" s="23">
        <v>12342</v>
      </c>
      <c r="F940" s="36">
        <v>44208</v>
      </c>
      <c r="G940" s="16">
        <v>1406001000</v>
      </c>
      <c r="H940" t="s">
        <v>215</v>
      </c>
      <c r="I940" t="s">
        <v>644</v>
      </c>
      <c r="J940" s="40">
        <v>24</v>
      </c>
    </row>
    <row r="941" spans="1:10" x14ac:dyDescent="0.25">
      <c r="A941" s="68">
        <v>3140</v>
      </c>
      <c r="B941" s="23" t="s">
        <v>401</v>
      </c>
      <c r="C941" s="23" t="s">
        <v>487</v>
      </c>
      <c r="D941" s="23" t="s">
        <v>524</v>
      </c>
      <c r="F941" s="36">
        <v>44222</v>
      </c>
      <c r="G941" s="16">
        <v>66031000</v>
      </c>
      <c r="H941" t="s">
        <v>185</v>
      </c>
      <c r="I941" t="s">
        <v>644</v>
      </c>
      <c r="J941">
        <v>24</v>
      </c>
    </row>
    <row r="942" spans="1:10" x14ac:dyDescent="0.25">
      <c r="A942" s="68">
        <v>3148</v>
      </c>
      <c r="B942" s="23" t="s">
        <v>401</v>
      </c>
      <c r="C942" s="23" t="s">
        <v>111</v>
      </c>
      <c r="D942" s="23" t="s">
        <v>19</v>
      </c>
      <c r="E942" s="23" t="s">
        <v>525</v>
      </c>
      <c r="F942" s="36">
        <v>44274</v>
      </c>
      <c r="G942" s="16">
        <v>3042060001</v>
      </c>
      <c r="H942" t="s">
        <v>344</v>
      </c>
      <c r="I942" t="s">
        <v>643</v>
      </c>
      <c r="J942">
        <v>24</v>
      </c>
    </row>
    <row r="943" spans="1:10" x14ac:dyDescent="0.25">
      <c r="A943" s="68">
        <v>3152</v>
      </c>
      <c r="B943" s="23" t="s">
        <v>119</v>
      </c>
      <c r="C943" s="23" t="s">
        <v>120</v>
      </c>
      <c r="D943" s="23" t="s">
        <v>121</v>
      </c>
      <c r="E943" s="23">
        <v>202021</v>
      </c>
      <c r="F943" s="36">
        <v>44344</v>
      </c>
      <c r="G943" s="16">
        <v>3042060001</v>
      </c>
      <c r="H943" t="s">
        <v>344</v>
      </c>
      <c r="I943" t="s">
        <v>643</v>
      </c>
      <c r="J943" s="40">
        <v>20</v>
      </c>
    </row>
    <row r="944" spans="1:10" x14ac:dyDescent="0.25">
      <c r="A944" s="68">
        <v>3156</v>
      </c>
      <c r="B944" s="23" t="s">
        <v>401</v>
      </c>
      <c r="C944" s="23" t="s">
        <v>75</v>
      </c>
      <c r="D944" s="23" t="s">
        <v>19</v>
      </c>
      <c r="E944" s="23">
        <v>2449630</v>
      </c>
      <c r="F944" s="36">
        <v>44357</v>
      </c>
      <c r="G944" s="16">
        <v>66031000</v>
      </c>
      <c r="H944" t="s">
        <v>185</v>
      </c>
      <c r="I944" t="s">
        <v>644</v>
      </c>
      <c r="J944">
        <v>24</v>
      </c>
    </row>
    <row r="945" spans="1:10" x14ac:dyDescent="0.25">
      <c r="A945" s="68">
        <v>3158</v>
      </c>
      <c r="B945" s="23" t="s">
        <v>401</v>
      </c>
      <c r="C945" s="23" t="s">
        <v>487</v>
      </c>
      <c r="E945" s="23" t="s">
        <v>526</v>
      </c>
      <c r="F945" s="36">
        <v>44384</v>
      </c>
      <c r="G945" s="16">
        <v>2548013000</v>
      </c>
      <c r="H945" t="s">
        <v>319</v>
      </c>
      <c r="I945" t="s">
        <v>644</v>
      </c>
      <c r="J945" s="40">
        <v>24</v>
      </c>
    </row>
    <row r="946" spans="1:10" x14ac:dyDescent="0.25">
      <c r="A946" s="68">
        <v>3159</v>
      </c>
      <c r="B946" s="23" t="s">
        <v>6</v>
      </c>
      <c r="C946" s="23" t="s">
        <v>57</v>
      </c>
      <c r="D946" s="23" t="s">
        <v>101</v>
      </c>
      <c r="E946" s="23" t="s">
        <v>527</v>
      </c>
      <c r="F946" s="36">
        <v>44391</v>
      </c>
      <c r="G946" s="16">
        <v>1652002001</v>
      </c>
      <c r="H946" t="s">
        <v>294</v>
      </c>
      <c r="I946" t="s">
        <v>644</v>
      </c>
      <c r="J946" s="64">
        <v>1200</v>
      </c>
    </row>
    <row r="947" spans="1:10" x14ac:dyDescent="0.25">
      <c r="A947" s="68">
        <v>3160</v>
      </c>
      <c r="B947" s="23" t="s">
        <v>6</v>
      </c>
      <c r="C947" s="23" t="s">
        <v>57</v>
      </c>
      <c r="D947" s="23" t="s">
        <v>101</v>
      </c>
      <c r="E947" s="23" t="s">
        <v>528</v>
      </c>
      <c r="F947" s="36">
        <v>44391</v>
      </c>
      <c r="G947" s="16">
        <v>1652002001</v>
      </c>
      <c r="H947" t="s">
        <v>294</v>
      </c>
      <c r="I947" t="s">
        <v>644</v>
      </c>
      <c r="J947" s="64">
        <v>1200</v>
      </c>
    </row>
    <row r="948" spans="1:10" x14ac:dyDescent="0.25">
      <c r="A948" s="68">
        <v>3161</v>
      </c>
      <c r="B948" s="23" t="s">
        <v>6</v>
      </c>
      <c r="C948" s="23" t="s">
        <v>57</v>
      </c>
      <c r="D948" s="23" t="s">
        <v>101</v>
      </c>
      <c r="E948" s="23" t="s">
        <v>529</v>
      </c>
      <c r="F948" s="36">
        <v>44391</v>
      </c>
      <c r="G948" s="16">
        <v>1652002001</v>
      </c>
      <c r="H948" t="s">
        <v>294</v>
      </c>
      <c r="I948" t="s">
        <v>644</v>
      </c>
      <c r="J948" s="64">
        <v>1200</v>
      </c>
    </row>
    <row r="949" spans="1:10" x14ac:dyDescent="0.25">
      <c r="A949" s="68">
        <v>3163</v>
      </c>
      <c r="B949" s="23" t="s">
        <v>401</v>
      </c>
      <c r="C949" s="23" t="s">
        <v>25</v>
      </c>
      <c r="D949" s="23" t="s">
        <v>19</v>
      </c>
      <c r="E949" s="23" t="s">
        <v>530</v>
      </c>
      <c r="F949" s="36">
        <v>44405</v>
      </c>
      <c r="G949" s="16">
        <v>3042058001</v>
      </c>
      <c r="H949" t="s">
        <v>522</v>
      </c>
      <c r="I949" t="s">
        <v>643</v>
      </c>
      <c r="J949" s="40">
        <v>24</v>
      </c>
    </row>
    <row r="950" spans="1:10" x14ac:dyDescent="0.25">
      <c r="A950" s="68">
        <v>3164</v>
      </c>
      <c r="B950" s="23" t="s">
        <v>531</v>
      </c>
      <c r="C950" s="23" t="s">
        <v>44</v>
      </c>
      <c r="D950" s="23" t="s">
        <v>532</v>
      </c>
      <c r="E950" s="23" t="s">
        <v>533</v>
      </c>
      <c r="F950" s="36">
        <v>44420</v>
      </c>
      <c r="G950" s="16">
        <v>3207001000</v>
      </c>
      <c r="H950" t="s">
        <v>176</v>
      </c>
      <c r="I950" t="s">
        <v>644</v>
      </c>
      <c r="J950" s="64">
        <v>600</v>
      </c>
    </row>
    <row r="951" spans="1:10" x14ac:dyDescent="0.25">
      <c r="A951" s="68">
        <v>3170</v>
      </c>
      <c r="B951" s="23" t="s">
        <v>401</v>
      </c>
      <c r="C951" s="23" t="s">
        <v>487</v>
      </c>
      <c r="F951" s="36">
        <v>44441</v>
      </c>
      <c r="G951" s="16">
        <v>1014002</v>
      </c>
      <c r="H951" t="s">
        <v>191</v>
      </c>
      <c r="J951">
        <v>24</v>
      </c>
    </row>
    <row r="952" spans="1:10" x14ac:dyDescent="0.25">
      <c r="A952" s="68">
        <v>3171</v>
      </c>
      <c r="B952" s="23" t="s">
        <v>15</v>
      </c>
      <c r="C952" s="23" t="s">
        <v>16</v>
      </c>
      <c r="D952" s="23" t="s">
        <v>24</v>
      </c>
      <c r="E952" s="23">
        <v>13458</v>
      </c>
      <c r="F952" s="36">
        <v>44441</v>
      </c>
      <c r="G952" s="16">
        <v>1652002001</v>
      </c>
      <c r="H952" t="s">
        <v>294</v>
      </c>
      <c r="I952" t="s">
        <v>644</v>
      </c>
      <c r="J952" s="64">
        <v>2200</v>
      </c>
    </row>
    <row r="953" spans="1:10" x14ac:dyDescent="0.25">
      <c r="A953" s="68">
        <v>3172</v>
      </c>
      <c r="B953" s="23" t="s">
        <v>15</v>
      </c>
      <c r="C953" s="23" t="s">
        <v>16</v>
      </c>
      <c r="D953" s="23" t="s">
        <v>24</v>
      </c>
      <c r="E953" s="23">
        <v>13450</v>
      </c>
      <c r="F953" s="36">
        <v>44441</v>
      </c>
      <c r="G953" s="16">
        <v>1165000000</v>
      </c>
      <c r="H953" t="s">
        <v>184</v>
      </c>
      <c r="I953" t="s">
        <v>644</v>
      </c>
      <c r="J953" s="64">
        <v>2200</v>
      </c>
    </row>
    <row r="954" spans="1:10" x14ac:dyDescent="0.25">
      <c r="A954" s="68">
        <v>3174</v>
      </c>
      <c r="B954" s="23" t="s">
        <v>6</v>
      </c>
      <c r="C954" s="23" t="s">
        <v>25</v>
      </c>
      <c r="D954" s="23" t="s">
        <v>534</v>
      </c>
      <c r="E954" s="23" t="s">
        <v>535</v>
      </c>
      <c r="F954" s="36">
        <v>44470</v>
      </c>
      <c r="G954" s="16">
        <v>3034001000</v>
      </c>
      <c r="H954" t="s">
        <v>356</v>
      </c>
      <c r="I954" t="s">
        <v>644</v>
      </c>
      <c r="J954" s="64">
        <v>2000</v>
      </c>
    </row>
    <row r="955" spans="1:10" x14ac:dyDescent="0.25">
      <c r="A955" s="68">
        <v>3175</v>
      </c>
      <c r="B955" s="23" t="s">
        <v>531</v>
      </c>
      <c r="C955" s="23" t="s">
        <v>44</v>
      </c>
      <c r="D955" s="23" t="s">
        <v>532</v>
      </c>
      <c r="E955" s="23">
        <v>438971855</v>
      </c>
      <c r="F955" s="36">
        <v>44491</v>
      </c>
      <c r="G955" s="16">
        <v>2126013000</v>
      </c>
      <c r="H955" t="s">
        <v>228</v>
      </c>
      <c r="I955" t="s">
        <v>644</v>
      </c>
      <c r="J955" s="64">
        <v>600</v>
      </c>
    </row>
    <row r="956" spans="1:10" x14ac:dyDescent="0.25">
      <c r="A956" s="68">
        <v>3177</v>
      </c>
      <c r="B956" s="23" t="s">
        <v>15</v>
      </c>
      <c r="C956" s="23" t="s">
        <v>16</v>
      </c>
      <c r="D956" s="23" t="s">
        <v>99</v>
      </c>
      <c r="E956" s="23">
        <v>19940550004583</v>
      </c>
      <c r="F956" s="36">
        <v>44494</v>
      </c>
      <c r="G956" s="16">
        <v>2126001000</v>
      </c>
      <c r="H956" t="s">
        <v>180</v>
      </c>
      <c r="I956" t="s">
        <v>644</v>
      </c>
      <c r="J956" s="64">
        <v>3600</v>
      </c>
    </row>
    <row r="957" spans="1:10" x14ac:dyDescent="0.25">
      <c r="A957" s="68">
        <v>3178</v>
      </c>
      <c r="B957" s="23" t="s">
        <v>15</v>
      </c>
      <c r="C957" s="23" t="s">
        <v>16</v>
      </c>
      <c r="D957" s="23" t="s">
        <v>99</v>
      </c>
      <c r="E957" s="23">
        <v>19943080006726</v>
      </c>
      <c r="F957" s="36">
        <v>44494</v>
      </c>
      <c r="G957" s="16">
        <v>2126001000</v>
      </c>
      <c r="H957" t="s">
        <v>180</v>
      </c>
      <c r="I957" t="s">
        <v>644</v>
      </c>
      <c r="J957" s="64">
        <v>3600</v>
      </c>
    </row>
    <row r="958" spans="1:10" x14ac:dyDescent="0.25">
      <c r="A958" s="68">
        <v>3179</v>
      </c>
      <c r="B958" s="23" t="s">
        <v>15</v>
      </c>
      <c r="C958" s="23" t="s">
        <v>16</v>
      </c>
      <c r="D958" s="23" t="s">
        <v>99</v>
      </c>
      <c r="E958" s="23">
        <v>19940550004582</v>
      </c>
      <c r="F958" s="36">
        <v>44493</v>
      </c>
      <c r="G958" s="16">
        <v>2126001000</v>
      </c>
      <c r="H958" t="s">
        <v>180</v>
      </c>
      <c r="I958" t="s">
        <v>644</v>
      </c>
      <c r="J958" s="64">
        <v>3600</v>
      </c>
    </row>
    <row r="959" spans="1:10" x14ac:dyDescent="0.25">
      <c r="A959" s="68">
        <v>3183</v>
      </c>
      <c r="B959" s="23" t="s">
        <v>536</v>
      </c>
      <c r="C959" s="23" t="s">
        <v>111</v>
      </c>
      <c r="D959" s="23" t="s">
        <v>70</v>
      </c>
      <c r="E959" s="23" t="s">
        <v>537</v>
      </c>
      <c r="F959" s="36">
        <v>44519</v>
      </c>
      <c r="G959" s="16">
        <v>1550001000</v>
      </c>
      <c r="H959" t="s">
        <v>304</v>
      </c>
      <c r="I959" t="s">
        <v>644</v>
      </c>
      <c r="J959">
        <v>24</v>
      </c>
    </row>
    <row r="960" spans="1:10" x14ac:dyDescent="0.25">
      <c r="A960" s="68">
        <v>3184</v>
      </c>
      <c r="B960" s="23" t="s">
        <v>536</v>
      </c>
      <c r="C960" s="23" t="s">
        <v>111</v>
      </c>
      <c r="D960" s="23" t="s">
        <v>70</v>
      </c>
      <c r="E960" s="23" t="s">
        <v>537</v>
      </c>
      <c r="F960" s="36">
        <v>44519</v>
      </c>
      <c r="G960" s="16">
        <v>66035000</v>
      </c>
      <c r="H960" t="s">
        <v>242</v>
      </c>
      <c r="I960" t="s">
        <v>644</v>
      </c>
      <c r="J960">
        <v>24</v>
      </c>
    </row>
    <row r="961" spans="1:10" x14ac:dyDescent="0.25">
      <c r="A961" s="68">
        <v>3185</v>
      </c>
      <c r="B961" s="23" t="s">
        <v>536</v>
      </c>
      <c r="C961" s="23" t="s">
        <v>111</v>
      </c>
      <c r="D961" s="23" t="s">
        <v>70</v>
      </c>
      <c r="E961" s="23" t="s">
        <v>537</v>
      </c>
      <c r="F961" s="36">
        <v>44519</v>
      </c>
      <c r="G961" s="16">
        <v>1014001</v>
      </c>
      <c r="H961" t="s">
        <v>163</v>
      </c>
      <c r="J961">
        <v>24</v>
      </c>
    </row>
    <row r="962" spans="1:10" x14ac:dyDescent="0.25">
      <c r="A962" s="68">
        <v>3195</v>
      </c>
      <c r="B962" s="23" t="s">
        <v>15</v>
      </c>
      <c r="C962" s="23" t="s">
        <v>16</v>
      </c>
      <c r="D962" s="23" t="s">
        <v>24</v>
      </c>
      <c r="E962" s="23">
        <v>13559</v>
      </c>
      <c r="F962" s="36">
        <v>44552</v>
      </c>
      <c r="G962" s="16">
        <v>165001000</v>
      </c>
      <c r="H962" t="s">
        <v>198</v>
      </c>
      <c r="I962" t="s">
        <v>644</v>
      </c>
      <c r="J962" s="64">
        <v>2200</v>
      </c>
    </row>
    <row r="963" spans="1:10" x14ac:dyDescent="0.25">
      <c r="A963" s="68">
        <v>3196</v>
      </c>
      <c r="B963" s="23" t="s">
        <v>15</v>
      </c>
      <c r="C963" s="23" t="s">
        <v>16</v>
      </c>
      <c r="D963" s="23" t="s">
        <v>24</v>
      </c>
      <c r="E963" s="23">
        <v>13556</v>
      </c>
      <c r="F963" s="36">
        <v>44552</v>
      </c>
      <c r="G963" s="16">
        <v>1014001</v>
      </c>
      <c r="H963" t="s">
        <v>163</v>
      </c>
      <c r="J963" s="64">
        <v>2200</v>
      </c>
    </row>
    <row r="964" spans="1:10" x14ac:dyDescent="0.25">
      <c r="A964" s="68">
        <v>3201</v>
      </c>
      <c r="B964" s="23" t="s">
        <v>401</v>
      </c>
      <c r="C964" s="23" t="s">
        <v>25</v>
      </c>
      <c r="D964" s="23" t="s">
        <v>538</v>
      </c>
      <c r="E964" s="23">
        <v>12002021040041</v>
      </c>
      <c r="F964" s="36">
        <v>44606</v>
      </c>
      <c r="G964" s="16">
        <v>3135004000</v>
      </c>
      <c r="H964" t="s">
        <v>379</v>
      </c>
      <c r="I964" t="s">
        <v>644</v>
      </c>
      <c r="J964" s="40">
        <v>24</v>
      </c>
    </row>
    <row r="965" spans="1:10" x14ac:dyDescent="0.25">
      <c r="A965" s="68">
        <v>3207</v>
      </c>
      <c r="B965" s="23" t="s">
        <v>401</v>
      </c>
      <c r="C965" s="23" t="s">
        <v>25</v>
      </c>
      <c r="D965" s="23" t="s">
        <v>538</v>
      </c>
      <c r="E965" s="23">
        <v>12002021040039</v>
      </c>
      <c r="F965" s="36">
        <v>44606</v>
      </c>
      <c r="G965" s="16">
        <v>3042058002</v>
      </c>
      <c r="H965" t="s">
        <v>223</v>
      </c>
      <c r="I965" t="s">
        <v>643</v>
      </c>
      <c r="J965" s="40">
        <v>24</v>
      </c>
    </row>
    <row r="966" spans="1:10" x14ac:dyDescent="0.25">
      <c r="A966" s="68">
        <v>3211</v>
      </c>
      <c r="B966" s="23" t="s">
        <v>15</v>
      </c>
      <c r="C966" s="23" t="s">
        <v>16</v>
      </c>
      <c r="D966" s="23" t="s">
        <v>48</v>
      </c>
      <c r="E966" s="23">
        <v>93982120005100</v>
      </c>
      <c r="F966" s="36">
        <v>44616</v>
      </c>
      <c r="G966" s="16">
        <v>2126001000</v>
      </c>
      <c r="H966" t="s">
        <v>180</v>
      </c>
      <c r="I966" t="s">
        <v>644</v>
      </c>
      <c r="J966" s="64">
        <v>2200</v>
      </c>
    </row>
    <row r="967" spans="1:10" x14ac:dyDescent="0.25">
      <c r="A967" s="68">
        <v>3213</v>
      </c>
      <c r="B967" s="23" t="s">
        <v>15</v>
      </c>
      <c r="C967" s="23" t="s">
        <v>16</v>
      </c>
      <c r="D967" s="23" t="s">
        <v>48</v>
      </c>
      <c r="F967" s="36">
        <v>44616</v>
      </c>
      <c r="G967" s="16">
        <v>2126001000</v>
      </c>
      <c r="H967" t="s">
        <v>180</v>
      </c>
      <c r="I967" t="s">
        <v>644</v>
      </c>
      <c r="J967" s="64">
        <v>2200</v>
      </c>
    </row>
    <row r="968" spans="1:10" x14ac:dyDescent="0.25">
      <c r="A968" s="68">
        <v>3218</v>
      </c>
      <c r="B968" s="23" t="s">
        <v>15</v>
      </c>
      <c r="C968" s="23" t="s">
        <v>16</v>
      </c>
      <c r="D968" s="23" t="s">
        <v>19</v>
      </c>
      <c r="E968" s="23">
        <v>1235</v>
      </c>
      <c r="F968" s="36">
        <v>44656</v>
      </c>
      <c r="G968" s="16">
        <v>2126013000</v>
      </c>
      <c r="H968" t="s">
        <v>228</v>
      </c>
      <c r="I968" t="s">
        <v>644</v>
      </c>
      <c r="J968" s="64">
        <v>591.5</v>
      </c>
    </row>
    <row r="969" spans="1:10" x14ac:dyDescent="0.25">
      <c r="A969" s="68">
        <v>3223</v>
      </c>
      <c r="B969" s="23" t="s">
        <v>401</v>
      </c>
      <c r="C969" s="23" t="s">
        <v>516</v>
      </c>
      <c r="D969" s="23" t="s">
        <v>517</v>
      </c>
      <c r="E969" s="23" t="s">
        <v>539</v>
      </c>
      <c r="F969" s="36">
        <v>44677</v>
      </c>
      <c r="G969" s="16">
        <v>1014002</v>
      </c>
      <c r="H969" t="s">
        <v>191</v>
      </c>
      <c r="J969" s="40">
        <v>24</v>
      </c>
    </row>
    <row r="970" spans="1:10" x14ac:dyDescent="0.25">
      <c r="A970" s="68">
        <v>3228</v>
      </c>
      <c r="B970" s="23" t="s">
        <v>22</v>
      </c>
      <c r="C970" s="23" t="s">
        <v>64</v>
      </c>
      <c r="D970" s="23">
        <v>165</v>
      </c>
      <c r="E970" s="23">
        <v>413</v>
      </c>
      <c r="F970" s="36">
        <v>36526</v>
      </c>
      <c r="G970" s="16">
        <v>1176003000</v>
      </c>
      <c r="H970" t="s">
        <v>445</v>
      </c>
      <c r="I970" t="s">
        <v>644</v>
      </c>
      <c r="J970" s="64">
        <v>1100</v>
      </c>
    </row>
    <row r="971" spans="1:10" x14ac:dyDescent="0.25">
      <c r="A971" s="68">
        <v>3230</v>
      </c>
      <c r="B971" s="23" t="s">
        <v>400</v>
      </c>
      <c r="C971" s="23" t="s">
        <v>540</v>
      </c>
      <c r="D971" s="23" t="s">
        <v>541</v>
      </c>
      <c r="E971" s="23">
        <v>2714405</v>
      </c>
      <c r="F971" s="36">
        <v>44707</v>
      </c>
      <c r="G971" s="16">
        <v>165001000</v>
      </c>
      <c r="H971" t="s">
        <v>198</v>
      </c>
      <c r="I971" t="s">
        <v>644</v>
      </c>
      <c r="J971">
        <v>24</v>
      </c>
    </row>
    <row r="972" spans="1:10" x14ac:dyDescent="0.25">
      <c r="A972" s="68">
        <v>3232</v>
      </c>
      <c r="B972" s="23" t="s">
        <v>400</v>
      </c>
      <c r="C972" s="23" t="s">
        <v>540</v>
      </c>
      <c r="D972" s="23" t="s">
        <v>541</v>
      </c>
      <c r="E972" s="23">
        <v>2714404</v>
      </c>
      <c r="F972" s="36">
        <v>44707</v>
      </c>
      <c r="G972" s="16">
        <v>165001000</v>
      </c>
      <c r="H972" t="s">
        <v>198</v>
      </c>
      <c r="I972" t="s">
        <v>644</v>
      </c>
      <c r="J972">
        <v>24</v>
      </c>
    </row>
    <row r="973" spans="1:10" x14ac:dyDescent="0.25">
      <c r="A973" s="68">
        <v>3234</v>
      </c>
      <c r="B973" s="23" t="s">
        <v>6</v>
      </c>
      <c r="C973" s="23" t="s">
        <v>28</v>
      </c>
      <c r="D973" s="23" t="s">
        <v>19</v>
      </c>
      <c r="E973" s="23">
        <v>109401</v>
      </c>
      <c r="F973" s="36">
        <v>44711</v>
      </c>
      <c r="G973" s="16">
        <v>3219003000</v>
      </c>
      <c r="H973" t="s">
        <v>542</v>
      </c>
      <c r="I973" t="s">
        <v>644</v>
      </c>
      <c r="J973" s="64">
        <v>1000</v>
      </c>
    </row>
    <row r="974" spans="1:10" x14ac:dyDescent="0.25">
      <c r="A974" s="68">
        <v>3238</v>
      </c>
      <c r="B974" s="23" t="s">
        <v>401</v>
      </c>
      <c r="C974" s="23" t="s">
        <v>543</v>
      </c>
      <c r="D974" s="23" t="s">
        <v>517</v>
      </c>
      <c r="E974" s="23">
        <v>0</v>
      </c>
      <c r="F974" s="36">
        <v>44712</v>
      </c>
      <c r="G974" s="16">
        <v>1014002</v>
      </c>
      <c r="H974" t="s">
        <v>191</v>
      </c>
      <c r="J974" s="40">
        <v>24</v>
      </c>
    </row>
    <row r="975" spans="1:10" x14ac:dyDescent="0.25">
      <c r="A975" s="68">
        <v>3240</v>
      </c>
      <c r="B975" s="23" t="s">
        <v>536</v>
      </c>
      <c r="C975" s="23" t="s">
        <v>543</v>
      </c>
      <c r="D975" s="23" t="s">
        <v>517</v>
      </c>
      <c r="E975" s="23">
        <v>0</v>
      </c>
      <c r="F975" s="36">
        <v>44712</v>
      </c>
      <c r="G975" s="16">
        <v>2958001000</v>
      </c>
      <c r="H975" t="s">
        <v>194</v>
      </c>
      <c r="I975" t="s">
        <v>644</v>
      </c>
      <c r="J975" s="40">
        <v>24</v>
      </c>
    </row>
    <row r="976" spans="1:10" x14ac:dyDescent="0.25">
      <c r="A976" s="68">
        <v>3245</v>
      </c>
      <c r="B976" s="23" t="s">
        <v>401</v>
      </c>
      <c r="C976" s="23" t="s">
        <v>543</v>
      </c>
      <c r="D976" s="23" t="s">
        <v>483</v>
      </c>
      <c r="E976" s="23" t="s">
        <v>539</v>
      </c>
      <c r="F976" s="36">
        <v>44959</v>
      </c>
      <c r="G976" s="16">
        <v>1014002</v>
      </c>
      <c r="H976" t="s">
        <v>191</v>
      </c>
      <c r="J976" s="40">
        <v>24</v>
      </c>
    </row>
    <row r="977" spans="1:10" x14ac:dyDescent="0.25">
      <c r="A977" s="68">
        <v>3246</v>
      </c>
      <c r="B977" s="23" t="s">
        <v>401</v>
      </c>
      <c r="C977" s="23" t="s">
        <v>57</v>
      </c>
      <c r="D977" s="23" t="s">
        <v>483</v>
      </c>
      <c r="E977" s="23">
        <v>12345</v>
      </c>
      <c r="F977" s="36">
        <v>44740</v>
      </c>
      <c r="G977" s="16">
        <v>3135001000</v>
      </c>
      <c r="H977" t="s">
        <v>171</v>
      </c>
      <c r="I977" t="s">
        <v>644</v>
      </c>
      <c r="J977">
        <v>24</v>
      </c>
    </row>
    <row r="978" spans="1:10" x14ac:dyDescent="0.25">
      <c r="A978" s="68">
        <v>3255</v>
      </c>
      <c r="B978" s="23" t="s">
        <v>401</v>
      </c>
      <c r="C978" s="23" t="s">
        <v>543</v>
      </c>
      <c r="D978" s="23" t="s">
        <v>517</v>
      </c>
      <c r="F978" s="36">
        <v>44769</v>
      </c>
      <c r="G978" s="16">
        <v>3135005000</v>
      </c>
      <c r="H978" t="s">
        <v>440</v>
      </c>
      <c r="I978" t="s">
        <v>644</v>
      </c>
      <c r="J978" s="40">
        <v>24</v>
      </c>
    </row>
    <row r="979" spans="1:10" x14ac:dyDescent="0.25">
      <c r="A979" s="68">
        <v>3256</v>
      </c>
      <c r="B979" s="23" t="s">
        <v>6</v>
      </c>
      <c r="C979" s="23" t="s">
        <v>7</v>
      </c>
      <c r="D979" s="23" t="s">
        <v>35</v>
      </c>
      <c r="E979" s="23">
        <v>11092</v>
      </c>
      <c r="F979" s="36">
        <v>44774</v>
      </c>
      <c r="G979" s="16">
        <v>3178003000</v>
      </c>
      <c r="H979" t="s">
        <v>283</v>
      </c>
      <c r="I979" t="s">
        <v>644</v>
      </c>
      <c r="J979" s="64">
        <v>1000</v>
      </c>
    </row>
    <row r="980" spans="1:10" x14ac:dyDescent="0.25">
      <c r="A980" s="68">
        <v>3257</v>
      </c>
      <c r="B980" s="23" t="s">
        <v>6</v>
      </c>
      <c r="C980" s="23" t="s">
        <v>7</v>
      </c>
      <c r="D980" s="23" t="s">
        <v>35</v>
      </c>
      <c r="E980" s="23">
        <v>10976</v>
      </c>
      <c r="F980" s="36">
        <v>44774</v>
      </c>
      <c r="G980" s="16">
        <v>1614002000</v>
      </c>
      <c r="H980" t="s">
        <v>305</v>
      </c>
      <c r="I980" t="s">
        <v>644</v>
      </c>
      <c r="J980" s="64">
        <v>1000</v>
      </c>
    </row>
    <row r="981" spans="1:10" x14ac:dyDescent="0.25">
      <c r="A981" s="68">
        <v>3258</v>
      </c>
      <c r="B981" s="23" t="s">
        <v>6</v>
      </c>
      <c r="C981" s="23" t="s">
        <v>7</v>
      </c>
      <c r="D981" s="23" t="s">
        <v>35</v>
      </c>
      <c r="E981" s="23">
        <v>11091</v>
      </c>
      <c r="F981" s="36">
        <v>44774</v>
      </c>
      <c r="G981" s="16">
        <v>3265001000</v>
      </c>
      <c r="H981" t="s">
        <v>245</v>
      </c>
      <c r="I981" t="s">
        <v>644</v>
      </c>
      <c r="J981" s="64">
        <v>1000</v>
      </c>
    </row>
    <row r="982" spans="1:10" x14ac:dyDescent="0.25">
      <c r="A982" s="68">
        <v>3259</v>
      </c>
      <c r="B982" s="23" t="s">
        <v>6</v>
      </c>
      <c r="C982" s="23" t="s">
        <v>7</v>
      </c>
      <c r="D982" s="23" t="s">
        <v>35</v>
      </c>
      <c r="E982" s="23">
        <v>11093</v>
      </c>
      <c r="F982" s="36">
        <v>44774</v>
      </c>
      <c r="G982" s="16">
        <v>3265001000</v>
      </c>
      <c r="H982" t="s">
        <v>245</v>
      </c>
      <c r="I982" t="s">
        <v>644</v>
      </c>
      <c r="J982" s="64">
        <v>1000</v>
      </c>
    </row>
    <row r="983" spans="1:10" x14ac:dyDescent="0.25">
      <c r="A983" s="68">
        <v>3262</v>
      </c>
      <c r="B983" s="23" t="s">
        <v>22</v>
      </c>
      <c r="C983" s="23" t="s">
        <v>25</v>
      </c>
      <c r="E983" s="23" t="s">
        <v>544</v>
      </c>
      <c r="F983" s="36">
        <v>44774</v>
      </c>
      <c r="G983" s="16">
        <v>193012000</v>
      </c>
      <c r="H983" t="s">
        <v>200</v>
      </c>
      <c r="I983" t="s">
        <v>644</v>
      </c>
      <c r="J983" s="40">
        <v>3950.5</v>
      </c>
    </row>
    <row r="984" spans="1:10" x14ac:dyDescent="0.25">
      <c r="A984" s="68">
        <v>3263</v>
      </c>
      <c r="B984" s="23" t="s">
        <v>22</v>
      </c>
      <c r="C984" s="23" t="s">
        <v>25</v>
      </c>
      <c r="E984" s="23" t="s">
        <v>545</v>
      </c>
      <c r="F984" s="36">
        <v>44774</v>
      </c>
      <c r="G984" s="16">
        <v>3265001000</v>
      </c>
      <c r="H984" t="s">
        <v>245</v>
      </c>
      <c r="I984" t="s">
        <v>644</v>
      </c>
      <c r="J984" s="40">
        <v>3950.5</v>
      </c>
    </row>
    <row r="985" spans="1:10" x14ac:dyDescent="0.25">
      <c r="A985" s="68">
        <v>3264</v>
      </c>
      <c r="B985" s="23" t="s">
        <v>100</v>
      </c>
      <c r="C985" s="23" t="s">
        <v>546</v>
      </c>
      <c r="D985" s="23" t="s">
        <v>547</v>
      </c>
      <c r="E985" s="23" t="s">
        <v>548</v>
      </c>
      <c r="F985" s="36">
        <v>44774</v>
      </c>
      <c r="G985" s="16">
        <v>3260001000</v>
      </c>
      <c r="H985" t="s">
        <v>465</v>
      </c>
      <c r="I985" t="s">
        <v>644</v>
      </c>
      <c r="J985" s="61"/>
    </row>
    <row r="986" spans="1:10" x14ac:dyDescent="0.25">
      <c r="A986" s="68">
        <v>3265</v>
      </c>
      <c r="B986" s="23" t="s">
        <v>536</v>
      </c>
      <c r="C986" s="23" t="s">
        <v>497</v>
      </c>
      <c r="D986" s="23" t="s">
        <v>483</v>
      </c>
      <c r="E986" s="23" t="s">
        <v>549</v>
      </c>
      <c r="F986" s="36">
        <v>44774</v>
      </c>
      <c r="G986" s="16">
        <v>3260001000</v>
      </c>
      <c r="H986" t="s">
        <v>465</v>
      </c>
      <c r="I986" t="s">
        <v>644</v>
      </c>
      <c r="J986">
        <v>24</v>
      </c>
    </row>
    <row r="987" spans="1:10" x14ac:dyDescent="0.25">
      <c r="A987" s="68">
        <v>3267</v>
      </c>
      <c r="B987" s="23" t="s">
        <v>401</v>
      </c>
      <c r="C987" s="23" t="s">
        <v>497</v>
      </c>
      <c r="D987" s="23" t="s">
        <v>483</v>
      </c>
      <c r="E987" s="23" t="s">
        <v>550</v>
      </c>
      <c r="F987" s="36">
        <v>44774</v>
      </c>
      <c r="G987" s="16">
        <v>3260001000</v>
      </c>
      <c r="H987" t="s">
        <v>465</v>
      </c>
      <c r="I987" t="s">
        <v>644</v>
      </c>
      <c r="J987">
        <v>24</v>
      </c>
    </row>
    <row r="988" spans="1:10" x14ac:dyDescent="0.25">
      <c r="A988" s="68">
        <v>3268</v>
      </c>
      <c r="B988" s="23" t="s">
        <v>10</v>
      </c>
      <c r="C988" s="23" t="s">
        <v>25</v>
      </c>
      <c r="D988" s="23" t="s">
        <v>19</v>
      </c>
      <c r="E988" s="23" t="s">
        <v>551</v>
      </c>
      <c r="F988" s="36">
        <v>44774</v>
      </c>
      <c r="G988" s="16">
        <v>3260001000</v>
      </c>
      <c r="H988" t="s">
        <v>465</v>
      </c>
      <c r="I988" t="s">
        <v>644</v>
      </c>
      <c r="J988" s="64">
        <v>1200</v>
      </c>
    </row>
    <row r="989" spans="1:10" x14ac:dyDescent="0.25">
      <c r="A989" s="68">
        <v>3269</v>
      </c>
      <c r="B989" s="23" t="s">
        <v>10</v>
      </c>
      <c r="C989" s="23" t="s">
        <v>25</v>
      </c>
      <c r="E989" s="23" t="s">
        <v>552</v>
      </c>
      <c r="F989" s="36">
        <v>44774</v>
      </c>
      <c r="G989" s="16">
        <v>3260001000</v>
      </c>
      <c r="H989" t="s">
        <v>465</v>
      </c>
      <c r="I989" t="s">
        <v>644</v>
      </c>
      <c r="J989" s="64">
        <v>1200</v>
      </c>
    </row>
    <row r="990" spans="1:10" x14ac:dyDescent="0.25">
      <c r="A990" s="68">
        <v>3270</v>
      </c>
      <c r="B990" s="23" t="s">
        <v>22</v>
      </c>
      <c r="C990" s="23" t="s">
        <v>25</v>
      </c>
      <c r="E990" s="23" t="s">
        <v>553</v>
      </c>
      <c r="F990" s="36">
        <v>44774</v>
      </c>
      <c r="G990" s="16">
        <v>3260001000</v>
      </c>
      <c r="H990" t="s">
        <v>465</v>
      </c>
      <c r="I990" t="s">
        <v>644</v>
      </c>
      <c r="J990" s="40">
        <v>3950.5</v>
      </c>
    </row>
    <row r="991" spans="1:10" x14ac:dyDescent="0.25">
      <c r="A991" s="68">
        <v>3271</v>
      </c>
      <c r="B991" s="23" t="s">
        <v>22</v>
      </c>
      <c r="C991" s="23" t="s">
        <v>25</v>
      </c>
      <c r="E991" s="23" t="s">
        <v>553</v>
      </c>
      <c r="F991" s="36">
        <v>44774</v>
      </c>
      <c r="G991" s="16">
        <v>3260001000</v>
      </c>
      <c r="H991" t="s">
        <v>465</v>
      </c>
      <c r="I991" t="s">
        <v>644</v>
      </c>
      <c r="J991" s="40">
        <v>3950.5</v>
      </c>
    </row>
    <row r="992" spans="1:10" x14ac:dyDescent="0.25">
      <c r="A992" s="68">
        <v>3272</v>
      </c>
      <c r="B992" s="23" t="s">
        <v>6</v>
      </c>
      <c r="C992" s="23" t="s">
        <v>25</v>
      </c>
      <c r="D992" s="23" t="s">
        <v>55</v>
      </c>
      <c r="F992" s="36">
        <v>44774</v>
      </c>
      <c r="G992" s="16">
        <v>1014001</v>
      </c>
      <c r="H992" t="s">
        <v>163</v>
      </c>
      <c r="J992" s="64">
        <v>1000</v>
      </c>
    </row>
    <row r="993" spans="1:10" x14ac:dyDescent="0.25">
      <c r="A993" s="68">
        <v>3273</v>
      </c>
      <c r="B993" s="23" t="s">
        <v>6</v>
      </c>
      <c r="C993" s="23" t="s">
        <v>25</v>
      </c>
      <c r="D993" s="23" t="s">
        <v>55</v>
      </c>
      <c r="E993" s="23" t="s">
        <v>554</v>
      </c>
      <c r="F993" s="36">
        <v>44774</v>
      </c>
      <c r="G993" s="16">
        <v>3260001000</v>
      </c>
      <c r="H993" t="s">
        <v>465</v>
      </c>
      <c r="I993" t="s">
        <v>644</v>
      </c>
      <c r="J993" s="64">
        <v>1000</v>
      </c>
    </row>
    <row r="994" spans="1:10" x14ac:dyDescent="0.25">
      <c r="A994" s="68">
        <v>3274</v>
      </c>
      <c r="B994" s="23" t="s">
        <v>6</v>
      </c>
      <c r="C994" s="23" t="s">
        <v>25</v>
      </c>
      <c r="D994" s="23" t="s">
        <v>55</v>
      </c>
      <c r="E994" s="23" t="s">
        <v>555</v>
      </c>
      <c r="F994" s="36">
        <v>44774</v>
      </c>
      <c r="G994" s="16">
        <v>1014001</v>
      </c>
      <c r="H994" t="s">
        <v>163</v>
      </c>
      <c r="J994" s="64">
        <v>1000</v>
      </c>
    </row>
    <row r="995" spans="1:10" x14ac:dyDescent="0.25">
      <c r="A995" s="68">
        <v>3275</v>
      </c>
      <c r="B995" s="23" t="s">
        <v>6</v>
      </c>
      <c r="C995" s="23" t="s">
        <v>25</v>
      </c>
      <c r="D995" s="23" t="s">
        <v>42</v>
      </c>
      <c r="F995" s="36">
        <v>44774</v>
      </c>
      <c r="G995" s="16">
        <v>3260001000</v>
      </c>
      <c r="H995" t="s">
        <v>465</v>
      </c>
      <c r="I995" t="s">
        <v>644</v>
      </c>
      <c r="J995" s="64">
        <v>2000</v>
      </c>
    </row>
    <row r="996" spans="1:10" x14ac:dyDescent="0.25">
      <c r="A996" s="68">
        <v>3276</v>
      </c>
      <c r="B996" s="23" t="s">
        <v>56</v>
      </c>
      <c r="C996" s="23" t="s">
        <v>556</v>
      </c>
      <c r="D996" s="23" t="s">
        <v>557</v>
      </c>
      <c r="E996" s="23" t="s">
        <v>558</v>
      </c>
      <c r="F996" s="36">
        <v>44774</v>
      </c>
      <c r="G996" s="16">
        <v>3260001000</v>
      </c>
      <c r="H996" t="s">
        <v>465</v>
      </c>
      <c r="I996" t="s">
        <v>644</v>
      </c>
      <c r="J996" s="61">
        <v>3600</v>
      </c>
    </row>
    <row r="997" spans="1:10" x14ac:dyDescent="0.25">
      <c r="A997" s="68">
        <v>3277</v>
      </c>
      <c r="B997" s="23" t="s">
        <v>133</v>
      </c>
      <c r="C997" s="23" t="s">
        <v>57</v>
      </c>
      <c r="D997" s="23" t="s">
        <v>559</v>
      </c>
      <c r="E997" s="23">
        <v>107146880</v>
      </c>
      <c r="F997" s="36">
        <v>44777</v>
      </c>
      <c r="G997" s="16">
        <v>3256001000</v>
      </c>
      <c r="H997" t="s">
        <v>560</v>
      </c>
      <c r="I997" t="s">
        <v>644</v>
      </c>
      <c r="J997" s="64">
        <v>3700</v>
      </c>
    </row>
    <row r="998" spans="1:10" x14ac:dyDescent="0.25">
      <c r="A998" s="68">
        <v>3278</v>
      </c>
      <c r="B998" s="23" t="s">
        <v>401</v>
      </c>
      <c r="C998" s="23" t="s">
        <v>561</v>
      </c>
      <c r="D998" s="23" t="s">
        <v>483</v>
      </c>
      <c r="F998" s="36">
        <v>44783</v>
      </c>
      <c r="G998" s="16">
        <v>66034000</v>
      </c>
      <c r="H998" t="s">
        <v>375</v>
      </c>
      <c r="I998" t="s">
        <v>644</v>
      </c>
      <c r="J998" s="40">
        <v>24</v>
      </c>
    </row>
    <row r="999" spans="1:10" x14ac:dyDescent="0.25">
      <c r="A999" s="68">
        <v>3279</v>
      </c>
      <c r="B999" s="23" t="s">
        <v>6</v>
      </c>
      <c r="C999" s="23" t="s">
        <v>7</v>
      </c>
      <c r="D999" s="23" t="s">
        <v>35</v>
      </c>
      <c r="E999" s="23">
        <v>11042</v>
      </c>
      <c r="F999" s="36">
        <v>44804</v>
      </c>
      <c r="G999" s="16">
        <v>3370003000</v>
      </c>
      <c r="H999" t="s">
        <v>172</v>
      </c>
      <c r="I999" t="s">
        <v>644</v>
      </c>
      <c r="J999" s="64">
        <v>1000</v>
      </c>
    </row>
    <row r="1000" spans="1:10" x14ac:dyDescent="0.25">
      <c r="A1000" s="68">
        <v>3280</v>
      </c>
      <c r="B1000" s="23" t="s">
        <v>6</v>
      </c>
      <c r="C1000" s="23" t="s">
        <v>7</v>
      </c>
      <c r="D1000" s="23" t="s">
        <v>67</v>
      </c>
      <c r="E1000" s="23">
        <v>11056</v>
      </c>
      <c r="F1000" s="36">
        <v>44804</v>
      </c>
      <c r="G1000" s="16">
        <v>3279001000</v>
      </c>
      <c r="H1000" t="s">
        <v>417</v>
      </c>
      <c r="I1000" t="s">
        <v>644</v>
      </c>
      <c r="J1000" s="64">
        <v>1000</v>
      </c>
    </row>
    <row r="1001" spans="1:10" x14ac:dyDescent="0.25">
      <c r="A1001" s="68">
        <v>3285</v>
      </c>
      <c r="B1001" s="23" t="s">
        <v>536</v>
      </c>
      <c r="C1001" s="23" t="s">
        <v>497</v>
      </c>
      <c r="E1001" s="23" t="s">
        <v>550</v>
      </c>
      <c r="F1001" s="36">
        <v>44834</v>
      </c>
      <c r="G1001" s="16">
        <v>165001000</v>
      </c>
      <c r="H1001" t="s">
        <v>198</v>
      </c>
      <c r="I1001" t="s">
        <v>644</v>
      </c>
      <c r="J1001" s="40">
        <v>24</v>
      </c>
    </row>
    <row r="1002" spans="1:10" x14ac:dyDescent="0.25">
      <c r="A1002" s="68">
        <v>3286</v>
      </c>
      <c r="B1002" s="23" t="s">
        <v>6</v>
      </c>
      <c r="C1002" s="23" t="s">
        <v>25</v>
      </c>
      <c r="D1002" s="23" t="s">
        <v>55</v>
      </c>
      <c r="E1002" s="23" t="s">
        <v>562</v>
      </c>
      <c r="F1002" s="36">
        <v>44834</v>
      </c>
      <c r="G1002" s="16">
        <v>3042088002</v>
      </c>
      <c r="H1002" t="s">
        <v>563</v>
      </c>
      <c r="I1002" t="s">
        <v>643</v>
      </c>
      <c r="J1002" s="64">
        <v>1000</v>
      </c>
    </row>
    <row r="1003" spans="1:10" x14ac:dyDescent="0.25">
      <c r="A1003" s="68">
        <v>3287</v>
      </c>
      <c r="B1003" s="23" t="s">
        <v>56</v>
      </c>
      <c r="C1003" s="23" t="s">
        <v>57</v>
      </c>
      <c r="E1003" s="23" t="s">
        <v>564</v>
      </c>
      <c r="F1003" s="36">
        <v>44834</v>
      </c>
      <c r="G1003" s="16">
        <v>3042088002</v>
      </c>
      <c r="H1003" t="s">
        <v>563</v>
      </c>
      <c r="I1003" t="s">
        <v>643</v>
      </c>
      <c r="J1003" s="61">
        <v>3600</v>
      </c>
    </row>
    <row r="1004" spans="1:10" x14ac:dyDescent="0.25">
      <c r="A1004" s="68">
        <v>3288</v>
      </c>
      <c r="B1004" s="23" t="s">
        <v>6</v>
      </c>
      <c r="C1004" s="23" t="s">
        <v>54</v>
      </c>
      <c r="D1004" s="23" t="s">
        <v>19</v>
      </c>
      <c r="E1004" s="23">
        <v>-508019</v>
      </c>
      <c r="F1004" s="36">
        <v>44834</v>
      </c>
      <c r="G1004" s="16">
        <v>3042088002</v>
      </c>
      <c r="H1004" t="s">
        <v>563</v>
      </c>
      <c r="I1004" t="s">
        <v>643</v>
      </c>
      <c r="J1004" s="40">
        <v>1013</v>
      </c>
    </row>
    <row r="1005" spans="1:10" x14ac:dyDescent="0.25">
      <c r="A1005" s="68">
        <v>3289</v>
      </c>
      <c r="B1005" s="23" t="s">
        <v>10</v>
      </c>
      <c r="C1005" s="23" t="s">
        <v>25</v>
      </c>
      <c r="E1005" s="23" t="s">
        <v>565</v>
      </c>
      <c r="F1005" s="36">
        <v>44834</v>
      </c>
      <c r="G1005" s="16">
        <v>3042088002</v>
      </c>
      <c r="H1005" t="s">
        <v>563</v>
      </c>
      <c r="I1005" t="s">
        <v>643</v>
      </c>
      <c r="J1005" s="64">
        <v>1200</v>
      </c>
    </row>
    <row r="1006" spans="1:10" x14ac:dyDescent="0.25">
      <c r="A1006" s="68">
        <v>3290</v>
      </c>
      <c r="B1006" s="23" t="s">
        <v>10</v>
      </c>
      <c r="C1006" s="23" t="s">
        <v>25</v>
      </c>
      <c r="D1006" s="23" t="s">
        <v>19</v>
      </c>
      <c r="E1006" s="23" t="s">
        <v>566</v>
      </c>
      <c r="F1006" s="36">
        <v>44834</v>
      </c>
      <c r="G1006" s="16">
        <v>3042088002</v>
      </c>
      <c r="H1006" t="s">
        <v>563</v>
      </c>
      <c r="I1006" t="s">
        <v>643</v>
      </c>
      <c r="J1006" s="64">
        <v>1200</v>
      </c>
    </row>
    <row r="1007" spans="1:10" x14ac:dyDescent="0.25">
      <c r="A1007" s="68">
        <v>3292</v>
      </c>
      <c r="B1007" s="23" t="s">
        <v>536</v>
      </c>
      <c r="C1007" s="23" t="s">
        <v>540</v>
      </c>
      <c r="D1007" s="23" t="s">
        <v>567</v>
      </c>
      <c r="E1007" s="23">
        <v>2794814</v>
      </c>
      <c r="F1007" s="36">
        <v>44840</v>
      </c>
      <c r="G1007" s="16">
        <v>66031000</v>
      </c>
      <c r="H1007" t="s">
        <v>185</v>
      </c>
      <c r="I1007" t="s">
        <v>644</v>
      </c>
      <c r="J1007">
        <v>24</v>
      </c>
    </row>
    <row r="1008" spans="1:10" x14ac:dyDescent="0.25">
      <c r="A1008" s="68">
        <v>3293</v>
      </c>
      <c r="B1008" s="23" t="s">
        <v>536</v>
      </c>
      <c r="C1008" s="23" t="s">
        <v>540</v>
      </c>
      <c r="D1008" s="23" t="s">
        <v>567</v>
      </c>
      <c r="E1008" s="23">
        <v>2794715</v>
      </c>
      <c r="F1008" s="36">
        <v>44840</v>
      </c>
      <c r="G1008" s="16">
        <v>1014002</v>
      </c>
      <c r="H1008" t="s">
        <v>191</v>
      </c>
      <c r="J1008">
        <v>24</v>
      </c>
    </row>
    <row r="1009" spans="1:10" x14ac:dyDescent="0.25">
      <c r="A1009" s="68">
        <v>3295</v>
      </c>
      <c r="B1009" s="23" t="s">
        <v>536</v>
      </c>
      <c r="C1009" s="23" t="s">
        <v>540</v>
      </c>
      <c r="D1009" s="23" t="s">
        <v>567</v>
      </c>
      <c r="E1009" s="23">
        <v>2794816</v>
      </c>
      <c r="F1009" s="36">
        <v>44840</v>
      </c>
      <c r="G1009" s="16">
        <v>2514001000</v>
      </c>
      <c r="H1009" t="s">
        <v>289</v>
      </c>
      <c r="I1009" t="s">
        <v>644</v>
      </c>
      <c r="J1009">
        <v>24</v>
      </c>
    </row>
    <row r="1010" spans="1:10" x14ac:dyDescent="0.25">
      <c r="A1010" s="68">
        <v>3299</v>
      </c>
      <c r="B1010" s="23" t="s">
        <v>6</v>
      </c>
      <c r="C1010" s="23" t="s">
        <v>25</v>
      </c>
      <c r="D1010" s="23" t="s">
        <v>55</v>
      </c>
      <c r="E1010" s="23" t="s">
        <v>568</v>
      </c>
      <c r="F1010" s="36">
        <v>44859</v>
      </c>
      <c r="G1010" s="16">
        <v>3042095001</v>
      </c>
      <c r="H1010" t="s">
        <v>258</v>
      </c>
      <c r="I1010" t="s">
        <v>643</v>
      </c>
      <c r="J1010" s="64">
        <v>1000</v>
      </c>
    </row>
    <row r="1011" spans="1:10" x14ac:dyDescent="0.25">
      <c r="A1011" s="68">
        <v>3300</v>
      </c>
      <c r="B1011" s="23" t="s">
        <v>6</v>
      </c>
      <c r="C1011" s="23" t="s">
        <v>25</v>
      </c>
      <c r="D1011" s="23" t="s">
        <v>55</v>
      </c>
      <c r="E1011" s="23" t="s">
        <v>569</v>
      </c>
      <c r="F1011" s="36">
        <v>44859</v>
      </c>
      <c r="G1011" s="16">
        <v>1165000000</v>
      </c>
      <c r="H1011" t="s">
        <v>184</v>
      </c>
      <c r="I1011" t="s">
        <v>644</v>
      </c>
      <c r="J1011" s="64">
        <v>1000</v>
      </c>
    </row>
    <row r="1012" spans="1:10" x14ac:dyDescent="0.25">
      <c r="A1012" s="68">
        <v>3301</v>
      </c>
      <c r="B1012" s="23" t="s">
        <v>6</v>
      </c>
      <c r="C1012" s="23" t="s">
        <v>25</v>
      </c>
      <c r="D1012" s="23" t="s">
        <v>55</v>
      </c>
      <c r="E1012" s="23" t="s">
        <v>570</v>
      </c>
      <c r="F1012" s="36">
        <v>44859</v>
      </c>
      <c r="G1012" s="16">
        <v>2499001000</v>
      </c>
      <c r="H1012" t="s">
        <v>363</v>
      </c>
      <c r="I1012" t="s">
        <v>644</v>
      </c>
      <c r="J1012" s="64">
        <v>1000</v>
      </c>
    </row>
    <row r="1013" spans="1:10" x14ac:dyDescent="0.25">
      <c r="A1013" s="68">
        <v>3302</v>
      </c>
      <c r="B1013" s="23" t="s">
        <v>6</v>
      </c>
      <c r="C1013" s="23" t="s">
        <v>25</v>
      </c>
      <c r="D1013" s="23" t="s">
        <v>55</v>
      </c>
      <c r="E1013" s="23" t="s">
        <v>571</v>
      </c>
      <c r="F1013" s="36">
        <v>44859</v>
      </c>
      <c r="G1013" s="16">
        <v>1014001</v>
      </c>
      <c r="H1013" t="s">
        <v>163</v>
      </c>
      <c r="J1013" s="64">
        <v>1000</v>
      </c>
    </row>
    <row r="1014" spans="1:10" x14ac:dyDescent="0.25">
      <c r="A1014" s="68">
        <v>3303</v>
      </c>
      <c r="B1014" s="23" t="s">
        <v>401</v>
      </c>
      <c r="C1014" s="23" t="s">
        <v>487</v>
      </c>
      <c r="D1014" s="23" t="s">
        <v>483</v>
      </c>
      <c r="F1014" s="36">
        <v>44859</v>
      </c>
      <c r="G1014" s="16">
        <v>66035000</v>
      </c>
      <c r="H1014" t="s">
        <v>242</v>
      </c>
      <c r="I1014" t="s">
        <v>644</v>
      </c>
      <c r="J1014">
        <v>24</v>
      </c>
    </row>
    <row r="1015" spans="1:10" x14ac:dyDescent="0.25">
      <c r="A1015" s="68">
        <v>3304</v>
      </c>
      <c r="B1015" s="23" t="s">
        <v>6</v>
      </c>
      <c r="C1015" s="23" t="s">
        <v>54</v>
      </c>
      <c r="D1015" s="23" t="s">
        <v>572</v>
      </c>
      <c r="E1015" s="23">
        <v>-503271</v>
      </c>
      <c r="F1015" s="36">
        <v>44861</v>
      </c>
      <c r="G1015" s="16">
        <v>3288001000</v>
      </c>
      <c r="H1015" t="s">
        <v>183</v>
      </c>
      <c r="I1015" t="s">
        <v>644</v>
      </c>
      <c r="J1015" s="64">
        <v>1200</v>
      </c>
    </row>
    <row r="1016" spans="1:10" x14ac:dyDescent="0.25">
      <c r="A1016" s="68">
        <v>3305</v>
      </c>
      <c r="B1016" s="23" t="s">
        <v>6</v>
      </c>
      <c r="C1016" s="23" t="s">
        <v>54</v>
      </c>
      <c r="D1016" s="23" t="s">
        <v>572</v>
      </c>
      <c r="E1016" s="23">
        <v>-508385</v>
      </c>
      <c r="F1016" s="36">
        <v>44861</v>
      </c>
      <c r="G1016" s="16">
        <v>3288001000</v>
      </c>
      <c r="H1016" t="s">
        <v>183</v>
      </c>
      <c r="I1016" t="s">
        <v>644</v>
      </c>
      <c r="J1016" s="64">
        <v>1200</v>
      </c>
    </row>
    <row r="1017" spans="1:10" x14ac:dyDescent="0.25">
      <c r="A1017" s="68">
        <v>3308</v>
      </c>
      <c r="B1017" s="23" t="s">
        <v>401</v>
      </c>
      <c r="C1017" s="23" t="s">
        <v>497</v>
      </c>
      <c r="D1017" s="23" t="s">
        <v>550</v>
      </c>
      <c r="F1017" s="36">
        <v>44837</v>
      </c>
      <c r="G1017" s="16">
        <v>1014001</v>
      </c>
      <c r="H1017" t="s">
        <v>163</v>
      </c>
      <c r="J1017" s="40">
        <v>24</v>
      </c>
    </row>
    <row r="1018" spans="1:10" x14ac:dyDescent="0.25">
      <c r="A1018" s="68">
        <v>3309</v>
      </c>
      <c r="B1018" s="23" t="s">
        <v>6</v>
      </c>
      <c r="C1018" s="23" t="s">
        <v>54</v>
      </c>
      <c r="D1018" s="23" t="s">
        <v>572</v>
      </c>
      <c r="E1018" s="23">
        <v>-573398</v>
      </c>
      <c r="F1018" s="36">
        <v>44837</v>
      </c>
      <c r="G1018" s="16">
        <v>3288001000</v>
      </c>
      <c r="H1018" t="s">
        <v>183</v>
      </c>
      <c r="I1018" t="s">
        <v>644</v>
      </c>
      <c r="J1018" s="64">
        <v>1200</v>
      </c>
    </row>
    <row r="1019" spans="1:10" x14ac:dyDescent="0.25">
      <c r="A1019" s="68">
        <v>3310</v>
      </c>
      <c r="B1019" s="23" t="s">
        <v>10</v>
      </c>
      <c r="C1019" s="23" t="s">
        <v>54</v>
      </c>
      <c r="F1019" s="36">
        <v>44837</v>
      </c>
      <c r="G1019" s="16">
        <v>3042088001</v>
      </c>
      <c r="H1019" t="s">
        <v>573</v>
      </c>
      <c r="I1019" t="s">
        <v>643</v>
      </c>
      <c r="J1019" s="40">
        <v>1013</v>
      </c>
    </row>
    <row r="1020" spans="1:10" x14ac:dyDescent="0.25">
      <c r="A1020" s="68">
        <v>3312</v>
      </c>
      <c r="B1020" s="23" t="s">
        <v>6</v>
      </c>
      <c r="C1020" s="23" t="s">
        <v>54</v>
      </c>
      <c r="D1020" s="23" t="s">
        <v>572</v>
      </c>
      <c r="E1020" s="23">
        <v>-510576</v>
      </c>
      <c r="F1020" s="36">
        <v>44937</v>
      </c>
      <c r="G1020" s="16">
        <v>1014001</v>
      </c>
      <c r="H1020" t="s">
        <v>163</v>
      </c>
      <c r="J1020" s="64">
        <v>1200</v>
      </c>
    </row>
    <row r="1021" spans="1:10" x14ac:dyDescent="0.25">
      <c r="A1021" s="68">
        <v>3313</v>
      </c>
      <c r="B1021" s="23" t="s">
        <v>6</v>
      </c>
      <c r="C1021" s="23" t="s">
        <v>54</v>
      </c>
      <c r="D1021" s="23" t="s">
        <v>572</v>
      </c>
      <c r="E1021" s="23">
        <v>-588007</v>
      </c>
      <c r="F1021" s="36">
        <v>44937</v>
      </c>
      <c r="G1021" s="16">
        <v>2789001000</v>
      </c>
      <c r="H1021" t="s">
        <v>323</v>
      </c>
      <c r="I1021" t="s">
        <v>644</v>
      </c>
      <c r="J1021" s="64">
        <v>1200</v>
      </c>
    </row>
    <row r="1022" spans="1:10" x14ac:dyDescent="0.25">
      <c r="A1022" s="68">
        <v>3314</v>
      </c>
      <c r="B1022" s="23" t="s">
        <v>100</v>
      </c>
      <c r="C1022" s="23" t="s">
        <v>126</v>
      </c>
      <c r="D1022" s="23" t="s">
        <v>446</v>
      </c>
      <c r="E1022" s="23">
        <v>5835</v>
      </c>
      <c r="F1022" s="36">
        <v>44942</v>
      </c>
      <c r="G1022" s="16">
        <v>3042095001</v>
      </c>
      <c r="H1022" t="s">
        <v>258</v>
      </c>
      <c r="I1022" t="s">
        <v>643</v>
      </c>
      <c r="J1022" s="64">
        <f>1118.55+919</f>
        <v>2037.55</v>
      </c>
    </row>
    <row r="1023" spans="1:10" x14ac:dyDescent="0.25">
      <c r="A1023" s="68">
        <v>3315</v>
      </c>
      <c r="B1023" s="23" t="s">
        <v>6</v>
      </c>
      <c r="C1023" s="23" t="s">
        <v>54</v>
      </c>
      <c r="D1023" s="23" t="s">
        <v>572</v>
      </c>
      <c r="E1023" s="23">
        <v>-510941</v>
      </c>
      <c r="F1023" s="36">
        <v>44946</v>
      </c>
      <c r="G1023" s="16">
        <v>3042088001</v>
      </c>
      <c r="H1023" t="s">
        <v>573</v>
      </c>
      <c r="I1023" t="s">
        <v>643</v>
      </c>
      <c r="J1023" s="64">
        <v>1200</v>
      </c>
    </row>
    <row r="1024" spans="1:10" x14ac:dyDescent="0.25">
      <c r="A1024" s="68">
        <v>3317</v>
      </c>
      <c r="B1024" s="23" t="s">
        <v>56</v>
      </c>
      <c r="C1024" s="23" t="s">
        <v>58</v>
      </c>
      <c r="D1024" s="23" t="s">
        <v>59</v>
      </c>
      <c r="E1024" s="23" t="s">
        <v>574</v>
      </c>
      <c r="F1024" s="36">
        <v>44950</v>
      </c>
      <c r="G1024" s="16">
        <v>3042088002</v>
      </c>
      <c r="H1024" t="s">
        <v>563</v>
      </c>
      <c r="I1024" t="s">
        <v>643</v>
      </c>
      <c r="J1024" s="64">
        <v>2456</v>
      </c>
    </row>
    <row r="1025" spans="1:10" x14ac:dyDescent="0.25">
      <c r="A1025" s="68">
        <v>3319</v>
      </c>
      <c r="B1025" s="23" t="s">
        <v>50</v>
      </c>
      <c r="C1025" s="23" t="s">
        <v>51</v>
      </c>
      <c r="D1025" s="23" t="s">
        <v>39</v>
      </c>
      <c r="E1025" s="23">
        <v>202108423500</v>
      </c>
      <c r="F1025" s="36">
        <v>44964</v>
      </c>
      <c r="G1025" s="16">
        <v>2548020000</v>
      </c>
      <c r="H1025" t="s">
        <v>575</v>
      </c>
      <c r="I1025" t="s">
        <v>644</v>
      </c>
      <c r="J1025" s="64">
        <v>859</v>
      </c>
    </row>
    <row r="1026" spans="1:10" x14ac:dyDescent="0.25">
      <c r="A1026" s="68">
        <v>3320</v>
      </c>
      <c r="B1026" s="23" t="s">
        <v>6</v>
      </c>
      <c r="C1026" s="23" t="s">
        <v>54</v>
      </c>
      <c r="D1026" s="23" t="s">
        <v>572</v>
      </c>
      <c r="E1026" s="23">
        <v>-523359</v>
      </c>
      <c r="F1026" s="36">
        <v>44980</v>
      </c>
      <c r="G1026" s="16">
        <v>3234002000</v>
      </c>
      <c r="H1026" t="s">
        <v>576</v>
      </c>
      <c r="I1026" t="s">
        <v>644</v>
      </c>
      <c r="J1026" s="64">
        <v>1200</v>
      </c>
    </row>
    <row r="1027" spans="1:10" x14ac:dyDescent="0.25">
      <c r="A1027" s="68">
        <v>3321</v>
      </c>
      <c r="B1027" s="23" t="s">
        <v>56</v>
      </c>
      <c r="C1027" s="23" t="s">
        <v>44</v>
      </c>
      <c r="D1027" s="23" t="s">
        <v>577</v>
      </c>
      <c r="E1027" s="23">
        <v>826987525</v>
      </c>
      <c r="F1027" s="36">
        <v>45007</v>
      </c>
      <c r="G1027" s="16">
        <v>157004000</v>
      </c>
      <c r="H1027" t="s">
        <v>292</v>
      </c>
      <c r="I1027" t="s">
        <v>644</v>
      </c>
      <c r="J1027" s="64">
        <v>2900</v>
      </c>
    </row>
    <row r="1028" spans="1:10" x14ac:dyDescent="0.25">
      <c r="A1028" s="68">
        <v>3325</v>
      </c>
      <c r="B1028" s="23" t="s">
        <v>438</v>
      </c>
      <c r="C1028" s="23" t="s">
        <v>543</v>
      </c>
      <c r="D1028" s="23" t="s">
        <v>578</v>
      </c>
      <c r="E1028" s="23">
        <v>2402021043182</v>
      </c>
      <c r="F1028" s="36">
        <v>45013</v>
      </c>
      <c r="G1028" s="16">
        <v>3279001000</v>
      </c>
      <c r="H1028" t="s">
        <v>417</v>
      </c>
      <c r="I1028" t="s">
        <v>644</v>
      </c>
      <c r="J1028" s="40">
        <v>12</v>
      </c>
    </row>
    <row r="1029" spans="1:10" x14ac:dyDescent="0.25">
      <c r="A1029" s="68">
        <v>3327</v>
      </c>
      <c r="B1029" s="23" t="s">
        <v>401</v>
      </c>
      <c r="C1029" s="23" t="s">
        <v>579</v>
      </c>
      <c r="D1029" s="23" t="s">
        <v>483</v>
      </c>
      <c r="E1029" s="23" t="s">
        <v>550</v>
      </c>
      <c r="F1029" s="36">
        <v>44834</v>
      </c>
      <c r="G1029" s="16">
        <v>3182006000</v>
      </c>
      <c r="H1029" t="s">
        <v>580</v>
      </c>
      <c r="I1029" t="s">
        <v>644</v>
      </c>
      <c r="J1029">
        <v>24</v>
      </c>
    </row>
    <row r="1030" spans="1:10" x14ac:dyDescent="0.25">
      <c r="A1030" s="68">
        <v>3329</v>
      </c>
      <c r="B1030" s="23" t="s">
        <v>536</v>
      </c>
      <c r="C1030" s="23" t="s">
        <v>540</v>
      </c>
      <c r="D1030" s="23" t="s">
        <v>567</v>
      </c>
      <c r="E1030" s="23">
        <v>2794653</v>
      </c>
      <c r="F1030" s="36">
        <v>45050</v>
      </c>
      <c r="G1030" s="16">
        <v>1014001</v>
      </c>
      <c r="H1030" t="s">
        <v>163</v>
      </c>
      <c r="J1030">
        <v>24</v>
      </c>
    </row>
    <row r="1031" spans="1:10" x14ac:dyDescent="0.25">
      <c r="A1031" s="68">
        <v>3330</v>
      </c>
      <c r="B1031" s="23" t="s">
        <v>15</v>
      </c>
      <c r="C1031" s="23" t="s">
        <v>16</v>
      </c>
      <c r="D1031" s="23" t="s">
        <v>145</v>
      </c>
      <c r="E1031" s="23">
        <v>12869210010721</v>
      </c>
      <c r="F1031" s="36">
        <v>45085</v>
      </c>
      <c r="G1031" s="16">
        <v>66011000</v>
      </c>
      <c r="H1031" t="s">
        <v>166</v>
      </c>
      <c r="I1031" t="s">
        <v>644</v>
      </c>
      <c r="J1031" s="64">
        <f>8*1000</f>
        <v>8000</v>
      </c>
    </row>
    <row r="1032" spans="1:10" x14ac:dyDescent="0.25">
      <c r="A1032" s="68">
        <v>3343</v>
      </c>
      <c r="B1032" s="23" t="s">
        <v>6</v>
      </c>
      <c r="C1032" s="23" t="s">
        <v>54</v>
      </c>
      <c r="D1032" s="23" t="s">
        <v>572</v>
      </c>
      <c r="E1032" s="23">
        <v>-513862</v>
      </c>
      <c r="F1032" s="36">
        <v>45109</v>
      </c>
      <c r="G1032" s="16">
        <v>1068022000</v>
      </c>
      <c r="H1032" t="s">
        <v>441</v>
      </c>
      <c r="I1032" t="s">
        <v>644</v>
      </c>
      <c r="J1032" s="64">
        <v>1200</v>
      </c>
    </row>
    <row r="1033" spans="1:10" x14ac:dyDescent="0.25">
      <c r="A1033" s="68">
        <v>3344</v>
      </c>
      <c r="B1033" s="23" t="s">
        <v>6</v>
      </c>
      <c r="C1033" s="23" t="s">
        <v>16</v>
      </c>
      <c r="D1033" s="23" t="s">
        <v>60</v>
      </c>
      <c r="E1033" s="23">
        <v>14285330016846</v>
      </c>
      <c r="F1033" s="36">
        <v>45109</v>
      </c>
      <c r="G1033" s="16">
        <v>3317001000</v>
      </c>
      <c r="H1033" t="s">
        <v>262</v>
      </c>
      <c r="I1033" t="s">
        <v>644</v>
      </c>
      <c r="J1033" s="64">
        <v>1500</v>
      </c>
    </row>
    <row r="1034" spans="1:10" x14ac:dyDescent="0.25">
      <c r="A1034" s="68">
        <v>3345</v>
      </c>
      <c r="B1034" s="23" t="s">
        <v>401</v>
      </c>
      <c r="C1034" s="23" t="s">
        <v>581</v>
      </c>
      <c r="D1034" s="23" t="s">
        <v>582</v>
      </c>
      <c r="E1034" s="23" t="s">
        <v>583</v>
      </c>
      <c r="F1034" s="36">
        <v>45154</v>
      </c>
      <c r="G1034" s="16">
        <v>2936002000</v>
      </c>
      <c r="H1034" t="s">
        <v>368</v>
      </c>
      <c r="I1034" t="s">
        <v>644</v>
      </c>
      <c r="J1034">
        <v>24</v>
      </c>
    </row>
    <row r="1035" spans="1:10" x14ac:dyDescent="0.25">
      <c r="A1035" s="68">
        <v>3350</v>
      </c>
      <c r="B1035" s="23" t="s">
        <v>6</v>
      </c>
      <c r="C1035" s="23" t="s">
        <v>7</v>
      </c>
      <c r="D1035" s="23" t="s">
        <v>572</v>
      </c>
      <c r="E1035" s="23">
        <v>1223822</v>
      </c>
      <c r="F1035" s="36">
        <v>45167</v>
      </c>
      <c r="G1035" s="16">
        <v>1165000000</v>
      </c>
      <c r="H1035" t="s">
        <v>184</v>
      </c>
      <c r="I1035" t="s">
        <v>644</v>
      </c>
      <c r="J1035" s="64">
        <v>996.5</v>
      </c>
    </row>
    <row r="1036" spans="1:10" x14ac:dyDescent="0.25">
      <c r="A1036" s="68">
        <v>3352</v>
      </c>
      <c r="B1036" s="23" t="s">
        <v>401</v>
      </c>
      <c r="C1036" s="23" t="s">
        <v>540</v>
      </c>
      <c r="D1036" s="23" t="s">
        <v>483</v>
      </c>
      <c r="E1036" s="23">
        <v>112233</v>
      </c>
      <c r="F1036" s="36">
        <v>45195</v>
      </c>
      <c r="G1036" s="16">
        <v>3265001000</v>
      </c>
      <c r="H1036" t="s">
        <v>245</v>
      </c>
      <c r="I1036" t="s">
        <v>644</v>
      </c>
      <c r="J1036">
        <v>24</v>
      </c>
    </row>
    <row r="1037" spans="1:10" x14ac:dyDescent="0.25">
      <c r="A1037" s="68">
        <v>3354</v>
      </c>
      <c r="B1037" s="23" t="s">
        <v>22</v>
      </c>
      <c r="C1037" s="23" t="s">
        <v>25</v>
      </c>
      <c r="D1037" s="23">
        <v>1500</v>
      </c>
      <c r="E1037" s="23">
        <v>2023</v>
      </c>
      <c r="F1037" s="36">
        <v>45209</v>
      </c>
      <c r="G1037" s="16">
        <v>1014001</v>
      </c>
      <c r="H1037" t="s">
        <v>163</v>
      </c>
      <c r="J1037" s="64">
        <v>1200</v>
      </c>
    </row>
    <row r="1038" spans="1:10" x14ac:dyDescent="0.25">
      <c r="A1038" s="68">
        <v>3355</v>
      </c>
      <c r="B1038" s="23" t="s">
        <v>10</v>
      </c>
      <c r="C1038" s="23" t="s">
        <v>584</v>
      </c>
      <c r="D1038" s="23">
        <v>1000</v>
      </c>
      <c r="E1038" s="23" t="s">
        <v>585</v>
      </c>
      <c r="F1038" s="36">
        <v>45209</v>
      </c>
      <c r="G1038" s="16">
        <v>3265001000</v>
      </c>
      <c r="H1038" t="s">
        <v>245</v>
      </c>
      <c r="I1038" t="s">
        <v>644</v>
      </c>
      <c r="J1038" s="40">
        <v>3950.5</v>
      </c>
    </row>
    <row r="1039" spans="1:10" x14ac:dyDescent="0.25">
      <c r="A1039" s="68">
        <v>3357</v>
      </c>
      <c r="B1039" s="23" t="s">
        <v>401</v>
      </c>
      <c r="C1039" s="23" t="s">
        <v>487</v>
      </c>
      <c r="D1039" s="23" t="s">
        <v>586</v>
      </c>
      <c r="E1039" s="23" t="s">
        <v>587</v>
      </c>
      <c r="F1039" s="36">
        <v>45210</v>
      </c>
      <c r="G1039" s="16">
        <v>165001000</v>
      </c>
      <c r="H1039" t="s">
        <v>198</v>
      </c>
      <c r="I1039" t="s">
        <v>644</v>
      </c>
      <c r="J1039">
        <v>24</v>
      </c>
    </row>
    <row r="1040" spans="1:10" x14ac:dyDescent="0.25">
      <c r="A1040" s="68">
        <v>3359</v>
      </c>
      <c r="B1040" s="23" t="s">
        <v>401</v>
      </c>
      <c r="C1040" s="23" t="s">
        <v>487</v>
      </c>
      <c r="D1040" s="23" t="s">
        <v>586</v>
      </c>
      <c r="E1040" s="23" t="s">
        <v>588</v>
      </c>
      <c r="F1040" s="36">
        <v>45210</v>
      </c>
      <c r="G1040" s="16">
        <v>165001000</v>
      </c>
      <c r="H1040" t="s">
        <v>198</v>
      </c>
      <c r="I1040" t="s">
        <v>644</v>
      </c>
      <c r="J1040">
        <v>24</v>
      </c>
    </row>
    <row r="1041" spans="1:10" x14ac:dyDescent="0.25">
      <c r="A1041" s="68">
        <v>3362</v>
      </c>
      <c r="B1041" s="23" t="s">
        <v>401</v>
      </c>
      <c r="C1041" s="23" t="s">
        <v>487</v>
      </c>
      <c r="D1041" s="23" t="s">
        <v>586</v>
      </c>
      <c r="E1041" s="23" t="s">
        <v>589</v>
      </c>
      <c r="F1041" s="36">
        <v>45219</v>
      </c>
      <c r="G1041" s="16">
        <v>1720001000</v>
      </c>
      <c r="H1041" t="s">
        <v>408</v>
      </c>
      <c r="I1041" t="s">
        <v>644</v>
      </c>
      <c r="J1041">
        <v>24</v>
      </c>
    </row>
    <row r="1042" spans="1:10" x14ac:dyDescent="0.25">
      <c r="A1042" s="68">
        <v>3364</v>
      </c>
      <c r="B1042" s="23" t="s">
        <v>6</v>
      </c>
      <c r="C1042" s="23" t="s">
        <v>7</v>
      </c>
      <c r="D1042" s="23" t="s">
        <v>67</v>
      </c>
      <c r="E1042" s="23">
        <v>11888</v>
      </c>
      <c r="F1042" s="36">
        <v>45245</v>
      </c>
      <c r="G1042" s="16">
        <v>1652002001</v>
      </c>
      <c r="H1042" t="s">
        <v>294</v>
      </c>
      <c r="I1042" t="s">
        <v>644</v>
      </c>
      <c r="J1042" s="64">
        <v>1000</v>
      </c>
    </row>
    <row r="1043" spans="1:10" x14ac:dyDescent="0.25">
      <c r="A1043" s="68">
        <v>3365</v>
      </c>
      <c r="B1043" s="23" t="s">
        <v>6</v>
      </c>
      <c r="C1043" s="23" t="s">
        <v>52</v>
      </c>
      <c r="D1043" s="23" t="s">
        <v>53</v>
      </c>
      <c r="E1043" s="23" t="s">
        <v>590</v>
      </c>
      <c r="F1043" s="36">
        <v>45246</v>
      </c>
      <c r="G1043" s="16">
        <v>3288001000</v>
      </c>
      <c r="H1043" t="s">
        <v>183</v>
      </c>
      <c r="I1043" t="s">
        <v>644</v>
      </c>
      <c r="J1043" s="64">
        <v>1198.5</v>
      </c>
    </row>
    <row r="1044" spans="1:10" x14ac:dyDescent="0.25">
      <c r="A1044" s="68">
        <v>3368</v>
      </c>
      <c r="B1044" s="23" t="s">
        <v>401</v>
      </c>
      <c r="C1044" s="23" t="s">
        <v>451</v>
      </c>
      <c r="D1044" s="23" t="s">
        <v>591</v>
      </c>
      <c r="E1044" s="23">
        <v>12440</v>
      </c>
      <c r="F1044" s="36">
        <v>45261</v>
      </c>
      <c r="G1044" s="16">
        <v>2886002000</v>
      </c>
      <c r="H1044" t="s">
        <v>275</v>
      </c>
      <c r="I1044" t="s">
        <v>644</v>
      </c>
      <c r="J1044">
        <v>24</v>
      </c>
    </row>
    <row r="1045" spans="1:10" x14ac:dyDescent="0.25">
      <c r="A1045" s="68">
        <v>3369</v>
      </c>
      <c r="B1045" s="23" t="s">
        <v>10</v>
      </c>
      <c r="C1045" s="23" t="s">
        <v>25</v>
      </c>
      <c r="D1045" s="23" t="s">
        <v>592</v>
      </c>
      <c r="E1045" s="23" t="s">
        <v>593</v>
      </c>
      <c r="F1045" s="36">
        <v>45286</v>
      </c>
      <c r="G1045" s="16">
        <v>1014001</v>
      </c>
      <c r="H1045" t="s">
        <v>163</v>
      </c>
      <c r="J1045" s="64">
        <v>1300</v>
      </c>
    </row>
    <row r="1046" spans="1:10" x14ac:dyDescent="0.25">
      <c r="A1046" s="68">
        <v>3370</v>
      </c>
      <c r="B1046" s="23" t="s">
        <v>536</v>
      </c>
      <c r="C1046" s="23" t="s">
        <v>451</v>
      </c>
      <c r="D1046" s="23" t="s">
        <v>483</v>
      </c>
      <c r="E1046" s="23">
        <v>2901807</v>
      </c>
      <c r="F1046" s="36">
        <v>45299</v>
      </c>
      <c r="G1046" s="16">
        <v>1014002</v>
      </c>
      <c r="H1046" t="s">
        <v>191</v>
      </c>
      <c r="J1046">
        <v>24</v>
      </c>
    </row>
    <row r="1047" spans="1:10" x14ac:dyDescent="0.25">
      <c r="A1047" s="68">
        <v>3378</v>
      </c>
      <c r="B1047" s="23" t="s">
        <v>401</v>
      </c>
      <c r="C1047" s="23" t="s">
        <v>487</v>
      </c>
      <c r="D1047" s="23" t="s">
        <v>483</v>
      </c>
      <c r="E1047" s="23">
        <v>6146</v>
      </c>
      <c r="F1047" s="36">
        <v>45321</v>
      </c>
      <c r="G1047" s="16">
        <v>529001000</v>
      </c>
      <c r="H1047" t="s">
        <v>232</v>
      </c>
      <c r="I1047" t="s">
        <v>644</v>
      </c>
      <c r="J1047">
        <v>24</v>
      </c>
    </row>
    <row r="1048" spans="1:10" x14ac:dyDescent="0.25">
      <c r="A1048" s="68">
        <v>3382</v>
      </c>
      <c r="B1048" s="23" t="s">
        <v>401</v>
      </c>
      <c r="C1048" s="23" t="s">
        <v>487</v>
      </c>
      <c r="D1048" s="23" t="s">
        <v>483</v>
      </c>
      <c r="E1048" s="23">
        <v>6213</v>
      </c>
      <c r="F1048" s="36">
        <v>45321</v>
      </c>
      <c r="G1048" s="16">
        <v>165001000</v>
      </c>
      <c r="H1048" t="s">
        <v>198</v>
      </c>
      <c r="I1048" t="s">
        <v>644</v>
      </c>
      <c r="J1048">
        <v>24</v>
      </c>
    </row>
    <row r="1049" spans="1:10" x14ac:dyDescent="0.25">
      <c r="A1049" s="68">
        <v>3383</v>
      </c>
      <c r="B1049" s="23" t="s">
        <v>6</v>
      </c>
      <c r="C1049" s="23" t="s">
        <v>28</v>
      </c>
      <c r="D1049" s="23" t="s">
        <v>35</v>
      </c>
      <c r="E1049" s="23">
        <v>11871</v>
      </c>
      <c r="F1049" s="36">
        <v>45337</v>
      </c>
      <c r="G1049" s="16">
        <v>165001000</v>
      </c>
      <c r="H1049" t="s">
        <v>198</v>
      </c>
      <c r="I1049" t="s">
        <v>644</v>
      </c>
      <c r="J1049" s="64">
        <v>1000</v>
      </c>
    </row>
    <row r="1050" spans="1:10" x14ac:dyDescent="0.25">
      <c r="A1050" s="68">
        <v>3384</v>
      </c>
      <c r="B1050" s="23" t="s">
        <v>6</v>
      </c>
      <c r="C1050" s="23" t="s">
        <v>28</v>
      </c>
      <c r="D1050" s="23" t="s">
        <v>35</v>
      </c>
      <c r="E1050" s="23">
        <v>11867</v>
      </c>
      <c r="F1050" s="36">
        <v>45337</v>
      </c>
      <c r="G1050" s="16">
        <v>165001000</v>
      </c>
      <c r="H1050" t="s">
        <v>198</v>
      </c>
      <c r="I1050" t="s">
        <v>644</v>
      </c>
      <c r="J1050" s="64">
        <v>1000</v>
      </c>
    </row>
    <row r="1051" spans="1:10" x14ac:dyDescent="0.25">
      <c r="A1051" s="68">
        <v>3385</v>
      </c>
      <c r="B1051" s="23" t="s">
        <v>6</v>
      </c>
      <c r="C1051" s="23" t="s">
        <v>7</v>
      </c>
      <c r="D1051" s="23" t="s">
        <v>67</v>
      </c>
      <c r="E1051" s="23">
        <v>11868</v>
      </c>
      <c r="F1051" s="36">
        <v>45337</v>
      </c>
      <c r="G1051" s="16">
        <v>165001000</v>
      </c>
      <c r="H1051" t="s">
        <v>198</v>
      </c>
      <c r="I1051" t="s">
        <v>644</v>
      </c>
      <c r="J1051" s="64">
        <v>1000</v>
      </c>
    </row>
    <row r="1052" spans="1:10" x14ac:dyDescent="0.25">
      <c r="A1052" s="68">
        <v>3386</v>
      </c>
      <c r="B1052" s="23" t="s">
        <v>6</v>
      </c>
      <c r="C1052" s="23" t="s">
        <v>7</v>
      </c>
      <c r="D1052" s="23" t="s">
        <v>67</v>
      </c>
      <c r="E1052" s="23">
        <v>11878</v>
      </c>
      <c r="F1052" s="36">
        <v>45337</v>
      </c>
      <c r="G1052" s="16">
        <v>1068023000</v>
      </c>
      <c r="H1052" t="s">
        <v>594</v>
      </c>
      <c r="I1052" t="s">
        <v>644</v>
      </c>
      <c r="J1052" s="64">
        <v>1000</v>
      </c>
    </row>
    <row r="1053" spans="1:10" x14ac:dyDescent="0.25">
      <c r="A1053" s="68">
        <v>3388</v>
      </c>
      <c r="B1053" s="23" t="s">
        <v>536</v>
      </c>
      <c r="C1053" s="23" t="s">
        <v>111</v>
      </c>
      <c r="D1053" s="23" t="s">
        <v>586</v>
      </c>
      <c r="E1053" s="23">
        <v>6216</v>
      </c>
      <c r="F1053" s="36">
        <v>45337</v>
      </c>
      <c r="G1053" s="16">
        <v>3317001000</v>
      </c>
      <c r="H1053" t="s">
        <v>262</v>
      </c>
      <c r="I1053" t="s">
        <v>644</v>
      </c>
      <c r="J1053" s="40">
        <v>24</v>
      </c>
    </row>
    <row r="1054" spans="1:10" x14ac:dyDescent="0.25">
      <c r="A1054" s="68">
        <v>3390</v>
      </c>
      <c r="B1054" s="23" t="s">
        <v>401</v>
      </c>
      <c r="C1054" s="23" t="s">
        <v>487</v>
      </c>
      <c r="D1054" s="23" t="s">
        <v>586</v>
      </c>
      <c r="E1054" s="23">
        <v>6215</v>
      </c>
      <c r="F1054" s="36">
        <v>45337</v>
      </c>
      <c r="G1054" s="16">
        <v>1978003000</v>
      </c>
      <c r="H1054" t="s">
        <v>334</v>
      </c>
      <c r="I1054" t="s">
        <v>644</v>
      </c>
      <c r="J1054">
        <v>24</v>
      </c>
    </row>
    <row r="1055" spans="1:10" x14ac:dyDescent="0.25">
      <c r="A1055" s="68">
        <v>3394</v>
      </c>
      <c r="B1055" s="23" t="s">
        <v>6</v>
      </c>
      <c r="C1055" s="23" t="s">
        <v>155</v>
      </c>
      <c r="D1055" s="23" t="s">
        <v>19</v>
      </c>
      <c r="E1055" s="23">
        <v>1111</v>
      </c>
      <c r="F1055" s="36">
        <v>45398</v>
      </c>
      <c r="G1055" s="16">
        <v>1967012000</v>
      </c>
      <c r="H1055" t="s">
        <v>273</v>
      </c>
      <c r="I1055" t="s">
        <v>644</v>
      </c>
      <c r="J1055" s="64">
        <v>883.5</v>
      </c>
    </row>
    <row r="1056" spans="1:10" x14ac:dyDescent="0.25">
      <c r="A1056" s="68">
        <v>3396</v>
      </c>
      <c r="B1056" s="23" t="s">
        <v>6</v>
      </c>
      <c r="C1056" s="23" t="s">
        <v>28</v>
      </c>
      <c r="D1056" s="23" t="s">
        <v>29</v>
      </c>
      <c r="E1056" s="23">
        <v>1111</v>
      </c>
      <c r="F1056" s="36">
        <v>45292</v>
      </c>
      <c r="G1056" s="16">
        <v>2962003000</v>
      </c>
      <c r="H1056" t="s">
        <v>595</v>
      </c>
      <c r="I1056" t="s">
        <v>644</v>
      </c>
      <c r="J1056" s="64">
        <v>1000</v>
      </c>
    </row>
    <row r="1057" spans="1:10" x14ac:dyDescent="0.25">
      <c r="A1057" s="68">
        <v>3398</v>
      </c>
      <c r="B1057" s="23" t="s">
        <v>531</v>
      </c>
      <c r="C1057" s="23" t="s">
        <v>596</v>
      </c>
      <c r="E1057" s="23">
        <v>1111</v>
      </c>
      <c r="F1057" s="36">
        <v>45401</v>
      </c>
      <c r="G1057" s="16">
        <v>1925001000</v>
      </c>
      <c r="H1057" t="s">
        <v>290</v>
      </c>
      <c r="I1057" t="s">
        <v>644</v>
      </c>
      <c r="J1057" s="61"/>
    </row>
    <row r="1058" spans="1:10" x14ac:dyDescent="0.25">
      <c r="A1058" s="68">
        <v>3401</v>
      </c>
      <c r="B1058" s="23" t="s">
        <v>536</v>
      </c>
      <c r="C1058" s="23" t="s">
        <v>596</v>
      </c>
      <c r="D1058" s="23" t="s">
        <v>597</v>
      </c>
      <c r="E1058" s="23">
        <v>222222</v>
      </c>
      <c r="F1058" s="36">
        <v>45456</v>
      </c>
      <c r="G1058" s="16">
        <v>1014002</v>
      </c>
      <c r="H1058" t="s">
        <v>191</v>
      </c>
      <c r="J1058">
        <v>24</v>
      </c>
    </row>
    <row r="1059" spans="1:10" x14ac:dyDescent="0.25">
      <c r="A1059" s="68">
        <v>3402</v>
      </c>
      <c r="B1059" s="23" t="s">
        <v>10</v>
      </c>
      <c r="C1059" s="23" t="s">
        <v>7</v>
      </c>
      <c r="D1059" s="23" t="s">
        <v>11</v>
      </c>
      <c r="E1059" s="23">
        <v>1111111</v>
      </c>
      <c r="F1059" s="36">
        <v>45446</v>
      </c>
      <c r="G1059" s="16">
        <v>3300200000</v>
      </c>
      <c r="H1059" t="s">
        <v>399</v>
      </c>
      <c r="I1059" t="s">
        <v>644</v>
      </c>
      <c r="J1059" s="64">
        <v>309.5</v>
      </c>
    </row>
    <row r="1060" spans="1:10" x14ac:dyDescent="0.25">
      <c r="A1060" s="68">
        <v>3405</v>
      </c>
      <c r="B1060" s="23" t="s">
        <v>10</v>
      </c>
      <c r="C1060" s="23" t="s">
        <v>7</v>
      </c>
      <c r="D1060" s="23" t="s">
        <v>11</v>
      </c>
      <c r="E1060" s="23">
        <v>2222</v>
      </c>
      <c r="F1060" s="36">
        <v>45484</v>
      </c>
      <c r="G1060" s="16">
        <v>1068023000</v>
      </c>
      <c r="H1060" t="s">
        <v>594</v>
      </c>
      <c r="I1060" t="s">
        <v>644</v>
      </c>
      <c r="J1060" s="64">
        <v>309.5</v>
      </c>
    </row>
    <row r="1061" spans="1:10" x14ac:dyDescent="0.25">
      <c r="A1061" s="68">
        <v>3406</v>
      </c>
      <c r="B1061" s="23" t="s">
        <v>6</v>
      </c>
      <c r="C1061" s="23" t="s">
        <v>54</v>
      </c>
      <c r="D1061" s="23" t="s">
        <v>592</v>
      </c>
      <c r="E1061" s="23">
        <v>1111</v>
      </c>
      <c r="F1061" s="36">
        <v>45484</v>
      </c>
      <c r="G1061" s="16">
        <v>1014001</v>
      </c>
      <c r="H1061" t="s">
        <v>163</v>
      </c>
      <c r="J1061" s="64">
        <v>1125</v>
      </c>
    </row>
    <row r="1062" spans="1:10" x14ac:dyDescent="0.25">
      <c r="A1062" s="68">
        <v>3409</v>
      </c>
      <c r="B1062" s="23" t="s">
        <v>401</v>
      </c>
      <c r="C1062" s="23" t="s">
        <v>487</v>
      </c>
      <c r="D1062" s="23" t="s">
        <v>483</v>
      </c>
      <c r="E1062" s="23" t="s">
        <v>598</v>
      </c>
      <c r="F1062" s="36">
        <v>45516</v>
      </c>
      <c r="G1062" s="16">
        <v>3265001000</v>
      </c>
      <c r="H1062" t="s">
        <v>245</v>
      </c>
      <c r="I1062" t="s">
        <v>644</v>
      </c>
      <c r="J1062">
        <v>24</v>
      </c>
    </row>
    <row r="1063" spans="1:10" x14ac:dyDescent="0.25">
      <c r="A1063" s="68">
        <v>3410</v>
      </c>
      <c r="B1063" s="23" t="s">
        <v>401</v>
      </c>
      <c r="C1063" s="23" t="s">
        <v>487</v>
      </c>
      <c r="D1063" s="23" t="s">
        <v>483</v>
      </c>
      <c r="E1063" s="23" t="s">
        <v>599</v>
      </c>
      <c r="F1063" s="36">
        <v>45516</v>
      </c>
      <c r="G1063" s="16">
        <v>3042058002</v>
      </c>
      <c r="H1063" t="s">
        <v>223</v>
      </c>
      <c r="I1063" t="s">
        <v>643</v>
      </c>
      <c r="J1063">
        <v>24</v>
      </c>
    </row>
    <row r="1064" spans="1:10" x14ac:dyDescent="0.25">
      <c r="A1064" s="68">
        <v>3412</v>
      </c>
      <c r="B1064" s="23" t="s">
        <v>401</v>
      </c>
      <c r="C1064" s="23" t="s">
        <v>487</v>
      </c>
      <c r="D1064" s="23" t="s">
        <v>586</v>
      </c>
      <c r="E1064" s="23">
        <v>3412</v>
      </c>
      <c r="F1064" s="36">
        <v>45533</v>
      </c>
      <c r="G1064" s="16">
        <v>66032000</v>
      </c>
      <c r="H1064" t="s">
        <v>190</v>
      </c>
      <c r="I1064" t="s">
        <v>644</v>
      </c>
      <c r="J1064">
        <v>24</v>
      </c>
    </row>
    <row r="1065" spans="1:10" x14ac:dyDescent="0.25">
      <c r="A1065" s="68">
        <v>3413</v>
      </c>
      <c r="B1065" s="23" t="s">
        <v>401</v>
      </c>
      <c r="C1065" s="23" t="s">
        <v>487</v>
      </c>
      <c r="D1065" s="23" t="s">
        <v>586</v>
      </c>
      <c r="E1065" s="23">
        <v>111111</v>
      </c>
      <c r="F1065" s="36">
        <v>45538</v>
      </c>
      <c r="G1065" s="16">
        <v>66031000</v>
      </c>
      <c r="H1065" t="s">
        <v>185</v>
      </c>
      <c r="I1065" t="s">
        <v>644</v>
      </c>
      <c r="J1065">
        <v>24</v>
      </c>
    </row>
    <row r="1066" spans="1:10" x14ac:dyDescent="0.25">
      <c r="A1066" s="68">
        <v>3416</v>
      </c>
      <c r="B1066" s="23" t="s">
        <v>72</v>
      </c>
      <c r="C1066" s="23" t="s">
        <v>73</v>
      </c>
      <c r="D1066" s="23" t="s">
        <v>74</v>
      </c>
      <c r="E1066" s="23">
        <v>20230600735</v>
      </c>
      <c r="F1066" s="36">
        <v>45565</v>
      </c>
      <c r="G1066" s="16">
        <v>3318001000</v>
      </c>
      <c r="H1066" t="s">
        <v>600</v>
      </c>
      <c r="I1066" t="s">
        <v>644</v>
      </c>
      <c r="J1066" s="64">
        <f>1*745.7</f>
        <v>745.7</v>
      </c>
    </row>
    <row r="1067" spans="1:10" x14ac:dyDescent="0.25">
      <c r="A1067" s="68">
        <v>3418</v>
      </c>
      <c r="B1067" s="23" t="s">
        <v>134</v>
      </c>
      <c r="C1067" s="23" t="s">
        <v>52</v>
      </c>
      <c r="D1067" s="23" t="s">
        <v>146</v>
      </c>
      <c r="E1067" s="23" t="s">
        <v>601</v>
      </c>
      <c r="F1067" s="36">
        <v>45586</v>
      </c>
      <c r="G1067" s="16">
        <v>66011000</v>
      </c>
      <c r="H1067" t="s">
        <v>166</v>
      </c>
      <c r="I1067" t="s">
        <v>644</v>
      </c>
      <c r="J1067" s="61"/>
    </row>
    <row r="1068" spans="1:10" x14ac:dyDescent="0.25">
      <c r="A1068" s="68">
        <v>3421</v>
      </c>
      <c r="B1068" s="23" t="s">
        <v>401</v>
      </c>
      <c r="C1068" s="23" t="s">
        <v>487</v>
      </c>
      <c r="D1068" s="23" t="s">
        <v>586</v>
      </c>
      <c r="E1068" s="23">
        <v>111111111</v>
      </c>
      <c r="F1068" s="36">
        <v>45632</v>
      </c>
      <c r="G1068" s="16">
        <v>2499001000</v>
      </c>
      <c r="H1068" t="s">
        <v>363</v>
      </c>
      <c r="I1068" t="s">
        <v>644</v>
      </c>
      <c r="J1068">
        <v>24</v>
      </c>
    </row>
    <row r="1069" spans="1:10" x14ac:dyDescent="0.25">
      <c r="A1069" s="68">
        <v>3422</v>
      </c>
      <c r="B1069" s="23" t="s">
        <v>401</v>
      </c>
      <c r="C1069" s="23" t="s">
        <v>487</v>
      </c>
      <c r="D1069" s="23" t="s">
        <v>586</v>
      </c>
      <c r="E1069" s="23">
        <v>11111111</v>
      </c>
      <c r="F1069" s="36">
        <v>45632</v>
      </c>
      <c r="G1069" s="16">
        <v>3042058001</v>
      </c>
      <c r="H1069" t="s">
        <v>522</v>
      </c>
      <c r="I1069" t="s">
        <v>643</v>
      </c>
      <c r="J1069">
        <v>24</v>
      </c>
    </row>
    <row r="1070" spans="1:10" x14ac:dyDescent="0.25">
      <c r="A1070" s="68">
        <v>3423</v>
      </c>
      <c r="B1070" s="23" t="s">
        <v>401</v>
      </c>
      <c r="C1070" s="23" t="s">
        <v>487</v>
      </c>
      <c r="D1070" s="23" t="s">
        <v>586</v>
      </c>
      <c r="E1070" s="23">
        <v>11111111111</v>
      </c>
      <c r="F1070" s="36">
        <v>45632</v>
      </c>
      <c r="G1070" s="16">
        <v>3135001000</v>
      </c>
      <c r="H1070" t="s">
        <v>171</v>
      </c>
      <c r="I1070" t="s">
        <v>644</v>
      </c>
      <c r="J1070">
        <v>24</v>
      </c>
    </row>
    <row r="1071" spans="1:10" x14ac:dyDescent="0.25">
      <c r="A1071" s="68">
        <v>3424</v>
      </c>
      <c r="B1071" s="23" t="s">
        <v>6</v>
      </c>
      <c r="C1071" s="23" t="s">
        <v>7</v>
      </c>
      <c r="D1071" s="23" t="s">
        <v>109</v>
      </c>
      <c r="E1071" s="23">
        <v>12165</v>
      </c>
      <c r="F1071" s="36">
        <v>45646</v>
      </c>
      <c r="G1071" s="16">
        <v>165001000</v>
      </c>
      <c r="H1071" t="s">
        <v>198</v>
      </c>
      <c r="I1071" t="s">
        <v>644</v>
      </c>
      <c r="J1071" s="64">
        <v>1000</v>
      </c>
    </row>
    <row r="1072" spans="1:10" x14ac:dyDescent="0.25">
      <c r="A1072" s="68">
        <v>3425</v>
      </c>
      <c r="B1072" s="23" t="s">
        <v>56</v>
      </c>
      <c r="C1072" s="23" t="s">
        <v>57</v>
      </c>
      <c r="D1072" s="23" t="s">
        <v>88</v>
      </c>
      <c r="E1072" s="23">
        <v>28125737</v>
      </c>
      <c r="F1072" s="36">
        <v>45670</v>
      </c>
      <c r="G1072" s="16">
        <v>3042116001</v>
      </c>
      <c r="H1072" t="s">
        <v>330</v>
      </c>
      <c r="I1072" t="s">
        <v>643</v>
      </c>
      <c r="J1072" s="61">
        <v>3600</v>
      </c>
    </row>
    <row r="1073" spans="1:10" x14ac:dyDescent="0.25">
      <c r="A1073" s="68">
        <v>3430</v>
      </c>
      <c r="B1073" s="23" t="s">
        <v>536</v>
      </c>
      <c r="C1073" s="23" t="s">
        <v>487</v>
      </c>
      <c r="D1073" s="23" t="s">
        <v>483</v>
      </c>
      <c r="E1073" s="23">
        <v>1111111</v>
      </c>
      <c r="F1073" s="36">
        <v>45705</v>
      </c>
      <c r="G1073" s="16">
        <v>3343001000</v>
      </c>
      <c r="H1073" t="s">
        <v>216</v>
      </c>
      <c r="I1073" t="s">
        <v>644</v>
      </c>
      <c r="J1073">
        <v>24</v>
      </c>
    </row>
    <row r="1074" spans="1:10" x14ac:dyDescent="0.25">
      <c r="A1074" s="68">
        <v>3438</v>
      </c>
      <c r="B1074" s="23" t="s">
        <v>56</v>
      </c>
      <c r="C1074" s="23" t="s">
        <v>16</v>
      </c>
      <c r="D1074" s="23" t="s">
        <v>147</v>
      </c>
      <c r="E1074" s="23">
        <v>14790</v>
      </c>
      <c r="F1074" s="36">
        <v>45770</v>
      </c>
      <c r="G1074" s="16">
        <v>66011000</v>
      </c>
      <c r="H1074" t="s">
        <v>166</v>
      </c>
      <c r="I1074" t="s">
        <v>644</v>
      </c>
      <c r="J1074" s="64">
        <v>3400</v>
      </c>
    </row>
    <row r="1075" spans="1:10" x14ac:dyDescent="0.25">
      <c r="A1075" s="68">
        <v>3441</v>
      </c>
      <c r="B1075" s="23" t="s">
        <v>401</v>
      </c>
      <c r="C1075" s="23" t="s">
        <v>581</v>
      </c>
      <c r="D1075" s="23" t="s">
        <v>602</v>
      </c>
      <c r="E1075" s="23" t="s">
        <v>603</v>
      </c>
      <c r="F1075" s="36">
        <v>45797</v>
      </c>
      <c r="G1075" s="16">
        <v>3076001000</v>
      </c>
      <c r="H1075" t="s">
        <v>369</v>
      </c>
      <c r="I1075" t="s">
        <v>644</v>
      </c>
      <c r="J1075">
        <v>24</v>
      </c>
    </row>
    <row r="1076" spans="1:10" x14ac:dyDescent="0.25">
      <c r="A1076" s="68">
        <v>3449</v>
      </c>
      <c r="B1076" s="23" t="s">
        <v>401</v>
      </c>
      <c r="C1076" s="23" t="s">
        <v>487</v>
      </c>
      <c r="D1076" s="23" t="s">
        <v>586</v>
      </c>
      <c r="E1076" s="23">
        <v>11111111</v>
      </c>
      <c r="F1076" s="36">
        <v>45870</v>
      </c>
      <c r="G1076" s="16">
        <v>3265001000</v>
      </c>
      <c r="H1076" t="s">
        <v>245</v>
      </c>
      <c r="I1076" t="s">
        <v>644</v>
      </c>
      <c r="J1076">
        <v>24</v>
      </c>
    </row>
    <row r="1077" spans="1:10" x14ac:dyDescent="0.25">
      <c r="A1077" s="68">
        <v>3450</v>
      </c>
      <c r="B1077" s="23" t="s">
        <v>401</v>
      </c>
      <c r="C1077" s="23" t="s">
        <v>487</v>
      </c>
      <c r="D1077" s="23" t="s">
        <v>586</v>
      </c>
      <c r="E1077" s="23">
        <v>111111111</v>
      </c>
      <c r="F1077" s="36">
        <v>45870</v>
      </c>
      <c r="G1077" s="16">
        <v>66032000</v>
      </c>
      <c r="H1077" t="s">
        <v>190</v>
      </c>
      <c r="I1077" t="s">
        <v>644</v>
      </c>
      <c r="J1077">
        <v>24</v>
      </c>
    </row>
    <row r="1078" spans="1:10" x14ac:dyDescent="0.25">
      <c r="A1078" s="68">
        <v>3451</v>
      </c>
      <c r="B1078" s="23" t="s">
        <v>401</v>
      </c>
      <c r="C1078" s="23" t="s">
        <v>487</v>
      </c>
      <c r="D1078" s="23" t="s">
        <v>586</v>
      </c>
      <c r="E1078" s="23">
        <v>1111111111</v>
      </c>
      <c r="F1078" s="36">
        <v>45870</v>
      </c>
      <c r="G1078" s="16">
        <v>165001000</v>
      </c>
      <c r="H1078" t="s">
        <v>198</v>
      </c>
      <c r="I1078" t="s">
        <v>644</v>
      </c>
      <c r="J1078">
        <v>24</v>
      </c>
    </row>
    <row r="1079" spans="1:10" x14ac:dyDescent="0.25">
      <c r="A1079" s="68">
        <v>3452</v>
      </c>
      <c r="B1079" s="23" t="s">
        <v>401</v>
      </c>
      <c r="C1079" s="23" t="s">
        <v>487</v>
      </c>
      <c r="D1079" s="23" t="s">
        <v>586</v>
      </c>
      <c r="E1079" s="23">
        <v>11111111</v>
      </c>
      <c r="F1079" s="36">
        <v>45870</v>
      </c>
      <c r="G1079" s="16">
        <v>1321001000</v>
      </c>
      <c r="H1079" t="s">
        <v>366</v>
      </c>
      <c r="I1079" t="s">
        <v>644</v>
      </c>
      <c r="J1079">
        <v>24</v>
      </c>
    </row>
    <row r="1080" spans="1:10" x14ac:dyDescent="0.25">
      <c r="A1080" s="68">
        <v>3455</v>
      </c>
      <c r="B1080" s="23" t="s">
        <v>401</v>
      </c>
      <c r="C1080" s="23" t="s">
        <v>61</v>
      </c>
      <c r="D1080" s="23" t="s">
        <v>604</v>
      </c>
      <c r="E1080" s="23">
        <v>35003123</v>
      </c>
      <c r="F1080" s="36">
        <v>45881</v>
      </c>
      <c r="G1080" s="16">
        <v>165001000</v>
      </c>
      <c r="H1080" t="s">
        <v>198</v>
      </c>
      <c r="I1080" t="s">
        <v>644</v>
      </c>
      <c r="J1080">
        <v>24</v>
      </c>
    </row>
    <row r="1081" spans="1:10" x14ac:dyDescent="0.25">
      <c r="A1081" s="68">
        <v>3457</v>
      </c>
      <c r="B1081" s="23" t="s">
        <v>401</v>
      </c>
      <c r="C1081" s="23" t="s">
        <v>61</v>
      </c>
      <c r="D1081" s="23" t="s">
        <v>604</v>
      </c>
      <c r="E1081" s="23">
        <v>35003114</v>
      </c>
      <c r="F1081" s="36">
        <v>45881</v>
      </c>
      <c r="G1081" s="16">
        <v>165001000</v>
      </c>
      <c r="H1081" t="s">
        <v>198</v>
      </c>
      <c r="I1081" t="s">
        <v>644</v>
      </c>
      <c r="J1081">
        <v>24</v>
      </c>
    </row>
    <row r="1082" spans="1:10" x14ac:dyDescent="0.25">
      <c r="A1082" s="68">
        <v>3459</v>
      </c>
      <c r="B1082" s="23" t="s">
        <v>401</v>
      </c>
      <c r="C1082" s="23" t="s">
        <v>61</v>
      </c>
      <c r="D1082" s="23" t="s">
        <v>604</v>
      </c>
      <c r="E1082" s="23">
        <v>35003113</v>
      </c>
      <c r="F1082" s="36">
        <v>45887</v>
      </c>
      <c r="G1082" s="16">
        <v>2499001000</v>
      </c>
      <c r="H1082" t="s">
        <v>363</v>
      </c>
      <c r="I1082" t="s">
        <v>644</v>
      </c>
      <c r="J1082">
        <v>24</v>
      </c>
    </row>
    <row r="1083" spans="1:10" x14ac:dyDescent="0.25">
      <c r="A1083" s="68">
        <v>3461</v>
      </c>
      <c r="B1083" s="23" t="s">
        <v>401</v>
      </c>
      <c r="C1083" s="23" t="s">
        <v>61</v>
      </c>
      <c r="D1083" s="23" t="s">
        <v>604</v>
      </c>
      <c r="E1083" s="23">
        <v>35002195</v>
      </c>
      <c r="F1083" s="36">
        <v>45887</v>
      </c>
      <c r="G1083" s="16">
        <v>2499001000</v>
      </c>
      <c r="H1083" t="s">
        <v>363</v>
      </c>
      <c r="I1083" t="s">
        <v>644</v>
      </c>
      <c r="J1083">
        <v>24</v>
      </c>
    </row>
    <row r="1084" spans="1:10" x14ac:dyDescent="0.25">
      <c r="A1084" s="68">
        <v>3467</v>
      </c>
      <c r="B1084" s="23" t="s">
        <v>401</v>
      </c>
      <c r="C1084" s="23" t="s">
        <v>61</v>
      </c>
      <c r="D1084" s="23" t="s">
        <v>604</v>
      </c>
      <c r="E1084" s="23">
        <v>35002196</v>
      </c>
      <c r="F1084" s="36">
        <v>45911</v>
      </c>
      <c r="G1084" s="16">
        <v>66011000</v>
      </c>
      <c r="H1084" t="s">
        <v>166</v>
      </c>
      <c r="I1084" t="s">
        <v>644</v>
      </c>
      <c r="J1084">
        <v>24</v>
      </c>
    </row>
    <row r="1085" spans="1:10" x14ac:dyDescent="0.25">
      <c r="A1085" s="68">
        <v>3469</v>
      </c>
      <c r="B1085" s="23" t="s">
        <v>401</v>
      </c>
      <c r="C1085" s="23" t="s">
        <v>61</v>
      </c>
      <c r="D1085" s="23" t="s">
        <v>604</v>
      </c>
      <c r="E1085" s="23">
        <v>35003124</v>
      </c>
      <c r="F1085" s="36">
        <v>45911</v>
      </c>
      <c r="G1085" s="16">
        <v>3042058001</v>
      </c>
      <c r="H1085" t="s">
        <v>522</v>
      </c>
      <c r="I1085" t="s">
        <v>643</v>
      </c>
      <c r="J1085">
        <v>24</v>
      </c>
    </row>
    <row r="1086" spans="1:10" x14ac:dyDescent="0.25">
      <c r="A1086" s="68">
        <v>3476</v>
      </c>
      <c r="B1086" s="23" t="s">
        <v>401</v>
      </c>
      <c r="C1086" s="23" t="s">
        <v>61</v>
      </c>
      <c r="D1086" s="23" t="s">
        <v>604</v>
      </c>
      <c r="E1086" s="23">
        <v>35003119</v>
      </c>
      <c r="F1086" s="36">
        <v>45931</v>
      </c>
      <c r="G1086" s="16">
        <v>3034001000</v>
      </c>
      <c r="H1086" t="s">
        <v>356</v>
      </c>
      <c r="I1086" t="s">
        <v>644</v>
      </c>
      <c r="J1086">
        <v>24</v>
      </c>
    </row>
    <row r="1087" spans="1:10" x14ac:dyDescent="0.25">
      <c r="A1087" s="68">
        <v>3477</v>
      </c>
      <c r="B1087" s="23" t="s">
        <v>119</v>
      </c>
      <c r="C1087" s="23" t="s">
        <v>605</v>
      </c>
      <c r="D1087" s="23" t="s">
        <v>606</v>
      </c>
      <c r="E1087" s="23">
        <v>21133470552</v>
      </c>
      <c r="F1087" s="36">
        <v>45933</v>
      </c>
      <c r="G1087" s="16">
        <v>1014001</v>
      </c>
      <c r="H1087" t="s">
        <v>163</v>
      </c>
      <c r="J1087" s="40">
        <v>20</v>
      </c>
    </row>
    <row r="1088" spans="1:10" x14ac:dyDescent="0.25">
      <c r="A1088" s="68">
        <v>3478</v>
      </c>
      <c r="B1088" s="23" t="s">
        <v>607</v>
      </c>
      <c r="C1088" s="23" t="s">
        <v>605</v>
      </c>
      <c r="D1088" s="23" t="s">
        <v>608</v>
      </c>
      <c r="E1088" s="23">
        <v>21139740047</v>
      </c>
      <c r="F1088" s="36">
        <v>45933</v>
      </c>
      <c r="G1088" s="16">
        <v>1014001</v>
      </c>
      <c r="H1088" t="s">
        <v>163</v>
      </c>
      <c r="J1088">
        <v>20</v>
      </c>
    </row>
    <row r="1089" spans="1:10" x14ac:dyDescent="0.25">
      <c r="A1089" s="68">
        <v>3479</v>
      </c>
      <c r="B1089" s="23" t="s">
        <v>15</v>
      </c>
      <c r="C1089" s="23" t="s">
        <v>57</v>
      </c>
      <c r="D1089" s="23" t="s">
        <v>609</v>
      </c>
      <c r="E1089" s="23">
        <v>3520230505637</v>
      </c>
      <c r="F1089" s="36">
        <v>45495</v>
      </c>
      <c r="G1089" s="16">
        <v>3178002000</v>
      </c>
      <c r="H1089" t="s">
        <v>321</v>
      </c>
      <c r="I1089" t="s">
        <v>644</v>
      </c>
      <c r="J1089" s="61">
        <v>3600</v>
      </c>
    </row>
    <row r="1090" spans="1:10" x14ac:dyDescent="0.25">
      <c r="A1090" s="68">
        <v>3495</v>
      </c>
      <c r="B1090" s="23" t="s">
        <v>401</v>
      </c>
      <c r="C1090" s="23" t="s">
        <v>61</v>
      </c>
      <c r="D1090" s="23" t="s">
        <v>604</v>
      </c>
      <c r="E1090" s="23">
        <v>35003125</v>
      </c>
      <c r="F1090" s="36">
        <v>45952</v>
      </c>
      <c r="G1090" s="16">
        <v>3042088002</v>
      </c>
      <c r="H1090" t="s">
        <v>563</v>
      </c>
      <c r="I1090" t="s">
        <v>643</v>
      </c>
      <c r="J1090" s="40">
        <v>24</v>
      </c>
    </row>
    <row r="1091" spans="1:10" x14ac:dyDescent="0.25">
      <c r="A1091" s="68">
        <v>3500</v>
      </c>
      <c r="B1091" s="23" t="s">
        <v>610</v>
      </c>
      <c r="C1091" s="23" t="s">
        <v>611</v>
      </c>
      <c r="D1091" s="23" t="s">
        <v>612</v>
      </c>
      <c r="E1091" s="23" t="s">
        <v>613</v>
      </c>
      <c r="F1091" s="36">
        <v>45980</v>
      </c>
      <c r="G1091" s="16">
        <v>1925007000</v>
      </c>
      <c r="H1091" t="s">
        <v>450</v>
      </c>
      <c r="I1091" t="s">
        <v>644</v>
      </c>
      <c r="J1091" s="61"/>
    </row>
    <row r="1092" spans="1:10" x14ac:dyDescent="0.25">
      <c r="A1092" s="68">
        <v>3504</v>
      </c>
      <c r="B1092" s="23" t="s">
        <v>614</v>
      </c>
      <c r="C1092" s="23" t="s">
        <v>546</v>
      </c>
      <c r="D1092" s="23" t="s">
        <v>615</v>
      </c>
      <c r="E1092" s="23">
        <v>111111111111</v>
      </c>
      <c r="F1092" s="36">
        <v>45988</v>
      </c>
      <c r="G1092" s="16">
        <v>3042088002</v>
      </c>
      <c r="H1092" t="s">
        <v>563</v>
      </c>
      <c r="I1092" t="s">
        <v>643</v>
      </c>
      <c r="J1092">
        <v>48</v>
      </c>
    </row>
    <row r="1093" spans="1:10" x14ac:dyDescent="0.25">
      <c r="A1093" s="68">
        <v>3505</v>
      </c>
      <c r="B1093" s="23" t="s">
        <v>15</v>
      </c>
      <c r="C1093" s="23" t="s">
        <v>616</v>
      </c>
      <c r="D1093" s="23" t="s">
        <v>617</v>
      </c>
      <c r="E1093" s="23">
        <v>-603989</v>
      </c>
      <c r="F1093" s="36">
        <v>45989</v>
      </c>
      <c r="G1093" s="16">
        <v>2126001000</v>
      </c>
      <c r="H1093" t="s">
        <v>180</v>
      </c>
      <c r="I1093" t="s">
        <v>644</v>
      </c>
      <c r="J1093" s="40">
        <v>2200</v>
      </c>
    </row>
    <row r="1094" spans="1:10" x14ac:dyDescent="0.25">
      <c r="A1094" s="68">
        <v>3506</v>
      </c>
      <c r="B1094" s="23" t="s">
        <v>15</v>
      </c>
      <c r="C1094" s="23" t="s">
        <v>616</v>
      </c>
      <c r="D1094" s="23" t="s">
        <v>617</v>
      </c>
      <c r="E1094" s="23">
        <v>-603958</v>
      </c>
      <c r="F1094" s="36">
        <v>45989</v>
      </c>
      <c r="G1094" s="16">
        <v>1025000</v>
      </c>
      <c r="H1094" t="s">
        <v>618</v>
      </c>
      <c r="I1094" t="s">
        <v>644</v>
      </c>
      <c r="J1094" s="40">
        <v>2200</v>
      </c>
    </row>
    <row r="1095" spans="1:10" x14ac:dyDescent="0.25">
      <c r="A1095" s="68">
        <v>3507</v>
      </c>
      <c r="B1095" s="23" t="s">
        <v>401</v>
      </c>
      <c r="C1095" s="23" t="s">
        <v>487</v>
      </c>
      <c r="D1095" s="23" t="s">
        <v>586</v>
      </c>
      <c r="E1095" s="23">
        <v>111111111111</v>
      </c>
      <c r="F1095" s="36">
        <v>45994</v>
      </c>
      <c r="G1095" s="16">
        <v>1014001</v>
      </c>
      <c r="H1095" t="s">
        <v>163</v>
      </c>
      <c r="J1095">
        <v>24</v>
      </c>
    </row>
    <row r="1096" spans="1:10" x14ac:dyDescent="0.25">
      <c r="A1096" s="68">
        <v>3509</v>
      </c>
      <c r="B1096" s="23" t="s">
        <v>401</v>
      </c>
      <c r="C1096" s="23" t="s">
        <v>546</v>
      </c>
      <c r="D1096" s="23" t="s">
        <v>619</v>
      </c>
      <c r="E1096" s="23" t="s">
        <v>620</v>
      </c>
      <c r="F1096" s="36">
        <v>46000</v>
      </c>
      <c r="G1096" s="16">
        <v>3042088001</v>
      </c>
      <c r="H1096" t="s">
        <v>573</v>
      </c>
      <c r="I1096" t="s">
        <v>643</v>
      </c>
      <c r="J1096">
        <v>24</v>
      </c>
    </row>
    <row r="1097" spans="1:10" x14ac:dyDescent="0.25">
      <c r="A1097" s="68">
        <v>3515</v>
      </c>
      <c r="B1097" s="23" t="s">
        <v>6</v>
      </c>
      <c r="C1097" s="23" t="s">
        <v>111</v>
      </c>
      <c r="D1097" s="23" t="s">
        <v>67</v>
      </c>
      <c r="E1097" s="23">
        <v>12217</v>
      </c>
      <c r="F1097" s="36">
        <v>46006</v>
      </c>
      <c r="G1097" s="16">
        <v>3182006000</v>
      </c>
      <c r="H1097" t="s">
        <v>580</v>
      </c>
      <c r="I1097" t="s">
        <v>644</v>
      </c>
      <c r="J1097" s="61"/>
    </row>
    <row r="1098" spans="1:10" x14ac:dyDescent="0.25">
      <c r="A1098" s="68">
        <v>3516</v>
      </c>
      <c r="B1098" s="23" t="s">
        <v>6</v>
      </c>
      <c r="C1098" s="23" t="s">
        <v>25</v>
      </c>
      <c r="D1098" s="23" t="s">
        <v>55</v>
      </c>
      <c r="E1098" s="23" t="s">
        <v>621</v>
      </c>
      <c r="F1098" s="36">
        <v>46031</v>
      </c>
      <c r="G1098" s="16">
        <v>3234001000</v>
      </c>
      <c r="H1098" t="s">
        <v>192</v>
      </c>
      <c r="I1098" t="s">
        <v>644</v>
      </c>
      <c r="J1098" s="64">
        <v>1000</v>
      </c>
    </row>
    <row r="1099" spans="1:10" x14ac:dyDescent="0.25">
      <c r="A1099" s="68">
        <v>3517</v>
      </c>
      <c r="B1099" s="23" t="s">
        <v>6</v>
      </c>
      <c r="C1099" s="23" t="s">
        <v>25</v>
      </c>
      <c r="D1099" s="23" t="s">
        <v>55</v>
      </c>
      <c r="E1099" s="23" t="s">
        <v>622</v>
      </c>
      <c r="F1099" s="36">
        <v>46031</v>
      </c>
      <c r="G1099" s="16">
        <v>3234001000</v>
      </c>
      <c r="H1099" t="s">
        <v>192</v>
      </c>
      <c r="I1099" t="s">
        <v>644</v>
      </c>
      <c r="J1099" s="64">
        <v>1000</v>
      </c>
    </row>
    <row r="1100" spans="1:10" x14ac:dyDescent="0.25">
      <c r="A1100" s="68">
        <v>3519</v>
      </c>
      <c r="B1100" s="23" t="s">
        <v>401</v>
      </c>
      <c r="C1100" s="23" t="s">
        <v>61</v>
      </c>
      <c r="D1100" s="23" t="s">
        <v>604</v>
      </c>
      <c r="E1100" s="23" t="s">
        <v>623</v>
      </c>
      <c r="F1100" s="36">
        <v>46044</v>
      </c>
      <c r="G1100" s="16">
        <v>3379001000</v>
      </c>
      <c r="H1100" t="s">
        <v>624</v>
      </c>
      <c r="I1100" t="s">
        <v>644</v>
      </c>
      <c r="J1100">
        <v>24</v>
      </c>
    </row>
    <row r="1101" spans="1:10" x14ac:dyDescent="0.25">
      <c r="A1101" s="68">
        <v>3522</v>
      </c>
      <c r="B1101" s="23" t="s">
        <v>401</v>
      </c>
      <c r="C1101" s="23" t="s">
        <v>61</v>
      </c>
      <c r="D1101" s="23" t="s">
        <v>604</v>
      </c>
      <c r="E1101" s="23" t="s">
        <v>623</v>
      </c>
      <c r="F1101" s="36">
        <v>46049</v>
      </c>
      <c r="G1101" s="16">
        <v>3076003000</v>
      </c>
      <c r="H1101" t="s">
        <v>625</v>
      </c>
      <c r="I1101" t="s">
        <v>644</v>
      </c>
      <c r="J1101">
        <v>24</v>
      </c>
    </row>
    <row r="1102" spans="1:10" x14ac:dyDescent="0.25">
      <c r="A1102" s="68">
        <v>10000</v>
      </c>
      <c r="B1102" s="23" t="s">
        <v>6</v>
      </c>
      <c r="C1102" s="23" t="s">
        <v>16</v>
      </c>
      <c r="D1102" s="23" t="s">
        <v>19</v>
      </c>
      <c r="F1102" s="36">
        <v>43584</v>
      </c>
      <c r="G1102" s="16">
        <v>1014001</v>
      </c>
      <c r="H1102" t="s">
        <v>163</v>
      </c>
      <c r="J1102" s="66"/>
    </row>
    <row r="1103" spans="1:10" x14ac:dyDescent="0.25">
      <c r="A1103" s="68">
        <v>3244001000</v>
      </c>
      <c r="B1103" s="23" t="s">
        <v>10</v>
      </c>
      <c r="C1103" s="23" t="s">
        <v>7</v>
      </c>
      <c r="E1103" s="23">
        <v>12345567</v>
      </c>
      <c r="F1103" s="36">
        <v>25688</v>
      </c>
      <c r="G1103" s="16">
        <v>989003001</v>
      </c>
      <c r="H1103" t="s">
        <v>626</v>
      </c>
      <c r="I1103" t="s">
        <v>644</v>
      </c>
      <c r="J1103" s="64">
        <v>1212</v>
      </c>
    </row>
  </sheetData>
  <autoFilter ref="A1:J1103" xr:uid="{5B2DC0B5-8EE7-4510-98F8-AFA3DF1508E5}">
    <sortState xmlns:xlrd2="http://schemas.microsoft.com/office/spreadsheetml/2017/richdata2" ref="A2:J1103">
      <sortCondition ref="A1:A1103"/>
    </sortState>
  </autoFilter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B7B7-4304-4E0D-9253-71FFDE2A44B4}">
  <dimension ref="A1:B1129"/>
  <sheetViews>
    <sheetView tabSelected="1" zoomScaleNormal="100" workbookViewId="0">
      <selection activeCell="B1" sqref="B1:I1048576"/>
    </sheetView>
  </sheetViews>
  <sheetFormatPr baseColWidth="10" defaultRowHeight="15" x14ac:dyDescent="0.25"/>
  <cols>
    <col min="2" max="2" width="12.140625" customWidth="1"/>
  </cols>
  <sheetData>
    <row r="1" spans="1:2" x14ac:dyDescent="0.25">
      <c r="A1" s="67" t="s">
        <v>0</v>
      </c>
      <c r="B1" s="67" t="s">
        <v>641</v>
      </c>
    </row>
    <row r="2" spans="1:2" x14ac:dyDescent="0.25">
      <c r="A2" s="16">
        <v>5</v>
      </c>
      <c r="B2">
        <f>VLOOKUP(A2,'Inventario ENE 30-1-26'!$A$1:$J$10000,10,FALSE)</f>
        <v>309.5</v>
      </c>
    </row>
    <row r="3" spans="1:2" x14ac:dyDescent="0.25">
      <c r="A3" s="16">
        <v>6</v>
      </c>
      <c r="B3">
        <f>VLOOKUP(A3,'Inventario ENE 30-1-26'!$A$1:$J$10000,10,FALSE)</f>
        <v>309.5</v>
      </c>
    </row>
    <row r="4" spans="1:2" x14ac:dyDescent="0.25">
      <c r="A4" s="16">
        <v>7</v>
      </c>
      <c r="B4">
        <f>VLOOKUP(A4,'Inventario ENE 30-1-26'!$A$1:$J$10000,10,FALSE)</f>
        <v>1212</v>
      </c>
    </row>
    <row r="5" spans="1:2" x14ac:dyDescent="0.25">
      <c r="A5" s="16">
        <v>8</v>
      </c>
      <c r="B5">
        <f>VLOOKUP(A5,'Inventario ENE 30-1-26'!$A$1:$J$10000,10,FALSE)</f>
        <v>1212</v>
      </c>
    </row>
    <row r="6" spans="1:2" x14ac:dyDescent="0.25">
      <c r="A6" s="16">
        <v>11</v>
      </c>
      <c r="B6">
        <f>VLOOKUP(A6,'Inventario ENE 30-1-26'!$A$1:$J$10000,10,FALSE)</f>
        <v>318.5</v>
      </c>
    </row>
    <row r="7" spans="1:2" x14ac:dyDescent="0.25">
      <c r="A7" s="16">
        <v>18</v>
      </c>
      <c r="B7">
        <f>VLOOKUP(A7,'Inventario ENE 30-1-26'!$A$1:$J$10000,10,FALSE)</f>
        <v>1091</v>
      </c>
    </row>
    <row r="8" spans="1:2" x14ac:dyDescent="0.25">
      <c r="A8" s="16">
        <v>23</v>
      </c>
      <c r="B8">
        <f>VLOOKUP(A8,'Inventario ENE 30-1-26'!$A$1:$J$10000,10,FALSE)</f>
        <v>1154</v>
      </c>
    </row>
    <row r="9" spans="1:2" x14ac:dyDescent="0.25">
      <c r="A9" s="16">
        <v>26</v>
      </c>
      <c r="B9">
        <f>VLOOKUP(A9,'Inventario ENE 30-1-26'!$A$1:$J$10000,10,FALSE)</f>
        <v>309.5</v>
      </c>
    </row>
    <row r="10" spans="1:2" x14ac:dyDescent="0.25">
      <c r="A10" s="16">
        <v>30</v>
      </c>
      <c r="B10">
        <f>VLOOKUP(A10,'Inventario ENE 30-1-26'!$A$1:$J$10000,10,FALSE)</f>
        <v>0</v>
      </c>
    </row>
    <row r="11" spans="1:2" x14ac:dyDescent="0.25">
      <c r="A11" s="16">
        <v>31</v>
      </c>
      <c r="B11">
        <f>VLOOKUP(A11,'Inventario ENE 30-1-26'!$A$1:$J$10000,10,FALSE)</f>
        <v>1091</v>
      </c>
    </row>
    <row r="12" spans="1:2" x14ac:dyDescent="0.25">
      <c r="A12" s="16">
        <v>35</v>
      </c>
      <c r="B12">
        <f>VLOOKUP(A12,'Inventario ENE 30-1-26'!$A$1:$J$10000,10,FALSE)</f>
        <v>1091</v>
      </c>
    </row>
    <row r="13" spans="1:2" x14ac:dyDescent="0.25">
      <c r="A13" s="16">
        <v>40</v>
      </c>
      <c r="B13">
        <f>VLOOKUP(A13,'Inventario ENE 30-1-26'!$A$1:$J$10000,10,FALSE)</f>
        <v>309.5</v>
      </c>
    </row>
    <row r="14" spans="1:2" x14ac:dyDescent="0.25">
      <c r="A14" s="16">
        <v>41</v>
      </c>
      <c r="B14">
        <f>VLOOKUP(A14,'Inventario ENE 30-1-26'!$A$1:$J$10000,10,FALSE)</f>
        <v>309.5</v>
      </c>
    </row>
    <row r="15" spans="1:2" x14ac:dyDescent="0.25">
      <c r="A15" s="16">
        <v>46</v>
      </c>
      <c r="B15">
        <f>VLOOKUP(A15,'Inventario ENE 30-1-26'!$A$1:$J$10000,10,FALSE)</f>
        <v>309.5</v>
      </c>
    </row>
    <row r="16" spans="1:2" x14ac:dyDescent="0.25">
      <c r="A16" s="16">
        <v>49</v>
      </c>
      <c r="B16">
        <f>VLOOKUP(A16,'Inventario ENE 30-1-26'!$A$1:$J$10000,10,FALSE)</f>
        <v>461</v>
      </c>
    </row>
    <row r="17" spans="1:2" x14ac:dyDescent="0.25">
      <c r="A17" s="16">
        <v>56</v>
      </c>
      <c r="B17">
        <f>VLOOKUP(A17,'Inventario ENE 30-1-26'!$A$1:$J$10000,10,FALSE)</f>
        <v>1212</v>
      </c>
    </row>
    <row r="18" spans="1:2" x14ac:dyDescent="0.25">
      <c r="A18" s="16">
        <v>62</v>
      </c>
      <c r="B18">
        <f>VLOOKUP(A18,'Inventario ENE 30-1-26'!$A$1:$J$10000,10,FALSE)</f>
        <v>309.5</v>
      </c>
    </row>
    <row r="19" spans="1:2" x14ac:dyDescent="0.25">
      <c r="A19" s="16">
        <v>65</v>
      </c>
      <c r="B19">
        <f>VLOOKUP(A19,'Inventario ENE 30-1-26'!$A$1:$J$10000,10,FALSE)</f>
        <v>309.5</v>
      </c>
    </row>
    <row r="20" spans="1:2" x14ac:dyDescent="0.25">
      <c r="A20" s="16">
        <v>66</v>
      </c>
      <c r="B20">
        <f>VLOOKUP(A20,'Inventario ENE 30-1-26'!$A$1:$J$10000,10,FALSE)</f>
        <v>309.5</v>
      </c>
    </row>
    <row r="21" spans="1:2" x14ac:dyDescent="0.25">
      <c r="A21" s="16">
        <v>68</v>
      </c>
      <c r="B21">
        <f>VLOOKUP(A21,'Inventario ENE 30-1-26'!$A$1:$J$10000,10,FALSE)</f>
        <v>1154</v>
      </c>
    </row>
    <row r="22" spans="1:2" x14ac:dyDescent="0.25">
      <c r="A22" s="16">
        <v>85</v>
      </c>
      <c r="B22">
        <f>VLOOKUP(A22,'Inventario ENE 30-1-26'!$A$1:$J$10000,10,FALSE)</f>
        <v>309.5</v>
      </c>
    </row>
    <row r="23" spans="1:2" x14ac:dyDescent="0.25">
      <c r="A23" s="16">
        <v>87</v>
      </c>
      <c r="B23">
        <f>VLOOKUP(A23,'Inventario ENE 30-1-26'!$A$1:$J$10000,10,FALSE)</f>
        <v>309.5</v>
      </c>
    </row>
    <row r="24" spans="1:2" x14ac:dyDescent="0.25">
      <c r="A24" s="16">
        <v>90</v>
      </c>
      <c r="B24">
        <f>VLOOKUP(A24,'Inventario ENE 30-1-26'!$A$1:$J$10000,10,FALSE)</f>
        <v>1154</v>
      </c>
    </row>
    <row r="25" spans="1:2" x14ac:dyDescent="0.25">
      <c r="A25" s="16">
        <v>91</v>
      </c>
      <c r="B25">
        <f>VLOOKUP(A25,'Inventario ENE 30-1-26'!$A$1:$J$10000,10,FALSE)</f>
        <v>532</v>
      </c>
    </row>
    <row r="26" spans="1:2" x14ac:dyDescent="0.25">
      <c r="A26" s="16">
        <v>92</v>
      </c>
      <c r="B26">
        <f>VLOOKUP(A26,'Inventario ENE 30-1-26'!$A$1:$J$10000,10,FALSE)</f>
        <v>1154</v>
      </c>
    </row>
    <row r="27" spans="1:2" x14ac:dyDescent="0.25">
      <c r="A27" s="16">
        <v>94</v>
      </c>
      <c r="B27">
        <f>VLOOKUP(A27,'Inventario ENE 30-1-26'!$A$1:$J$10000,10,FALSE)</f>
        <v>309.5</v>
      </c>
    </row>
    <row r="28" spans="1:2" x14ac:dyDescent="0.25">
      <c r="A28" s="16">
        <v>96</v>
      </c>
      <c r="B28">
        <f>VLOOKUP(A28,'Inventario ENE 30-1-26'!$A$1:$J$10000,10,FALSE)</f>
        <v>1212</v>
      </c>
    </row>
    <row r="29" spans="1:2" x14ac:dyDescent="0.25">
      <c r="A29" s="16">
        <v>97</v>
      </c>
      <c r="B29">
        <f>VLOOKUP(A29,'Inventario ENE 30-1-26'!$A$1:$J$10000,10,FALSE)</f>
        <v>1202.5</v>
      </c>
    </row>
    <row r="30" spans="1:2" x14ac:dyDescent="0.25">
      <c r="A30" s="16">
        <v>102</v>
      </c>
      <c r="B30">
        <f>VLOOKUP(A30,'Inventario ENE 30-1-26'!$A$1:$J$10000,10,FALSE)</f>
        <v>1091</v>
      </c>
    </row>
    <row r="31" spans="1:2" x14ac:dyDescent="0.25">
      <c r="A31" s="16">
        <v>103</v>
      </c>
      <c r="B31">
        <f>VLOOKUP(A31,'Inventario ENE 30-1-26'!$A$1:$J$10000,10,FALSE)</f>
        <v>1212</v>
      </c>
    </row>
    <row r="32" spans="1:2" x14ac:dyDescent="0.25">
      <c r="A32" s="16">
        <v>104</v>
      </c>
      <c r="B32">
        <f>VLOOKUP(A32,'Inventario ENE 30-1-26'!$A$1:$J$10000,10,FALSE)</f>
        <v>1212</v>
      </c>
    </row>
    <row r="33" spans="1:2" x14ac:dyDescent="0.25">
      <c r="A33" s="16">
        <v>106</v>
      </c>
      <c r="B33">
        <f>VLOOKUP(A33,'Inventario ENE 30-1-26'!$A$1:$J$10000,10,FALSE)</f>
        <v>309.5</v>
      </c>
    </row>
    <row r="34" spans="1:2" x14ac:dyDescent="0.25">
      <c r="A34" s="16">
        <v>109</v>
      </c>
      <c r="B34">
        <f>VLOOKUP(A34,'Inventario ENE 30-1-26'!$A$1:$J$10000,10,FALSE)</f>
        <v>309.5</v>
      </c>
    </row>
    <row r="35" spans="1:2" x14ac:dyDescent="0.25">
      <c r="A35" s="16">
        <v>112</v>
      </c>
      <c r="B35">
        <f>VLOOKUP(A35,'Inventario ENE 30-1-26'!$A$1:$J$10000,10,FALSE)</f>
        <v>532</v>
      </c>
    </row>
    <row r="36" spans="1:2" x14ac:dyDescent="0.25">
      <c r="A36" s="16">
        <v>113</v>
      </c>
      <c r="B36">
        <f>VLOOKUP(A36,'Inventario ENE 30-1-26'!$A$1:$J$10000,10,FALSE)</f>
        <v>1154</v>
      </c>
    </row>
    <row r="37" spans="1:2" x14ac:dyDescent="0.25">
      <c r="A37" s="16">
        <v>119</v>
      </c>
      <c r="B37">
        <f>VLOOKUP(A37,'Inventario ENE 30-1-26'!$A$1:$J$10000,10,FALSE)</f>
        <v>1091</v>
      </c>
    </row>
    <row r="38" spans="1:2" x14ac:dyDescent="0.25">
      <c r="A38" s="16">
        <v>120</v>
      </c>
      <c r="B38">
        <f>VLOOKUP(A38,'Inventario ENE 30-1-26'!$A$1:$J$10000,10,FALSE)</f>
        <v>1212</v>
      </c>
    </row>
    <row r="39" spans="1:2" x14ac:dyDescent="0.25">
      <c r="A39" s="16">
        <v>123</v>
      </c>
      <c r="B39">
        <f>VLOOKUP(A39,'Inventario ENE 30-1-26'!$A$1:$J$10000,10,FALSE)</f>
        <v>1154</v>
      </c>
    </row>
    <row r="40" spans="1:2" x14ac:dyDescent="0.25">
      <c r="A40" s="16">
        <v>124</v>
      </c>
      <c r="B40">
        <f>VLOOKUP(A40,'Inventario ENE 30-1-26'!$A$1:$J$10000,10,FALSE)</f>
        <v>629</v>
      </c>
    </row>
    <row r="41" spans="1:2" x14ac:dyDescent="0.25">
      <c r="A41" s="16">
        <v>125</v>
      </c>
      <c r="B41">
        <f>VLOOKUP(A41,'Inventario ENE 30-1-26'!$A$1:$J$10000,10,FALSE)</f>
        <v>309.5</v>
      </c>
    </row>
    <row r="42" spans="1:2" x14ac:dyDescent="0.25">
      <c r="A42" s="16">
        <v>129</v>
      </c>
      <c r="B42">
        <f>VLOOKUP(A42,'Inventario ENE 30-1-26'!$A$1:$J$10000,10,FALSE)</f>
        <v>461</v>
      </c>
    </row>
    <row r="43" spans="1:2" x14ac:dyDescent="0.25">
      <c r="A43" s="16">
        <v>135</v>
      </c>
      <c r="B43">
        <f>VLOOKUP(A43,'Inventario ENE 30-1-26'!$A$1:$J$10000,10,FALSE)</f>
        <v>532</v>
      </c>
    </row>
    <row r="44" spans="1:2" x14ac:dyDescent="0.25">
      <c r="A44" s="16">
        <v>138</v>
      </c>
      <c r="B44">
        <f>VLOOKUP(A44,'Inventario ENE 30-1-26'!$A$1:$J$10000,10,FALSE)</f>
        <v>461</v>
      </c>
    </row>
    <row r="45" spans="1:2" x14ac:dyDescent="0.25">
      <c r="A45" s="16">
        <v>139</v>
      </c>
      <c r="B45">
        <f>VLOOKUP(A45,'Inventario ENE 30-1-26'!$A$1:$J$10000,10,FALSE)</f>
        <v>1091</v>
      </c>
    </row>
    <row r="46" spans="1:2" x14ac:dyDescent="0.25">
      <c r="A46" s="16">
        <v>147</v>
      </c>
      <c r="B46">
        <f>VLOOKUP(A46,'Inventario ENE 30-1-26'!$A$1:$J$10000,10,FALSE)</f>
        <v>0</v>
      </c>
    </row>
    <row r="47" spans="1:2" x14ac:dyDescent="0.25">
      <c r="A47" s="16">
        <v>150</v>
      </c>
      <c r="B47">
        <f>VLOOKUP(A47,'Inventario ENE 30-1-26'!$A$1:$J$10000,10,FALSE)</f>
        <v>1091</v>
      </c>
    </row>
    <row r="48" spans="1:2" x14ac:dyDescent="0.25">
      <c r="A48" s="16">
        <v>152</v>
      </c>
      <c r="B48">
        <f>VLOOKUP(A48,'Inventario ENE 30-1-26'!$A$1:$J$10000,10,FALSE)</f>
        <v>1091</v>
      </c>
    </row>
    <row r="49" spans="1:2" x14ac:dyDescent="0.25">
      <c r="A49" s="16">
        <v>155</v>
      </c>
      <c r="B49">
        <f>VLOOKUP(A49,'Inventario ENE 30-1-26'!$A$1:$J$10000,10,FALSE)</f>
        <v>1202.5</v>
      </c>
    </row>
    <row r="50" spans="1:2" x14ac:dyDescent="0.25">
      <c r="A50" s="16">
        <v>156</v>
      </c>
      <c r="B50">
        <f>VLOOKUP(A50,'Inventario ENE 30-1-26'!$A$1:$J$10000,10,FALSE)</f>
        <v>1091</v>
      </c>
    </row>
    <row r="51" spans="1:2" x14ac:dyDescent="0.25">
      <c r="A51" s="16">
        <v>161</v>
      </c>
      <c r="B51">
        <f>VLOOKUP(A51,'Inventario ENE 30-1-26'!$A$1:$J$10000,10,FALSE)</f>
        <v>1154</v>
      </c>
    </row>
    <row r="52" spans="1:2" x14ac:dyDescent="0.25">
      <c r="A52" s="16">
        <v>165</v>
      </c>
      <c r="B52">
        <f>VLOOKUP(A52,'Inventario ENE 30-1-26'!$A$1:$J$10000,10,FALSE)</f>
        <v>1212</v>
      </c>
    </row>
    <row r="53" spans="1:2" x14ac:dyDescent="0.25">
      <c r="A53" s="16">
        <v>166</v>
      </c>
      <c r="B53">
        <f>VLOOKUP(A53,'Inventario ENE 30-1-26'!$A$1:$J$10000,10,FALSE)</f>
        <v>0</v>
      </c>
    </row>
    <row r="54" spans="1:2" x14ac:dyDescent="0.25">
      <c r="A54" s="16">
        <v>167</v>
      </c>
      <c r="B54">
        <f>VLOOKUP(A54,'Inventario ENE 30-1-26'!$A$1:$J$10000,10,FALSE)</f>
        <v>1212</v>
      </c>
    </row>
    <row r="55" spans="1:2" x14ac:dyDescent="0.25">
      <c r="A55" s="16">
        <v>170</v>
      </c>
      <c r="B55">
        <f>VLOOKUP(A55,'Inventario ENE 30-1-26'!$A$1:$J$10000,10,FALSE)</f>
        <v>1212</v>
      </c>
    </row>
    <row r="56" spans="1:2" x14ac:dyDescent="0.25">
      <c r="A56" s="16">
        <v>175</v>
      </c>
      <c r="B56">
        <f>VLOOKUP(A56,'Inventario ENE 30-1-26'!$A$1:$J$10000,10,FALSE)</f>
        <v>309.5</v>
      </c>
    </row>
    <row r="57" spans="1:2" x14ac:dyDescent="0.25">
      <c r="A57" s="16">
        <v>176</v>
      </c>
      <c r="B57">
        <f>VLOOKUP(A57,'Inventario ENE 30-1-26'!$A$1:$J$10000,10,FALSE)</f>
        <v>503</v>
      </c>
    </row>
    <row r="58" spans="1:2" x14ac:dyDescent="0.25">
      <c r="A58" s="16">
        <v>178</v>
      </c>
      <c r="B58">
        <f>VLOOKUP(A58,'Inventario ENE 30-1-26'!$A$1:$J$10000,10,FALSE)</f>
        <v>532</v>
      </c>
    </row>
    <row r="59" spans="1:2" x14ac:dyDescent="0.25">
      <c r="A59" s="16">
        <v>180</v>
      </c>
      <c r="B59">
        <f>VLOOKUP(A59,'Inventario ENE 30-1-26'!$A$1:$J$10000,10,FALSE)</f>
        <v>1154</v>
      </c>
    </row>
    <row r="60" spans="1:2" x14ac:dyDescent="0.25">
      <c r="A60" s="16">
        <v>185</v>
      </c>
      <c r="B60">
        <f>VLOOKUP(A60,'Inventario ENE 30-1-26'!$A$1:$J$10000,10,FALSE)</f>
        <v>1154</v>
      </c>
    </row>
    <row r="61" spans="1:2" x14ac:dyDescent="0.25">
      <c r="A61" s="16">
        <v>186</v>
      </c>
      <c r="B61">
        <f>VLOOKUP(A61,'Inventario ENE 30-1-26'!$A$1:$J$10000,10,FALSE)</f>
        <v>532</v>
      </c>
    </row>
    <row r="62" spans="1:2" x14ac:dyDescent="0.25">
      <c r="A62" s="16">
        <v>189</v>
      </c>
      <c r="B62">
        <f>VLOOKUP(A62,'Inventario ENE 30-1-26'!$A$1:$J$10000,10,FALSE)</f>
        <v>1212</v>
      </c>
    </row>
    <row r="63" spans="1:2" x14ac:dyDescent="0.25">
      <c r="A63" s="16">
        <v>190</v>
      </c>
      <c r="B63">
        <f>VLOOKUP(A63,'Inventario ENE 30-1-26'!$A$1:$J$10000,10,FALSE)</f>
        <v>1202.5</v>
      </c>
    </row>
    <row r="64" spans="1:2" x14ac:dyDescent="0.25">
      <c r="A64" s="16">
        <v>198</v>
      </c>
      <c r="B64">
        <f>VLOOKUP(A64,'Inventario ENE 30-1-26'!$A$1:$J$10000,10,FALSE)</f>
        <v>532</v>
      </c>
    </row>
    <row r="65" spans="1:2" x14ac:dyDescent="0.25">
      <c r="A65" s="16">
        <v>199</v>
      </c>
      <c r="B65">
        <f>VLOOKUP(A65,'Inventario ENE 30-1-26'!$A$1:$J$10000,10,FALSE)</f>
        <v>292</v>
      </c>
    </row>
    <row r="66" spans="1:2" x14ac:dyDescent="0.25">
      <c r="A66" s="16">
        <v>200</v>
      </c>
      <c r="B66">
        <f>VLOOKUP(A66,'Inventario ENE 30-1-26'!$A$1:$J$10000,10,FALSE)</f>
        <v>1154</v>
      </c>
    </row>
    <row r="67" spans="1:2" x14ac:dyDescent="0.25">
      <c r="A67" s="16">
        <v>203</v>
      </c>
      <c r="B67">
        <f>VLOOKUP(A67,'Inventario ENE 30-1-26'!$A$1:$J$10000,10,FALSE)</f>
        <v>461</v>
      </c>
    </row>
    <row r="68" spans="1:2" x14ac:dyDescent="0.25">
      <c r="A68" s="16">
        <v>211</v>
      </c>
      <c r="B68">
        <f>VLOOKUP(A68,'Inventario ENE 30-1-26'!$A$1:$J$10000,10,FALSE)</f>
        <v>1091</v>
      </c>
    </row>
    <row r="69" spans="1:2" x14ac:dyDescent="0.25">
      <c r="A69" s="16">
        <v>212</v>
      </c>
      <c r="B69">
        <f>VLOOKUP(A69,'Inventario ENE 30-1-26'!$A$1:$J$10000,10,FALSE)</f>
        <v>1212</v>
      </c>
    </row>
    <row r="70" spans="1:2" x14ac:dyDescent="0.25">
      <c r="A70" s="16">
        <v>213</v>
      </c>
      <c r="B70">
        <f>VLOOKUP(A70,'Inventario ENE 30-1-26'!$A$1:$J$10000,10,FALSE)</f>
        <v>1202.5</v>
      </c>
    </row>
    <row r="71" spans="1:2" x14ac:dyDescent="0.25">
      <c r="A71" s="16">
        <v>224</v>
      </c>
      <c r="B71">
        <f>VLOOKUP(A71,'Inventario ENE 30-1-26'!$A$1:$J$10000,10,FALSE)</f>
        <v>1091</v>
      </c>
    </row>
    <row r="72" spans="1:2" x14ac:dyDescent="0.25">
      <c r="A72" s="16">
        <v>227</v>
      </c>
      <c r="B72">
        <f>VLOOKUP(A72,'Inventario ENE 30-1-26'!$A$1:$J$10000,10,FALSE)</f>
        <v>309.5</v>
      </c>
    </row>
    <row r="73" spans="1:2" x14ac:dyDescent="0.25">
      <c r="A73" s="16">
        <v>228</v>
      </c>
      <c r="B73">
        <f>VLOOKUP(A73,'Inventario ENE 30-1-26'!$A$1:$J$10000,10,FALSE)</f>
        <v>1154</v>
      </c>
    </row>
    <row r="74" spans="1:2" x14ac:dyDescent="0.25">
      <c r="A74" s="16">
        <v>231</v>
      </c>
      <c r="B74">
        <f>VLOOKUP(A74,'Inventario ENE 30-1-26'!$A$1:$J$10000,10,FALSE)</f>
        <v>309.5</v>
      </c>
    </row>
    <row r="75" spans="1:2" x14ac:dyDescent="0.25">
      <c r="A75" s="16">
        <v>232</v>
      </c>
      <c r="B75">
        <f>VLOOKUP(A75,'Inventario ENE 30-1-26'!$A$1:$J$10000,10,FALSE)</f>
        <v>461</v>
      </c>
    </row>
    <row r="76" spans="1:2" x14ac:dyDescent="0.25">
      <c r="A76" s="16">
        <v>234</v>
      </c>
      <c r="B76">
        <f>VLOOKUP(A76,'Inventario ENE 30-1-26'!$A$1:$J$10000,10,FALSE)</f>
        <v>1154</v>
      </c>
    </row>
    <row r="77" spans="1:2" x14ac:dyDescent="0.25">
      <c r="A77" s="16">
        <v>237</v>
      </c>
      <c r="B77">
        <f>VLOOKUP(A77,'Inventario ENE 30-1-26'!$A$1:$J$10000,10,FALSE)</f>
        <v>309.5</v>
      </c>
    </row>
    <row r="78" spans="1:2" x14ac:dyDescent="0.25">
      <c r="A78" s="16">
        <v>242</v>
      </c>
      <c r="B78">
        <f>VLOOKUP(A78,'Inventario ENE 30-1-26'!$A$1:$J$10000,10,FALSE)</f>
        <v>1154</v>
      </c>
    </row>
    <row r="79" spans="1:2" x14ac:dyDescent="0.25">
      <c r="A79" s="16">
        <v>246</v>
      </c>
      <c r="B79">
        <f>VLOOKUP(A79,'Inventario ENE 30-1-26'!$A$1:$J$10000,10,FALSE)</f>
        <v>1091</v>
      </c>
    </row>
    <row r="80" spans="1:2" x14ac:dyDescent="0.25">
      <c r="A80" s="16">
        <v>247</v>
      </c>
      <c r="B80">
        <f>VLOOKUP(A80,'Inventario ENE 30-1-26'!$A$1:$J$10000,10,FALSE)</f>
        <v>1091</v>
      </c>
    </row>
    <row r="81" spans="1:2" x14ac:dyDescent="0.25">
      <c r="A81" s="16">
        <v>253</v>
      </c>
      <c r="B81">
        <f>VLOOKUP(A81,'Inventario ENE 30-1-26'!$A$1:$J$10000,10,FALSE)</f>
        <v>1212</v>
      </c>
    </row>
    <row r="82" spans="1:2" x14ac:dyDescent="0.25">
      <c r="A82" s="16">
        <v>254</v>
      </c>
      <c r="B82">
        <f>VLOOKUP(A82,'Inventario ENE 30-1-26'!$A$1:$J$10000,10,FALSE)</f>
        <v>1154</v>
      </c>
    </row>
    <row r="83" spans="1:2" x14ac:dyDescent="0.25">
      <c r="A83" s="16">
        <v>255</v>
      </c>
      <c r="B83">
        <f>VLOOKUP(A83,'Inventario ENE 30-1-26'!$A$1:$J$10000,10,FALSE)</f>
        <v>1154</v>
      </c>
    </row>
    <row r="84" spans="1:2" x14ac:dyDescent="0.25">
      <c r="A84" s="16">
        <v>257</v>
      </c>
      <c r="B84">
        <f>VLOOKUP(A84,'Inventario ENE 30-1-26'!$A$1:$J$10000,10,FALSE)</f>
        <v>1202.5</v>
      </c>
    </row>
    <row r="85" spans="1:2" x14ac:dyDescent="0.25">
      <c r="A85" s="16">
        <v>259</v>
      </c>
      <c r="B85">
        <f>VLOOKUP(A85,'Inventario ENE 30-1-26'!$A$1:$J$10000,10,FALSE)</f>
        <v>1154</v>
      </c>
    </row>
    <row r="86" spans="1:2" x14ac:dyDescent="0.25">
      <c r="A86" s="16">
        <v>262</v>
      </c>
      <c r="B86">
        <f>VLOOKUP(A86,'Inventario ENE 30-1-26'!$A$1:$J$10000,10,FALSE)</f>
        <v>309.5</v>
      </c>
    </row>
    <row r="87" spans="1:2" x14ac:dyDescent="0.25">
      <c r="A87" s="16">
        <v>263</v>
      </c>
      <c r="B87">
        <f>VLOOKUP(A87,'Inventario ENE 30-1-26'!$A$1:$J$10000,10,FALSE)</f>
        <v>0</v>
      </c>
    </row>
    <row r="88" spans="1:2" x14ac:dyDescent="0.25">
      <c r="A88" s="16">
        <v>265</v>
      </c>
      <c r="B88">
        <f>VLOOKUP(A88,'Inventario ENE 30-1-26'!$A$1:$J$10000,10,FALSE)</f>
        <v>1091</v>
      </c>
    </row>
    <row r="89" spans="1:2" x14ac:dyDescent="0.25">
      <c r="A89" s="16">
        <v>267</v>
      </c>
      <c r="B89">
        <f>VLOOKUP(A89,'Inventario ENE 30-1-26'!$A$1:$J$10000,10,FALSE)</f>
        <v>1154</v>
      </c>
    </row>
    <row r="90" spans="1:2" x14ac:dyDescent="0.25">
      <c r="A90" s="16">
        <v>272</v>
      </c>
      <c r="B90">
        <f>VLOOKUP(A90,'Inventario ENE 30-1-26'!$A$1:$J$10000,10,FALSE)</f>
        <v>1212</v>
      </c>
    </row>
    <row r="91" spans="1:2" x14ac:dyDescent="0.25">
      <c r="A91" s="16">
        <v>276</v>
      </c>
      <c r="B91">
        <f>VLOOKUP(A91,'Inventario ENE 30-1-26'!$A$1:$J$10000,10,FALSE)</f>
        <v>1212</v>
      </c>
    </row>
    <row r="92" spans="1:2" x14ac:dyDescent="0.25">
      <c r="A92" s="16">
        <v>277</v>
      </c>
      <c r="B92">
        <f>VLOOKUP(A92,'Inventario ENE 30-1-26'!$A$1:$J$10000,10,FALSE)</f>
        <v>1212</v>
      </c>
    </row>
    <row r="93" spans="1:2" x14ac:dyDescent="0.25">
      <c r="A93" s="16">
        <v>279</v>
      </c>
      <c r="B93">
        <f>VLOOKUP(A93,'Inventario ENE 30-1-26'!$A$1:$J$10000,10,FALSE)</f>
        <v>1135</v>
      </c>
    </row>
    <row r="94" spans="1:2" x14ac:dyDescent="0.25">
      <c r="A94" s="16">
        <v>280</v>
      </c>
      <c r="B94">
        <f>VLOOKUP(A94,'Inventario ENE 30-1-26'!$A$1:$J$10000,10,FALSE)</f>
        <v>1212</v>
      </c>
    </row>
    <row r="95" spans="1:2" x14ac:dyDescent="0.25">
      <c r="A95" s="16">
        <v>281</v>
      </c>
      <c r="B95">
        <f>VLOOKUP(A95,'Inventario ENE 30-1-26'!$A$1:$J$10000,10,FALSE)</f>
        <v>309.5</v>
      </c>
    </row>
    <row r="96" spans="1:2" x14ac:dyDescent="0.25">
      <c r="A96" s="16">
        <v>285</v>
      </c>
      <c r="B96">
        <f>VLOOKUP(A96,'Inventario ENE 30-1-26'!$A$1:$J$10000,10,FALSE)</f>
        <v>1212</v>
      </c>
    </row>
    <row r="97" spans="1:2" x14ac:dyDescent="0.25">
      <c r="A97" s="16">
        <v>286</v>
      </c>
      <c r="B97">
        <f>VLOOKUP(A97,'Inventario ENE 30-1-26'!$A$1:$J$10000,10,FALSE)</f>
        <v>1212</v>
      </c>
    </row>
    <row r="98" spans="1:2" x14ac:dyDescent="0.25">
      <c r="A98" s="16">
        <v>287</v>
      </c>
      <c r="B98">
        <f>VLOOKUP(A98,'Inventario ENE 30-1-26'!$A$1:$J$10000,10,FALSE)</f>
        <v>1212</v>
      </c>
    </row>
    <row r="99" spans="1:2" x14ac:dyDescent="0.25">
      <c r="A99" s="16">
        <v>290</v>
      </c>
      <c r="B99">
        <f>VLOOKUP(A99,'Inventario ENE 30-1-26'!$A$1:$J$10000,10,FALSE)</f>
        <v>1212</v>
      </c>
    </row>
    <row r="100" spans="1:2" x14ac:dyDescent="0.25">
      <c r="A100" s="16">
        <v>292</v>
      </c>
      <c r="B100">
        <f>VLOOKUP(A100,'Inventario ENE 30-1-26'!$A$1:$J$10000,10,FALSE)</f>
        <v>1212</v>
      </c>
    </row>
    <row r="101" spans="1:2" x14ac:dyDescent="0.25">
      <c r="A101" s="16">
        <v>297</v>
      </c>
      <c r="B101">
        <f>VLOOKUP(A101,'Inventario ENE 30-1-26'!$A$1:$J$10000,10,FALSE)</f>
        <v>1154</v>
      </c>
    </row>
    <row r="102" spans="1:2" x14ac:dyDescent="0.25">
      <c r="A102" s="16">
        <v>302</v>
      </c>
      <c r="B102">
        <f>VLOOKUP(A102,'Inventario ENE 30-1-26'!$A$1:$J$10000,10,FALSE)</f>
        <v>532</v>
      </c>
    </row>
    <row r="103" spans="1:2" x14ac:dyDescent="0.25">
      <c r="A103" s="16">
        <v>305</v>
      </c>
      <c r="B103">
        <f>VLOOKUP(A103,'Inventario ENE 30-1-26'!$A$1:$J$10000,10,FALSE)</f>
        <v>1212</v>
      </c>
    </row>
    <row r="104" spans="1:2" x14ac:dyDescent="0.25">
      <c r="A104" s="16">
        <v>308</v>
      </c>
      <c r="B104">
        <f>VLOOKUP(A104,'Inventario ENE 30-1-26'!$A$1:$J$10000,10,FALSE)</f>
        <v>1091</v>
      </c>
    </row>
    <row r="105" spans="1:2" x14ac:dyDescent="0.25">
      <c r="A105" s="16">
        <v>310</v>
      </c>
      <c r="B105">
        <f>VLOOKUP(A105,'Inventario ENE 30-1-26'!$A$1:$J$10000,10,FALSE)</f>
        <v>1202.5</v>
      </c>
    </row>
    <row r="106" spans="1:2" x14ac:dyDescent="0.25">
      <c r="A106" s="16">
        <v>313</v>
      </c>
      <c r="B106">
        <f>VLOOKUP(A106,'Inventario ENE 30-1-26'!$A$1:$J$10000,10,FALSE)</f>
        <v>532</v>
      </c>
    </row>
    <row r="107" spans="1:2" x14ac:dyDescent="0.25">
      <c r="A107" s="16">
        <v>315</v>
      </c>
      <c r="B107">
        <f>VLOOKUP(A107,'Inventario ENE 30-1-26'!$A$1:$J$10000,10,FALSE)</f>
        <v>532</v>
      </c>
    </row>
    <row r="108" spans="1:2" x14ac:dyDescent="0.25">
      <c r="A108" s="16">
        <v>316</v>
      </c>
      <c r="B108">
        <f>VLOOKUP(A108,'Inventario ENE 30-1-26'!$A$1:$J$10000,10,FALSE)</f>
        <v>1202.5</v>
      </c>
    </row>
    <row r="109" spans="1:2" x14ac:dyDescent="0.25">
      <c r="A109" s="16">
        <v>318</v>
      </c>
      <c r="B109">
        <f>VLOOKUP(A109,'Inventario ENE 30-1-26'!$A$1:$J$10000,10,FALSE)</f>
        <v>1202.5</v>
      </c>
    </row>
    <row r="110" spans="1:2" x14ac:dyDescent="0.25">
      <c r="A110" s="16">
        <v>320</v>
      </c>
      <c r="B110">
        <f>VLOOKUP(A110,'Inventario ENE 30-1-26'!$A$1:$J$10000,10,FALSE)</f>
        <v>532</v>
      </c>
    </row>
    <row r="111" spans="1:2" x14ac:dyDescent="0.25">
      <c r="A111" s="16">
        <v>324</v>
      </c>
      <c r="B111">
        <f>VLOOKUP(A111,'Inventario ENE 30-1-26'!$A$1:$J$10000,10,FALSE)</f>
        <v>1091</v>
      </c>
    </row>
    <row r="112" spans="1:2" x14ac:dyDescent="0.25">
      <c r="A112" s="16">
        <v>328</v>
      </c>
      <c r="B112">
        <f>VLOOKUP(A112,'Inventario ENE 30-1-26'!$A$1:$J$10000,10,FALSE)</f>
        <v>1091</v>
      </c>
    </row>
    <row r="113" spans="1:2" x14ac:dyDescent="0.25">
      <c r="A113" s="16">
        <v>330</v>
      </c>
      <c r="B113">
        <f>VLOOKUP(A113,'Inventario ENE 30-1-26'!$A$1:$J$10000,10,FALSE)</f>
        <v>1091</v>
      </c>
    </row>
    <row r="114" spans="1:2" x14ac:dyDescent="0.25">
      <c r="A114" s="16">
        <v>332</v>
      </c>
      <c r="B114">
        <f>VLOOKUP(A114,'Inventario ENE 30-1-26'!$A$1:$J$10000,10,FALSE)</f>
        <v>309.5</v>
      </c>
    </row>
    <row r="115" spans="1:2" x14ac:dyDescent="0.25">
      <c r="A115" s="16">
        <v>333</v>
      </c>
      <c r="B115">
        <f>VLOOKUP(A115,'Inventario ENE 30-1-26'!$A$1:$J$10000,10,FALSE)</f>
        <v>461</v>
      </c>
    </row>
    <row r="116" spans="1:2" x14ac:dyDescent="0.25">
      <c r="A116" s="16">
        <v>336</v>
      </c>
      <c r="B116">
        <f>VLOOKUP(A116,'Inventario ENE 30-1-26'!$A$1:$J$10000,10,FALSE)</f>
        <v>309.5</v>
      </c>
    </row>
    <row r="117" spans="1:2" x14ac:dyDescent="0.25">
      <c r="A117" s="16">
        <v>339</v>
      </c>
      <c r="B117">
        <f>VLOOKUP(A117,'Inventario ENE 30-1-26'!$A$1:$J$10000,10,FALSE)</f>
        <v>309.5</v>
      </c>
    </row>
    <row r="118" spans="1:2" x14ac:dyDescent="0.25">
      <c r="A118" s="16">
        <v>350</v>
      </c>
      <c r="B118">
        <f>VLOOKUP(A118,'Inventario ENE 30-1-26'!$A$1:$J$10000,10,FALSE)</f>
        <v>1154</v>
      </c>
    </row>
    <row r="119" spans="1:2" x14ac:dyDescent="0.25">
      <c r="A119" s="16">
        <v>360</v>
      </c>
      <c r="B119">
        <f>VLOOKUP(A119,'Inventario ENE 30-1-26'!$A$1:$J$10000,10,FALSE)</f>
        <v>309.5</v>
      </c>
    </row>
    <row r="120" spans="1:2" x14ac:dyDescent="0.25">
      <c r="A120" s="16">
        <v>366</v>
      </c>
      <c r="B120">
        <f>VLOOKUP(A120,'Inventario ENE 30-1-26'!$A$1:$J$10000,10,FALSE)</f>
        <v>1154</v>
      </c>
    </row>
    <row r="121" spans="1:2" x14ac:dyDescent="0.25">
      <c r="A121" s="16">
        <v>368</v>
      </c>
      <c r="B121">
        <f>VLOOKUP(A121,'Inventario ENE 30-1-26'!$A$1:$J$10000,10,FALSE)</f>
        <v>309.5</v>
      </c>
    </row>
    <row r="122" spans="1:2" x14ac:dyDescent="0.25">
      <c r="A122" s="16">
        <v>369</v>
      </c>
      <c r="B122">
        <f>VLOOKUP(A122,'Inventario ENE 30-1-26'!$A$1:$J$10000,10,FALSE)</f>
        <v>309.5</v>
      </c>
    </row>
    <row r="123" spans="1:2" x14ac:dyDescent="0.25">
      <c r="A123" s="16">
        <v>371</v>
      </c>
      <c r="B123">
        <f>VLOOKUP(A123,'Inventario ENE 30-1-26'!$A$1:$J$10000,10,FALSE)</f>
        <v>1202.5</v>
      </c>
    </row>
    <row r="124" spans="1:2" x14ac:dyDescent="0.25">
      <c r="A124" s="16">
        <v>372</v>
      </c>
      <c r="B124">
        <f>VLOOKUP(A124,'Inventario ENE 30-1-26'!$A$1:$J$10000,10,FALSE)</f>
        <v>1212</v>
      </c>
    </row>
    <row r="125" spans="1:2" x14ac:dyDescent="0.25">
      <c r="A125" s="16">
        <v>374</v>
      </c>
      <c r="B125">
        <f>VLOOKUP(A125,'Inventario ENE 30-1-26'!$A$1:$J$10000,10,FALSE)</f>
        <v>1212</v>
      </c>
    </row>
    <row r="126" spans="1:2" x14ac:dyDescent="0.25">
      <c r="A126" s="16">
        <v>375</v>
      </c>
      <c r="B126">
        <f>VLOOKUP(A126,'Inventario ENE 30-1-26'!$A$1:$J$10000,10,FALSE)</f>
        <v>309.5</v>
      </c>
    </row>
    <row r="127" spans="1:2" x14ac:dyDescent="0.25">
      <c r="A127" s="16">
        <v>376</v>
      </c>
      <c r="B127">
        <f>VLOOKUP(A127,'Inventario ENE 30-1-26'!$A$1:$J$10000,10,FALSE)</f>
        <v>0</v>
      </c>
    </row>
    <row r="128" spans="1:2" x14ac:dyDescent="0.25">
      <c r="A128" s="16">
        <v>379</v>
      </c>
      <c r="B128">
        <f>VLOOKUP(A128,'Inventario ENE 30-1-26'!$A$1:$J$10000,10,FALSE)</f>
        <v>309.5</v>
      </c>
    </row>
    <row r="129" spans="1:2" x14ac:dyDescent="0.25">
      <c r="A129" s="16">
        <v>381</v>
      </c>
      <c r="B129">
        <f>VLOOKUP(A129,'Inventario ENE 30-1-26'!$A$1:$J$10000,10,FALSE)</f>
        <v>1154</v>
      </c>
    </row>
    <row r="130" spans="1:2" x14ac:dyDescent="0.25">
      <c r="A130" s="16">
        <v>382</v>
      </c>
      <c r="B130">
        <f>VLOOKUP(A130,'Inventario ENE 30-1-26'!$A$1:$J$10000,10,FALSE)</f>
        <v>532</v>
      </c>
    </row>
    <row r="131" spans="1:2" x14ac:dyDescent="0.25">
      <c r="A131" s="16">
        <v>385</v>
      </c>
      <c r="B131">
        <f>VLOOKUP(A131,'Inventario ENE 30-1-26'!$A$1:$J$10000,10,FALSE)</f>
        <v>1212</v>
      </c>
    </row>
    <row r="132" spans="1:2" x14ac:dyDescent="0.25">
      <c r="A132" s="16">
        <v>388</v>
      </c>
      <c r="B132">
        <f>VLOOKUP(A132,'Inventario ENE 30-1-26'!$A$1:$J$10000,10,FALSE)</f>
        <v>1091</v>
      </c>
    </row>
    <row r="133" spans="1:2" x14ac:dyDescent="0.25">
      <c r="A133" s="16">
        <v>394</v>
      </c>
      <c r="B133">
        <f>VLOOKUP(A133,'Inventario ENE 30-1-26'!$A$1:$J$10000,10,FALSE)</f>
        <v>921</v>
      </c>
    </row>
    <row r="134" spans="1:2" x14ac:dyDescent="0.25">
      <c r="A134" s="16">
        <v>395</v>
      </c>
      <c r="B134">
        <f>VLOOKUP(A134,'Inventario ENE 30-1-26'!$A$1:$J$10000,10,FALSE)</f>
        <v>1091</v>
      </c>
    </row>
    <row r="135" spans="1:2" x14ac:dyDescent="0.25">
      <c r="A135" s="16">
        <v>397</v>
      </c>
      <c r="B135">
        <f>VLOOKUP(A135,'Inventario ENE 30-1-26'!$A$1:$J$10000,10,FALSE)</f>
        <v>1091</v>
      </c>
    </row>
    <row r="136" spans="1:2" x14ac:dyDescent="0.25">
      <c r="A136" s="16">
        <v>398</v>
      </c>
      <c r="B136">
        <f>VLOOKUP(A136,'Inventario ENE 30-1-26'!$A$1:$J$10000,10,FALSE)</f>
        <v>309.5</v>
      </c>
    </row>
    <row r="137" spans="1:2" x14ac:dyDescent="0.25">
      <c r="A137" s="16">
        <v>399</v>
      </c>
      <c r="B137">
        <f>VLOOKUP(A137,'Inventario ENE 30-1-26'!$A$1:$J$10000,10,FALSE)</f>
        <v>1154</v>
      </c>
    </row>
    <row r="138" spans="1:2" x14ac:dyDescent="0.25">
      <c r="A138" s="16">
        <v>400</v>
      </c>
      <c r="B138">
        <f>VLOOKUP(A138,'Inventario ENE 30-1-26'!$A$1:$J$10000,10,FALSE)</f>
        <v>318.5</v>
      </c>
    </row>
    <row r="139" spans="1:2" x14ac:dyDescent="0.25">
      <c r="A139" s="16">
        <v>404</v>
      </c>
      <c r="B139">
        <f>VLOOKUP(A139,'Inventario ENE 30-1-26'!$A$1:$J$10000,10,FALSE)</f>
        <v>1091</v>
      </c>
    </row>
    <row r="140" spans="1:2" x14ac:dyDescent="0.25">
      <c r="A140" s="16">
        <v>408</v>
      </c>
      <c r="B140">
        <f>VLOOKUP(A140,'Inventario ENE 30-1-26'!$A$1:$J$10000,10,FALSE)</f>
        <v>1154</v>
      </c>
    </row>
    <row r="141" spans="1:2" x14ac:dyDescent="0.25">
      <c r="A141" s="16">
        <v>410</v>
      </c>
      <c r="B141">
        <f>VLOOKUP(A141,'Inventario ENE 30-1-26'!$A$1:$J$10000,10,FALSE)</f>
        <v>1202.5</v>
      </c>
    </row>
    <row r="142" spans="1:2" x14ac:dyDescent="0.25">
      <c r="A142" s="16">
        <v>411</v>
      </c>
      <c r="B142">
        <f>VLOOKUP(A142,'Inventario ENE 30-1-26'!$A$1:$J$10000,10,FALSE)</f>
        <v>1091</v>
      </c>
    </row>
    <row r="143" spans="1:2" x14ac:dyDescent="0.25">
      <c r="A143" s="16">
        <v>412</v>
      </c>
      <c r="B143">
        <f>VLOOKUP(A143,'Inventario ENE 30-1-26'!$A$1:$J$10000,10,FALSE)</f>
        <v>1212</v>
      </c>
    </row>
    <row r="144" spans="1:2" x14ac:dyDescent="0.25">
      <c r="A144" s="16">
        <v>413</v>
      </c>
      <c r="B144">
        <f>VLOOKUP(A144,'Inventario ENE 30-1-26'!$A$1:$J$10000,10,FALSE)</f>
        <v>1091</v>
      </c>
    </row>
    <row r="145" spans="1:2" x14ac:dyDescent="0.25">
      <c r="A145" s="16">
        <v>415</v>
      </c>
      <c r="B145">
        <f>VLOOKUP(A145,'Inventario ENE 30-1-26'!$A$1:$J$10000,10,FALSE)</f>
        <v>309.5</v>
      </c>
    </row>
    <row r="146" spans="1:2" x14ac:dyDescent="0.25">
      <c r="A146" s="16">
        <v>416</v>
      </c>
      <c r="B146">
        <f>VLOOKUP(A146,'Inventario ENE 30-1-26'!$A$1:$J$10000,10,FALSE)</f>
        <v>1154</v>
      </c>
    </row>
    <row r="147" spans="1:2" x14ac:dyDescent="0.25">
      <c r="A147" s="16">
        <v>420</v>
      </c>
      <c r="B147">
        <f>VLOOKUP(A147,'Inventario ENE 30-1-26'!$A$1:$J$10000,10,FALSE)</f>
        <v>1212</v>
      </c>
    </row>
    <row r="148" spans="1:2" x14ac:dyDescent="0.25">
      <c r="A148" s="37">
        <v>421</v>
      </c>
      <c r="B148">
        <f>VLOOKUP(A148,'Inventario ENE 30-1-26'!$A$1:$J$10000,10,FALSE)</f>
        <v>921</v>
      </c>
    </row>
    <row r="149" spans="1:2" x14ac:dyDescent="0.25">
      <c r="A149" s="16">
        <v>423</v>
      </c>
      <c r="B149">
        <f>VLOOKUP(A149,'Inventario ENE 30-1-26'!$A$1:$J$10000,10,FALSE)</f>
        <v>309.5</v>
      </c>
    </row>
    <row r="150" spans="1:2" x14ac:dyDescent="0.25">
      <c r="A150" s="16">
        <v>426</v>
      </c>
      <c r="B150">
        <f>VLOOKUP(A150,'Inventario ENE 30-1-26'!$A$1:$J$10000,10,FALSE)</f>
        <v>309.5</v>
      </c>
    </row>
    <row r="151" spans="1:2" x14ac:dyDescent="0.25">
      <c r="A151" s="16">
        <v>428</v>
      </c>
      <c r="B151">
        <f>VLOOKUP(A151,'Inventario ENE 30-1-26'!$A$1:$J$10000,10,FALSE)</f>
        <v>1154</v>
      </c>
    </row>
    <row r="152" spans="1:2" x14ac:dyDescent="0.25">
      <c r="A152" s="16">
        <v>433</v>
      </c>
      <c r="B152">
        <f>VLOOKUP(A152,'Inventario ENE 30-1-26'!$A$1:$J$10000,10,FALSE)</f>
        <v>1154</v>
      </c>
    </row>
    <row r="153" spans="1:2" x14ac:dyDescent="0.25">
      <c r="A153" s="16">
        <v>435</v>
      </c>
      <c r="B153">
        <f>VLOOKUP(A153,'Inventario ENE 30-1-26'!$A$1:$J$10000,10,FALSE)</f>
        <v>1212</v>
      </c>
    </row>
    <row r="154" spans="1:2" x14ac:dyDescent="0.25">
      <c r="A154" s="16">
        <v>436</v>
      </c>
      <c r="B154">
        <f>VLOOKUP(A154,'Inventario ENE 30-1-26'!$A$1:$J$10000,10,FALSE)</f>
        <v>921</v>
      </c>
    </row>
    <row r="155" spans="1:2" x14ac:dyDescent="0.25">
      <c r="A155" s="16">
        <v>437</v>
      </c>
      <c r="B155">
        <f>VLOOKUP(A155,'Inventario ENE 30-1-26'!$A$1:$J$10000,10,FALSE)</f>
        <v>309.5</v>
      </c>
    </row>
    <row r="156" spans="1:2" x14ac:dyDescent="0.25">
      <c r="A156" s="16">
        <v>438</v>
      </c>
      <c r="B156">
        <f>VLOOKUP(A156,'Inventario ENE 30-1-26'!$A$1:$J$10000,10,FALSE)</f>
        <v>1091</v>
      </c>
    </row>
    <row r="157" spans="1:2" x14ac:dyDescent="0.25">
      <c r="A157" s="16">
        <v>440</v>
      </c>
      <c r="B157">
        <f>VLOOKUP(A157,'Inventario ENE 30-1-26'!$A$1:$J$10000,10,FALSE)</f>
        <v>921</v>
      </c>
    </row>
    <row r="158" spans="1:2" x14ac:dyDescent="0.25">
      <c r="A158" s="16">
        <v>442</v>
      </c>
      <c r="B158">
        <f>VLOOKUP(A158,'Inventario ENE 30-1-26'!$A$1:$J$10000,10,FALSE)</f>
        <v>309.5</v>
      </c>
    </row>
    <row r="159" spans="1:2" x14ac:dyDescent="0.25">
      <c r="A159" s="16">
        <v>445</v>
      </c>
      <c r="B159">
        <f>VLOOKUP(A159,'Inventario ENE 30-1-26'!$A$1:$J$10000,10,FALSE)</f>
        <v>1091</v>
      </c>
    </row>
    <row r="160" spans="1:2" x14ac:dyDescent="0.25">
      <c r="A160" s="16">
        <v>446</v>
      </c>
      <c r="B160">
        <f>VLOOKUP(A160,'Inventario ENE 30-1-26'!$A$1:$J$10000,10,FALSE)</f>
        <v>1212</v>
      </c>
    </row>
    <row r="161" spans="1:2" x14ac:dyDescent="0.25">
      <c r="A161" s="16">
        <v>447</v>
      </c>
      <c r="B161">
        <f>VLOOKUP(A161,'Inventario ENE 30-1-26'!$A$1:$J$10000,10,FALSE)</f>
        <v>1154</v>
      </c>
    </row>
    <row r="162" spans="1:2" x14ac:dyDescent="0.25">
      <c r="A162" s="16">
        <v>451</v>
      </c>
      <c r="B162">
        <f>VLOOKUP(A162,'Inventario ENE 30-1-26'!$A$1:$J$10000,10,FALSE)</f>
        <v>309.5</v>
      </c>
    </row>
    <row r="163" spans="1:2" x14ac:dyDescent="0.25">
      <c r="A163" s="16">
        <v>452</v>
      </c>
      <c r="B163">
        <f>VLOOKUP(A163,'Inventario ENE 30-1-26'!$A$1:$J$10000,10,FALSE)</f>
        <v>1107.5</v>
      </c>
    </row>
    <row r="164" spans="1:2" x14ac:dyDescent="0.25">
      <c r="A164" s="16">
        <v>453</v>
      </c>
      <c r="B164">
        <f>VLOOKUP(A164,'Inventario ENE 30-1-26'!$A$1:$J$10000,10,FALSE)</f>
        <v>1212</v>
      </c>
    </row>
    <row r="165" spans="1:2" x14ac:dyDescent="0.25">
      <c r="A165" s="16">
        <v>456</v>
      </c>
      <c r="B165">
        <f>VLOOKUP(A165,'Inventario ENE 30-1-26'!$A$1:$J$10000,10,FALSE)</f>
        <v>1091</v>
      </c>
    </row>
    <row r="166" spans="1:2" x14ac:dyDescent="0.25">
      <c r="A166" s="16">
        <v>457</v>
      </c>
      <c r="B166">
        <f>VLOOKUP(A166,'Inventario ENE 30-1-26'!$A$1:$J$10000,10,FALSE)</f>
        <v>1154</v>
      </c>
    </row>
    <row r="167" spans="1:2" x14ac:dyDescent="0.25">
      <c r="A167" s="16">
        <v>460</v>
      </c>
      <c r="B167">
        <f>VLOOKUP(A167,'Inventario ENE 30-1-26'!$A$1:$J$10000,10,FALSE)</f>
        <v>309.5</v>
      </c>
    </row>
    <row r="168" spans="1:2" x14ac:dyDescent="0.25">
      <c r="A168" s="16">
        <v>463</v>
      </c>
      <c r="B168">
        <f>VLOOKUP(A168,'Inventario ENE 30-1-26'!$A$1:$J$10000,10,FALSE)</f>
        <v>309.5</v>
      </c>
    </row>
    <row r="169" spans="1:2" x14ac:dyDescent="0.25">
      <c r="A169" s="16">
        <v>465</v>
      </c>
      <c r="B169">
        <f>VLOOKUP(A169,'Inventario ENE 30-1-26'!$A$1:$J$10000,10,FALSE)</f>
        <v>1212</v>
      </c>
    </row>
    <row r="170" spans="1:2" x14ac:dyDescent="0.25">
      <c r="A170" s="16">
        <v>469</v>
      </c>
      <c r="B170">
        <f>VLOOKUP(A170,'Inventario ENE 30-1-26'!$A$1:$J$10000,10,FALSE)</f>
        <v>1202.5</v>
      </c>
    </row>
    <row r="171" spans="1:2" x14ac:dyDescent="0.25">
      <c r="A171" s="16">
        <v>470</v>
      </c>
      <c r="B171">
        <f>VLOOKUP(A171,'Inventario ENE 30-1-26'!$A$1:$J$10000,10,FALSE)</f>
        <v>1154</v>
      </c>
    </row>
    <row r="172" spans="1:2" x14ac:dyDescent="0.25">
      <c r="A172" s="16">
        <v>471</v>
      </c>
      <c r="B172">
        <f>VLOOKUP(A172,'Inventario ENE 30-1-26'!$A$1:$J$10000,10,FALSE)</f>
        <v>1091</v>
      </c>
    </row>
    <row r="173" spans="1:2" x14ac:dyDescent="0.25">
      <c r="A173" s="16">
        <v>474</v>
      </c>
      <c r="B173">
        <f>VLOOKUP(A173,'Inventario ENE 30-1-26'!$A$1:$J$10000,10,FALSE)</f>
        <v>309.5</v>
      </c>
    </row>
    <row r="174" spans="1:2" x14ac:dyDescent="0.25">
      <c r="A174" s="16">
        <v>485</v>
      </c>
      <c r="B174">
        <f>VLOOKUP(A174,'Inventario ENE 30-1-26'!$A$1:$J$10000,10,FALSE)</f>
        <v>1091</v>
      </c>
    </row>
    <row r="175" spans="1:2" x14ac:dyDescent="0.25">
      <c r="A175" s="16">
        <v>488</v>
      </c>
      <c r="B175">
        <f>VLOOKUP(A175,'Inventario ENE 30-1-26'!$A$1:$J$10000,10,FALSE)</f>
        <v>1212</v>
      </c>
    </row>
    <row r="176" spans="1:2" x14ac:dyDescent="0.25">
      <c r="A176" s="16">
        <v>489</v>
      </c>
      <c r="B176">
        <f>VLOOKUP(A176,'Inventario ENE 30-1-26'!$A$1:$J$10000,10,FALSE)</f>
        <v>532</v>
      </c>
    </row>
    <row r="177" spans="1:2" x14ac:dyDescent="0.25">
      <c r="A177" s="16">
        <v>493</v>
      </c>
      <c r="B177">
        <f>VLOOKUP(A177,'Inventario ENE 30-1-26'!$A$1:$J$10000,10,FALSE)</f>
        <v>461</v>
      </c>
    </row>
    <row r="178" spans="1:2" x14ac:dyDescent="0.25">
      <c r="A178" s="16">
        <v>494</v>
      </c>
      <c r="B178">
        <f>VLOOKUP(A178,'Inventario ENE 30-1-26'!$A$1:$J$10000,10,FALSE)</f>
        <v>1212</v>
      </c>
    </row>
    <row r="179" spans="1:2" x14ac:dyDescent="0.25">
      <c r="A179" s="16">
        <v>497</v>
      </c>
      <c r="B179">
        <f>VLOOKUP(A179,'Inventario ENE 30-1-26'!$A$1:$J$10000,10,FALSE)</f>
        <v>1154</v>
      </c>
    </row>
    <row r="180" spans="1:2" x14ac:dyDescent="0.25">
      <c r="A180" s="16">
        <v>498</v>
      </c>
      <c r="B180">
        <f>VLOOKUP(A180,'Inventario ENE 30-1-26'!$A$1:$J$10000,10,FALSE)</f>
        <v>309.5</v>
      </c>
    </row>
    <row r="181" spans="1:2" x14ac:dyDescent="0.25">
      <c r="A181" s="16">
        <v>507</v>
      </c>
      <c r="B181">
        <f>VLOOKUP(A181,'Inventario ENE 30-1-26'!$A$1:$J$10000,10,FALSE)</f>
        <v>309.5</v>
      </c>
    </row>
    <row r="182" spans="1:2" x14ac:dyDescent="0.25">
      <c r="A182" s="16">
        <v>509</v>
      </c>
      <c r="B182">
        <f>VLOOKUP(A182,'Inventario ENE 30-1-26'!$A$1:$J$10000,10,FALSE)</f>
        <v>1154</v>
      </c>
    </row>
    <row r="183" spans="1:2" x14ac:dyDescent="0.25">
      <c r="A183" s="16">
        <v>511</v>
      </c>
      <c r="B183">
        <f>VLOOKUP(A183,'Inventario ENE 30-1-26'!$A$1:$J$10000,10,FALSE)</f>
        <v>1202.5</v>
      </c>
    </row>
    <row r="184" spans="1:2" x14ac:dyDescent="0.25">
      <c r="A184" s="16">
        <v>512</v>
      </c>
      <c r="B184">
        <f>VLOOKUP(A184,'Inventario ENE 30-1-26'!$A$1:$J$10000,10,FALSE)</f>
        <v>309.5</v>
      </c>
    </row>
    <row r="185" spans="1:2" x14ac:dyDescent="0.25">
      <c r="A185" s="16">
        <v>515</v>
      </c>
      <c r="B185">
        <f>VLOOKUP(A185,'Inventario ENE 30-1-26'!$A$1:$J$10000,10,FALSE)</f>
        <v>309.5</v>
      </c>
    </row>
    <row r="186" spans="1:2" x14ac:dyDescent="0.25">
      <c r="A186" s="16">
        <v>516</v>
      </c>
      <c r="B186">
        <f>VLOOKUP(A186,'Inventario ENE 30-1-26'!$A$1:$J$10000,10,FALSE)</f>
        <v>1212</v>
      </c>
    </row>
    <row r="187" spans="1:2" x14ac:dyDescent="0.25">
      <c r="A187" s="16">
        <v>518</v>
      </c>
      <c r="B187">
        <f>VLOOKUP(A187,'Inventario ENE 30-1-26'!$A$1:$J$10000,10,FALSE)</f>
        <v>318.5</v>
      </c>
    </row>
    <row r="188" spans="1:2" x14ac:dyDescent="0.25">
      <c r="A188" s="16">
        <v>519</v>
      </c>
      <c r="B188">
        <f>VLOOKUP(A188,'Inventario ENE 30-1-26'!$A$1:$J$10000,10,FALSE)</f>
        <v>1212</v>
      </c>
    </row>
    <row r="189" spans="1:2" x14ac:dyDescent="0.25">
      <c r="A189" s="16">
        <v>520</v>
      </c>
      <c r="B189">
        <f>VLOOKUP(A189,'Inventario ENE 30-1-26'!$A$1:$J$10000,10,FALSE)</f>
        <v>629</v>
      </c>
    </row>
    <row r="190" spans="1:2" x14ac:dyDescent="0.25">
      <c r="A190" s="16">
        <v>522</v>
      </c>
      <c r="B190">
        <f>VLOOKUP(A190,'Inventario ENE 30-1-26'!$A$1:$J$10000,10,FALSE)</f>
        <v>1212</v>
      </c>
    </row>
    <row r="191" spans="1:2" x14ac:dyDescent="0.25">
      <c r="A191" s="16">
        <v>528</v>
      </c>
      <c r="B191">
        <f>VLOOKUP(A191,'Inventario ENE 30-1-26'!$A$1:$J$10000,10,FALSE)</f>
        <v>461</v>
      </c>
    </row>
    <row r="192" spans="1:2" x14ac:dyDescent="0.25">
      <c r="A192" s="16">
        <v>530</v>
      </c>
      <c r="B192">
        <f>VLOOKUP(A192,'Inventario ENE 30-1-26'!$A$1:$J$10000,10,FALSE)</f>
        <v>461</v>
      </c>
    </row>
    <row r="193" spans="1:2" x14ac:dyDescent="0.25">
      <c r="A193" s="16">
        <v>531</v>
      </c>
      <c r="B193">
        <f>VLOOKUP(A193,'Inventario ENE 30-1-26'!$A$1:$J$10000,10,FALSE)</f>
        <v>309.5</v>
      </c>
    </row>
    <row r="194" spans="1:2" x14ac:dyDescent="0.25">
      <c r="A194" s="16">
        <v>536</v>
      </c>
      <c r="B194">
        <f>VLOOKUP(A194,'Inventario ENE 30-1-26'!$A$1:$J$10000,10,FALSE)</f>
        <v>1154</v>
      </c>
    </row>
    <row r="195" spans="1:2" x14ac:dyDescent="0.25">
      <c r="A195" s="16">
        <v>537</v>
      </c>
      <c r="B195">
        <f>VLOOKUP(A195,'Inventario ENE 30-1-26'!$A$1:$J$10000,10,FALSE)</f>
        <v>1176</v>
      </c>
    </row>
    <row r="196" spans="1:2" x14ac:dyDescent="0.25">
      <c r="A196" s="16">
        <v>539</v>
      </c>
      <c r="B196">
        <f>VLOOKUP(A196,'Inventario ENE 30-1-26'!$A$1:$J$10000,10,FALSE)</f>
        <v>1212</v>
      </c>
    </row>
    <row r="197" spans="1:2" x14ac:dyDescent="0.25">
      <c r="A197" s="16">
        <v>540</v>
      </c>
      <c r="B197">
        <f>VLOOKUP(A197,'Inventario ENE 30-1-26'!$A$1:$J$10000,10,FALSE)</f>
        <v>461</v>
      </c>
    </row>
    <row r="198" spans="1:2" x14ac:dyDescent="0.25">
      <c r="A198" s="16">
        <v>542</v>
      </c>
      <c r="B198">
        <f>VLOOKUP(A198,'Inventario ENE 30-1-26'!$A$1:$J$10000,10,FALSE)</f>
        <v>309.5</v>
      </c>
    </row>
    <row r="199" spans="1:2" x14ac:dyDescent="0.25">
      <c r="A199" s="16">
        <v>544</v>
      </c>
      <c r="B199">
        <f>VLOOKUP(A199,'Inventario ENE 30-1-26'!$A$1:$J$10000,10,FALSE)</f>
        <v>1154</v>
      </c>
    </row>
    <row r="200" spans="1:2" x14ac:dyDescent="0.25">
      <c r="A200" s="16">
        <v>545</v>
      </c>
      <c r="B200">
        <f>VLOOKUP(A200,'Inventario ENE 30-1-26'!$A$1:$J$10000,10,FALSE)</f>
        <v>309.5</v>
      </c>
    </row>
    <row r="201" spans="1:2" x14ac:dyDescent="0.25">
      <c r="A201" s="16">
        <v>549</v>
      </c>
      <c r="B201">
        <f>VLOOKUP(A201,'Inventario ENE 30-1-26'!$A$1:$J$10000,10,FALSE)</f>
        <v>309.5</v>
      </c>
    </row>
    <row r="202" spans="1:2" x14ac:dyDescent="0.25">
      <c r="A202" s="16">
        <v>550</v>
      </c>
      <c r="B202">
        <f>VLOOKUP(A202,'Inventario ENE 30-1-26'!$A$1:$J$10000,10,FALSE)</f>
        <v>1154</v>
      </c>
    </row>
    <row r="203" spans="1:2" x14ac:dyDescent="0.25">
      <c r="A203" s="16">
        <v>553</v>
      </c>
      <c r="B203">
        <f>VLOOKUP(A203,'Inventario ENE 30-1-26'!$A$1:$J$10000,10,FALSE)</f>
        <v>1202.5</v>
      </c>
    </row>
    <row r="204" spans="1:2" x14ac:dyDescent="0.25">
      <c r="A204" s="16">
        <v>555</v>
      </c>
      <c r="B204">
        <f>VLOOKUP(A204,'Inventario ENE 30-1-26'!$A$1:$J$10000,10,FALSE)</f>
        <v>1202.5</v>
      </c>
    </row>
    <row r="205" spans="1:2" x14ac:dyDescent="0.25">
      <c r="A205" s="16">
        <v>561</v>
      </c>
      <c r="B205">
        <f>VLOOKUP(A205,'Inventario ENE 30-1-26'!$A$1:$J$10000,10,FALSE)</f>
        <v>309.5</v>
      </c>
    </row>
    <row r="206" spans="1:2" x14ac:dyDescent="0.25">
      <c r="A206" s="16">
        <v>563</v>
      </c>
      <c r="B206">
        <f>VLOOKUP(A206,'Inventario ENE 30-1-26'!$A$1:$J$10000,10,FALSE)</f>
        <v>461</v>
      </c>
    </row>
    <row r="207" spans="1:2" x14ac:dyDescent="0.25">
      <c r="A207" s="16">
        <v>564</v>
      </c>
      <c r="B207">
        <f>VLOOKUP(A207,'Inventario ENE 30-1-26'!$A$1:$J$10000,10,FALSE)</f>
        <v>309.5</v>
      </c>
    </row>
    <row r="208" spans="1:2" x14ac:dyDescent="0.25">
      <c r="A208" s="16">
        <v>568</v>
      </c>
      <c r="B208">
        <f>VLOOKUP(A208,'Inventario ENE 30-1-26'!$A$1:$J$10000,10,FALSE)</f>
        <v>1212</v>
      </c>
    </row>
    <row r="209" spans="1:2" x14ac:dyDescent="0.25">
      <c r="A209" s="16">
        <v>570</v>
      </c>
      <c r="B209">
        <f>VLOOKUP(A209,'Inventario ENE 30-1-26'!$A$1:$J$10000,10,FALSE)</f>
        <v>1212</v>
      </c>
    </row>
    <row r="210" spans="1:2" x14ac:dyDescent="0.25">
      <c r="A210" s="16">
        <v>571</v>
      </c>
      <c r="B210">
        <f>VLOOKUP(A210,'Inventario ENE 30-1-26'!$A$1:$J$10000,10,FALSE)</f>
        <v>1212</v>
      </c>
    </row>
    <row r="211" spans="1:2" x14ac:dyDescent="0.25">
      <c r="A211" s="16">
        <v>572</v>
      </c>
      <c r="B211">
        <f>VLOOKUP(A211,'Inventario ENE 30-1-26'!$A$1:$J$10000,10,FALSE)</f>
        <v>1212</v>
      </c>
    </row>
    <row r="212" spans="1:2" x14ac:dyDescent="0.25">
      <c r="A212" s="16">
        <v>573</v>
      </c>
      <c r="B212">
        <f>VLOOKUP(A212,'Inventario ENE 30-1-26'!$A$1:$J$10000,10,FALSE)</f>
        <v>1212</v>
      </c>
    </row>
    <row r="213" spans="1:2" x14ac:dyDescent="0.25">
      <c r="A213" s="16">
        <v>575</v>
      </c>
      <c r="B213">
        <f>VLOOKUP(A213,'Inventario ENE 30-1-26'!$A$1:$J$10000,10,FALSE)</f>
        <v>1212</v>
      </c>
    </row>
    <row r="214" spans="1:2" x14ac:dyDescent="0.25">
      <c r="A214" s="16">
        <v>576</v>
      </c>
      <c r="B214">
        <f>VLOOKUP(A214,'Inventario ENE 30-1-26'!$A$1:$J$10000,10,FALSE)</f>
        <v>1212</v>
      </c>
    </row>
    <row r="215" spans="1:2" x14ac:dyDescent="0.25">
      <c r="A215" s="16">
        <v>577</v>
      </c>
      <c r="B215">
        <f>VLOOKUP(A215,'Inventario ENE 30-1-26'!$A$1:$J$10000,10,FALSE)</f>
        <v>1212</v>
      </c>
    </row>
    <row r="216" spans="1:2" x14ac:dyDescent="0.25">
      <c r="A216" s="16">
        <v>579</v>
      </c>
      <c r="B216">
        <f>VLOOKUP(A216,'Inventario ENE 30-1-26'!$A$1:$J$10000,10,FALSE)</f>
        <v>1091</v>
      </c>
    </row>
    <row r="217" spans="1:2" x14ac:dyDescent="0.25">
      <c r="A217" s="16">
        <v>585</v>
      </c>
      <c r="B217">
        <f>VLOOKUP(A217,'Inventario ENE 30-1-26'!$A$1:$J$10000,10,FALSE)</f>
        <v>0</v>
      </c>
    </row>
    <row r="218" spans="1:2" x14ac:dyDescent="0.25">
      <c r="A218" s="16">
        <v>587</v>
      </c>
      <c r="B218">
        <f>VLOOKUP(A218,'Inventario ENE 30-1-26'!$A$1:$J$10000,10,FALSE)</f>
        <v>1243.5</v>
      </c>
    </row>
    <row r="219" spans="1:2" x14ac:dyDescent="0.25">
      <c r="A219" s="16">
        <v>589</v>
      </c>
      <c r="B219">
        <f>VLOOKUP(A219,'Inventario ENE 30-1-26'!$A$1:$J$10000,10,FALSE)</f>
        <v>1154</v>
      </c>
    </row>
    <row r="220" spans="1:2" x14ac:dyDescent="0.25">
      <c r="A220" s="16">
        <v>590</v>
      </c>
      <c r="B220">
        <f>VLOOKUP(A220,'Inventario ENE 30-1-26'!$A$1:$J$10000,10,FALSE)</f>
        <v>1091</v>
      </c>
    </row>
    <row r="221" spans="1:2" x14ac:dyDescent="0.25">
      <c r="A221" s="16">
        <v>595</v>
      </c>
      <c r="B221">
        <f>VLOOKUP(A221,'Inventario ENE 30-1-26'!$A$1:$J$10000,10,FALSE)</f>
        <v>461</v>
      </c>
    </row>
    <row r="222" spans="1:2" x14ac:dyDescent="0.25">
      <c r="A222" s="16">
        <v>596</v>
      </c>
      <c r="B222">
        <f>VLOOKUP(A222,'Inventario ENE 30-1-26'!$A$1:$J$10000,10,FALSE)</f>
        <v>1091</v>
      </c>
    </row>
    <row r="223" spans="1:2" x14ac:dyDescent="0.25">
      <c r="A223" s="16">
        <v>597</v>
      </c>
      <c r="B223">
        <f>VLOOKUP(A223,'Inventario ENE 30-1-26'!$A$1:$J$10000,10,FALSE)</f>
        <v>309.5</v>
      </c>
    </row>
    <row r="224" spans="1:2" x14ac:dyDescent="0.25">
      <c r="A224" s="16">
        <v>598</v>
      </c>
      <c r="B224">
        <f>VLOOKUP(A224,'Inventario ENE 30-1-26'!$A$1:$J$10000,10,FALSE)</f>
        <v>1091</v>
      </c>
    </row>
    <row r="225" spans="1:2" x14ac:dyDescent="0.25">
      <c r="A225" s="16">
        <v>606</v>
      </c>
      <c r="B225">
        <f>VLOOKUP(A225,'Inventario ENE 30-1-26'!$A$1:$J$10000,10,FALSE)</f>
        <v>1212</v>
      </c>
    </row>
    <row r="226" spans="1:2" x14ac:dyDescent="0.25">
      <c r="A226" s="16">
        <v>607</v>
      </c>
      <c r="B226">
        <f>VLOOKUP(A226,'Inventario ENE 30-1-26'!$A$1:$J$10000,10,FALSE)</f>
        <v>1154</v>
      </c>
    </row>
    <row r="227" spans="1:2" x14ac:dyDescent="0.25">
      <c r="A227" s="16">
        <v>609</v>
      </c>
      <c r="B227">
        <f>VLOOKUP(A227,'Inventario ENE 30-1-26'!$A$1:$J$10000,10,FALSE)</f>
        <v>1154</v>
      </c>
    </row>
    <row r="228" spans="1:2" x14ac:dyDescent="0.25">
      <c r="A228" s="16">
        <v>620</v>
      </c>
      <c r="B228">
        <f>VLOOKUP(A228,'Inventario ENE 30-1-26'!$A$1:$J$10000,10,FALSE)</f>
        <v>1154</v>
      </c>
    </row>
    <row r="229" spans="1:2" x14ac:dyDescent="0.25">
      <c r="A229" s="16">
        <v>622</v>
      </c>
      <c r="B229">
        <f>VLOOKUP(A229,'Inventario ENE 30-1-26'!$A$1:$J$10000,10,FALSE)</f>
        <v>309.5</v>
      </c>
    </row>
    <row r="230" spans="1:2" x14ac:dyDescent="0.25">
      <c r="A230" s="16">
        <v>625</v>
      </c>
      <c r="B230">
        <f>VLOOKUP(A230,'Inventario ENE 30-1-26'!$A$1:$J$10000,10,FALSE)</f>
        <v>1091</v>
      </c>
    </row>
    <row r="231" spans="1:2" x14ac:dyDescent="0.25">
      <c r="A231" s="16">
        <v>626</v>
      </c>
      <c r="B231">
        <f>VLOOKUP(A231,'Inventario ENE 30-1-26'!$A$1:$J$10000,10,FALSE)</f>
        <v>309.5</v>
      </c>
    </row>
    <row r="232" spans="1:2" x14ac:dyDescent="0.25">
      <c r="A232" s="16">
        <v>628</v>
      </c>
      <c r="B232">
        <f>VLOOKUP(A232,'Inventario ENE 30-1-26'!$A$1:$J$10000,10,FALSE)</f>
        <v>1091</v>
      </c>
    </row>
    <row r="233" spans="1:2" x14ac:dyDescent="0.25">
      <c r="A233" s="16">
        <v>629</v>
      </c>
      <c r="B233">
        <f>VLOOKUP(A233,'Inventario ENE 30-1-26'!$A$1:$J$10000,10,FALSE)</f>
        <v>2854</v>
      </c>
    </row>
    <row r="234" spans="1:2" x14ac:dyDescent="0.25">
      <c r="A234" s="16">
        <v>649</v>
      </c>
      <c r="B234">
        <f>VLOOKUP(A234,'Inventario ENE 30-1-26'!$A$1:$J$10000,10,FALSE)</f>
        <v>512</v>
      </c>
    </row>
    <row r="235" spans="1:2" x14ac:dyDescent="0.25">
      <c r="A235" s="16">
        <v>651</v>
      </c>
      <c r="B235">
        <f>VLOOKUP(A235,'Inventario ENE 30-1-26'!$A$1:$J$10000,10,FALSE)</f>
        <v>629</v>
      </c>
    </row>
    <row r="236" spans="1:2" x14ac:dyDescent="0.25">
      <c r="A236" s="16">
        <v>652</v>
      </c>
      <c r="B236">
        <f>VLOOKUP(A236,'Inventario ENE 30-1-26'!$A$1:$J$10000,10,FALSE)</f>
        <v>1154</v>
      </c>
    </row>
    <row r="237" spans="1:2" x14ac:dyDescent="0.25">
      <c r="A237" s="16">
        <v>654</v>
      </c>
      <c r="B237">
        <f>VLOOKUP(A237,'Inventario ENE 30-1-26'!$A$1:$J$10000,10,FALSE)</f>
        <v>309.5</v>
      </c>
    </row>
    <row r="238" spans="1:2" x14ac:dyDescent="0.25">
      <c r="A238" s="16">
        <v>655</v>
      </c>
      <c r="B238">
        <f>VLOOKUP(A238,'Inventario ENE 30-1-26'!$A$1:$J$10000,10,FALSE)</f>
        <v>309.5</v>
      </c>
    </row>
    <row r="239" spans="1:2" x14ac:dyDescent="0.25">
      <c r="A239" s="16">
        <v>658</v>
      </c>
      <c r="B239">
        <f>VLOOKUP(A239,'Inventario ENE 30-1-26'!$A$1:$J$10000,10,FALSE)</f>
        <v>309.5</v>
      </c>
    </row>
    <row r="240" spans="1:2" x14ac:dyDescent="0.25">
      <c r="A240" s="16">
        <v>666</v>
      </c>
      <c r="B240">
        <f>VLOOKUP(A240,'Inventario ENE 30-1-26'!$A$1:$J$10000,10,FALSE)</f>
        <v>309.5</v>
      </c>
    </row>
    <row r="241" spans="1:2" x14ac:dyDescent="0.25">
      <c r="A241" s="16">
        <v>670</v>
      </c>
      <c r="B241">
        <f>VLOOKUP(A241,'Inventario ENE 30-1-26'!$A$1:$J$10000,10,FALSE)</f>
        <v>1154</v>
      </c>
    </row>
    <row r="242" spans="1:2" x14ac:dyDescent="0.25">
      <c r="A242" s="16">
        <v>674</v>
      </c>
      <c r="B242">
        <f>VLOOKUP(A242,'Inventario ENE 30-1-26'!$A$1:$J$10000,10,FALSE)</f>
        <v>629</v>
      </c>
    </row>
    <row r="243" spans="1:2" x14ac:dyDescent="0.25">
      <c r="A243" s="16">
        <v>678</v>
      </c>
      <c r="B243">
        <f>VLOOKUP(A243,'Inventario ENE 30-1-26'!$A$1:$J$10000,10,FALSE)</f>
        <v>309.5</v>
      </c>
    </row>
    <row r="244" spans="1:2" x14ac:dyDescent="0.25">
      <c r="A244" s="16">
        <v>679</v>
      </c>
      <c r="B244">
        <f>VLOOKUP(A244,'Inventario ENE 30-1-26'!$A$1:$J$10000,10,FALSE)</f>
        <v>1154</v>
      </c>
    </row>
    <row r="245" spans="1:2" x14ac:dyDescent="0.25">
      <c r="A245" s="16">
        <v>680</v>
      </c>
      <c r="B245">
        <f>VLOOKUP(A245,'Inventario ENE 30-1-26'!$A$1:$J$10000,10,FALSE)</f>
        <v>1091</v>
      </c>
    </row>
    <row r="246" spans="1:2" x14ac:dyDescent="0.25">
      <c r="A246" s="16">
        <v>683</v>
      </c>
      <c r="B246">
        <f>VLOOKUP(A246,'Inventario ENE 30-1-26'!$A$1:$J$10000,10,FALSE)</f>
        <v>1212</v>
      </c>
    </row>
    <row r="247" spans="1:2" x14ac:dyDescent="0.25">
      <c r="A247" s="16">
        <v>684</v>
      </c>
      <c r="B247">
        <f>VLOOKUP(A247,'Inventario ENE 30-1-26'!$A$1:$J$10000,10,FALSE)</f>
        <v>1212</v>
      </c>
    </row>
    <row r="248" spans="1:2" x14ac:dyDescent="0.25">
      <c r="A248" s="16">
        <v>688</v>
      </c>
      <c r="B248">
        <f>VLOOKUP(A248,'Inventario ENE 30-1-26'!$A$1:$J$10000,10,FALSE)</f>
        <v>532</v>
      </c>
    </row>
    <row r="249" spans="1:2" x14ac:dyDescent="0.25">
      <c r="A249" s="16">
        <v>693</v>
      </c>
      <c r="B249">
        <f>VLOOKUP(A249,'Inventario ENE 30-1-26'!$A$1:$J$10000,10,FALSE)</f>
        <v>1091</v>
      </c>
    </row>
    <row r="250" spans="1:2" x14ac:dyDescent="0.25">
      <c r="A250" s="16">
        <v>695</v>
      </c>
      <c r="B250">
        <f>VLOOKUP(A250,'Inventario ENE 30-1-26'!$A$1:$J$10000,10,FALSE)</f>
        <v>309.5</v>
      </c>
    </row>
    <row r="251" spans="1:2" x14ac:dyDescent="0.25">
      <c r="A251" s="16">
        <v>698</v>
      </c>
      <c r="B251">
        <f>VLOOKUP(A251,'Inventario ENE 30-1-26'!$A$1:$J$10000,10,FALSE)</f>
        <v>0</v>
      </c>
    </row>
    <row r="252" spans="1:2" x14ac:dyDescent="0.25">
      <c r="A252" s="16">
        <v>701</v>
      </c>
      <c r="B252">
        <f>VLOOKUP(A252,'Inventario ENE 30-1-26'!$A$1:$J$10000,10,FALSE)</f>
        <v>629</v>
      </c>
    </row>
    <row r="253" spans="1:2" x14ac:dyDescent="0.25">
      <c r="A253" s="16">
        <v>711</v>
      </c>
      <c r="B253">
        <f>VLOOKUP(A253,'Inventario ENE 30-1-26'!$A$1:$J$10000,10,FALSE)</f>
        <v>1154</v>
      </c>
    </row>
    <row r="254" spans="1:2" x14ac:dyDescent="0.25">
      <c r="A254" s="16">
        <v>712</v>
      </c>
      <c r="B254">
        <f>VLOOKUP(A254,'Inventario ENE 30-1-26'!$A$1:$J$10000,10,FALSE)</f>
        <v>309.5</v>
      </c>
    </row>
    <row r="255" spans="1:2" x14ac:dyDescent="0.25">
      <c r="A255" s="16">
        <v>714</v>
      </c>
      <c r="B255">
        <f>VLOOKUP(A255,'Inventario ENE 30-1-26'!$A$1:$J$10000,10,FALSE)</f>
        <v>1202.5</v>
      </c>
    </row>
    <row r="256" spans="1:2" x14ac:dyDescent="0.25">
      <c r="A256" s="16">
        <v>719</v>
      </c>
      <c r="B256">
        <f>VLOOKUP(A256,'Inventario ENE 30-1-26'!$A$1:$J$10000,10,FALSE)</f>
        <v>1154</v>
      </c>
    </row>
    <row r="257" spans="1:2" x14ac:dyDescent="0.25">
      <c r="A257" s="16">
        <v>721</v>
      </c>
      <c r="B257">
        <f>VLOOKUP(A257,'Inventario ENE 30-1-26'!$A$1:$J$10000,10,FALSE)</f>
        <v>1212</v>
      </c>
    </row>
    <row r="258" spans="1:2" x14ac:dyDescent="0.25">
      <c r="A258" s="16">
        <v>722</v>
      </c>
      <c r="B258">
        <f>VLOOKUP(A258,'Inventario ENE 30-1-26'!$A$1:$J$10000,10,FALSE)</f>
        <v>461</v>
      </c>
    </row>
    <row r="259" spans="1:2" x14ac:dyDescent="0.25">
      <c r="A259" s="16">
        <v>724</v>
      </c>
      <c r="B259">
        <f>VLOOKUP(A259,'Inventario ENE 30-1-26'!$A$1:$J$10000,10,FALSE)</f>
        <v>461</v>
      </c>
    </row>
    <row r="260" spans="1:2" x14ac:dyDescent="0.25">
      <c r="A260" s="16">
        <v>727</v>
      </c>
      <c r="B260">
        <f>VLOOKUP(A260,'Inventario ENE 30-1-26'!$A$1:$J$10000,10,FALSE)</f>
        <v>309.5</v>
      </c>
    </row>
    <row r="261" spans="1:2" x14ac:dyDescent="0.25">
      <c r="A261" s="16">
        <v>732</v>
      </c>
      <c r="B261">
        <f>VLOOKUP(A261,'Inventario ENE 30-1-26'!$A$1:$J$10000,10,FALSE)</f>
        <v>309.5</v>
      </c>
    </row>
    <row r="262" spans="1:2" x14ac:dyDescent="0.25">
      <c r="A262" s="16">
        <v>735</v>
      </c>
      <c r="B262">
        <f>VLOOKUP(A262,'Inventario ENE 30-1-26'!$A$1:$J$10000,10,FALSE)</f>
        <v>1202.5</v>
      </c>
    </row>
    <row r="263" spans="1:2" x14ac:dyDescent="0.25">
      <c r="A263" s="16">
        <v>738</v>
      </c>
      <c r="B263">
        <f>VLOOKUP(A263,'Inventario ENE 30-1-26'!$A$1:$J$10000,10,FALSE)</f>
        <v>1091</v>
      </c>
    </row>
    <row r="264" spans="1:2" x14ac:dyDescent="0.25">
      <c r="A264" s="16">
        <v>743</v>
      </c>
      <c r="B264">
        <f>VLOOKUP(A264,'Inventario ENE 30-1-26'!$A$1:$J$10000,10,FALSE)</f>
        <v>629</v>
      </c>
    </row>
    <row r="265" spans="1:2" x14ac:dyDescent="0.25">
      <c r="A265" s="16">
        <v>746</v>
      </c>
      <c r="B265">
        <f>VLOOKUP(A265,'Inventario ENE 30-1-26'!$A$1:$J$10000,10,FALSE)</f>
        <v>512</v>
      </c>
    </row>
    <row r="266" spans="1:2" x14ac:dyDescent="0.25">
      <c r="A266" s="16">
        <v>748</v>
      </c>
      <c r="B266">
        <f>VLOOKUP(A266,'Inventario ENE 30-1-26'!$A$1:$J$10000,10,FALSE)</f>
        <v>309.5</v>
      </c>
    </row>
    <row r="267" spans="1:2" x14ac:dyDescent="0.25">
      <c r="A267" s="16">
        <v>750</v>
      </c>
      <c r="B267">
        <f>VLOOKUP(A267,'Inventario ENE 30-1-26'!$A$1:$J$10000,10,FALSE)</f>
        <v>309.5</v>
      </c>
    </row>
    <row r="268" spans="1:2" x14ac:dyDescent="0.25">
      <c r="A268" s="16">
        <v>752</v>
      </c>
      <c r="B268">
        <f>VLOOKUP(A268,'Inventario ENE 30-1-26'!$A$1:$J$10000,10,FALSE)</f>
        <v>1212</v>
      </c>
    </row>
    <row r="269" spans="1:2" x14ac:dyDescent="0.25">
      <c r="A269" s="16">
        <v>753</v>
      </c>
      <c r="B269">
        <f>VLOOKUP(A269,'Inventario ENE 30-1-26'!$A$1:$J$10000,10,FALSE)</f>
        <v>309.5</v>
      </c>
    </row>
    <row r="270" spans="1:2" x14ac:dyDescent="0.25">
      <c r="A270" s="16">
        <v>757</v>
      </c>
      <c r="B270">
        <f>VLOOKUP(A270,'Inventario ENE 30-1-26'!$A$1:$J$10000,10,FALSE)</f>
        <v>1212</v>
      </c>
    </row>
    <row r="271" spans="1:2" x14ac:dyDescent="0.25">
      <c r="A271" s="16">
        <v>760</v>
      </c>
      <c r="B271">
        <f>VLOOKUP(A271,'Inventario ENE 30-1-26'!$A$1:$J$10000,10,FALSE)</f>
        <v>532</v>
      </c>
    </row>
    <row r="272" spans="1:2" x14ac:dyDescent="0.25">
      <c r="A272" s="16">
        <v>761</v>
      </c>
      <c r="B272">
        <f>VLOOKUP(A272,'Inventario ENE 30-1-26'!$A$1:$J$10000,10,FALSE)</f>
        <v>1091</v>
      </c>
    </row>
    <row r="273" spans="1:2" x14ac:dyDescent="0.25">
      <c r="A273" s="16">
        <v>762</v>
      </c>
      <c r="B273">
        <f>VLOOKUP(A273,'Inventario ENE 30-1-26'!$A$1:$J$10000,10,FALSE)</f>
        <v>1091</v>
      </c>
    </row>
    <row r="274" spans="1:2" x14ac:dyDescent="0.25">
      <c r="A274" s="16">
        <v>763</v>
      </c>
      <c r="B274">
        <f>VLOOKUP(A274,'Inventario ENE 30-1-26'!$A$1:$J$10000,10,FALSE)</f>
        <v>0</v>
      </c>
    </row>
    <row r="275" spans="1:2" x14ac:dyDescent="0.25">
      <c r="A275" s="16">
        <v>764</v>
      </c>
      <c r="B275">
        <f>VLOOKUP(A275,'Inventario ENE 30-1-26'!$A$1:$J$10000,10,FALSE)</f>
        <v>309.5</v>
      </c>
    </row>
    <row r="276" spans="1:2" x14ac:dyDescent="0.25">
      <c r="A276" s="16">
        <v>774</v>
      </c>
      <c r="B276">
        <f>VLOOKUP(A276,'Inventario ENE 30-1-26'!$A$1:$J$10000,10,FALSE)</f>
        <v>0</v>
      </c>
    </row>
    <row r="277" spans="1:2" x14ac:dyDescent="0.25">
      <c r="A277" s="16">
        <v>775</v>
      </c>
      <c r="B277">
        <f>VLOOKUP(A277,'Inventario ENE 30-1-26'!$A$1:$J$10000,10,FALSE)</f>
        <v>309.5</v>
      </c>
    </row>
    <row r="278" spans="1:2" x14ac:dyDescent="0.25">
      <c r="A278" s="62">
        <v>776</v>
      </c>
      <c r="B278">
        <f>VLOOKUP(A278,'Inventario ENE 30-1-26'!$A$1:$J$10000,10,FALSE)</f>
        <v>1212</v>
      </c>
    </row>
    <row r="279" spans="1:2" x14ac:dyDescent="0.25">
      <c r="A279" s="16">
        <v>780</v>
      </c>
      <c r="B279">
        <f>VLOOKUP(A279,'Inventario ENE 30-1-26'!$A$1:$J$10000,10,FALSE)</f>
        <v>1154</v>
      </c>
    </row>
    <row r="280" spans="1:2" x14ac:dyDescent="0.25">
      <c r="A280" s="16">
        <v>786</v>
      </c>
      <c r="B280">
        <f>VLOOKUP(A280,'Inventario ENE 30-1-26'!$A$1:$J$10000,10,FALSE)</f>
        <v>1212</v>
      </c>
    </row>
    <row r="281" spans="1:2" x14ac:dyDescent="0.25">
      <c r="A281" s="16">
        <v>795</v>
      </c>
      <c r="B281">
        <f>VLOOKUP(A281,'Inventario ENE 30-1-26'!$A$1:$J$10000,10,FALSE)</f>
        <v>309.5</v>
      </c>
    </row>
    <row r="282" spans="1:2" x14ac:dyDescent="0.25">
      <c r="A282" s="16">
        <v>796</v>
      </c>
      <c r="B282">
        <f>VLOOKUP(A282,'Inventario ENE 30-1-26'!$A$1:$J$10000,10,FALSE)</f>
        <v>309.5</v>
      </c>
    </row>
    <row r="283" spans="1:2" x14ac:dyDescent="0.25">
      <c r="A283" s="16">
        <v>805</v>
      </c>
      <c r="B283">
        <f>VLOOKUP(A283,'Inventario ENE 30-1-26'!$A$1:$J$10000,10,FALSE)</f>
        <v>822</v>
      </c>
    </row>
    <row r="284" spans="1:2" x14ac:dyDescent="0.25">
      <c r="A284" s="16">
        <v>825</v>
      </c>
      <c r="B284">
        <f>VLOOKUP(A284,'Inventario ENE 30-1-26'!$A$1:$J$10000,10,FALSE)</f>
        <v>309.5</v>
      </c>
    </row>
    <row r="285" spans="1:2" x14ac:dyDescent="0.25">
      <c r="A285" s="16">
        <v>832</v>
      </c>
      <c r="B285">
        <f>VLOOKUP(A285,'Inventario ENE 30-1-26'!$A$1:$J$10000,10,FALSE)</f>
        <v>309.5</v>
      </c>
    </row>
    <row r="286" spans="1:2" x14ac:dyDescent="0.25">
      <c r="A286" s="16">
        <v>833</v>
      </c>
      <c r="B286">
        <f>VLOOKUP(A286,'Inventario ENE 30-1-26'!$A$1:$J$10000,10,FALSE)</f>
        <v>822</v>
      </c>
    </row>
    <row r="287" spans="1:2" x14ac:dyDescent="0.25">
      <c r="A287" s="16">
        <v>840</v>
      </c>
      <c r="B287">
        <f>VLOOKUP(A287,'Inventario ENE 30-1-26'!$A$1:$J$10000,10,FALSE)</f>
        <v>1091</v>
      </c>
    </row>
    <row r="288" spans="1:2" x14ac:dyDescent="0.25">
      <c r="A288" s="16">
        <v>844</v>
      </c>
      <c r="B288">
        <f>VLOOKUP(A288,'Inventario ENE 30-1-26'!$A$1:$J$10000,10,FALSE)</f>
        <v>309.5</v>
      </c>
    </row>
    <row r="289" spans="1:2" x14ac:dyDescent="0.25">
      <c r="A289" s="16">
        <v>846</v>
      </c>
      <c r="B289">
        <f>VLOOKUP(A289,'Inventario ENE 30-1-26'!$A$1:$J$10000,10,FALSE)</f>
        <v>1212</v>
      </c>
    </row>
    <row r="290" spans="1:2" x14ac:dyDescent="0.25">
      <c r="A290" s="16">
        <v>847</v>
      </c>
      <c r="B290">
        <f>VLOOKUP(A290,'Inventario ENE 30-1-26'!$A$1:$J$10000,10,FALSE)</f>
        <v>309.5</v>
      </c>
    </row>
    <row r="291" spans="1:2" x14ac:dyDescent="0.25">
      <c r="A291" s="16">
        <v>848</v>
      </c>
      <c r="B291">
        <f>VLOOKUP(A291,'Inventario ENE 30-1-26'!$A$1:$J$10000,10,FALSE)</f>
        <v>1212</v>
      </c>
    </row>
    <row r="292" spans="1:2" x14ac:dyDescent="0.25">
      <c r="A292" s="16">
        <v>849</v>
      </c>
      <c r="B292">
        <f>VLOOKUP(A292,'Inventario ENE 30-1-26'!$A$1:$J$10000,10,FALSE)</f>
        <v>1212</v>
      </c>
    </row>
    <row r="293" spans="1:2" x14ac:dyDescent="0.25">
      <c r="A293" s="16">
        <v>851</v>
      </c>
      <c r="B293">
        <f>VLOOKUP(A293,'Inventario ENE 30-1-26'!$A$1:$J$10000,10,FALSE)</f>
        <v>309.5</v>
      </c>
    </row>
    <row r="294" spans="1:2" x14ac:dyDescent="0.25">
      <c r="A294" s="16">
        <v>852</v>
      </c>
      <c r="B294">
        <f>VLOOKUP(A294,'Inventario ENE 30-1-26'!$A$1:$J$10000,10,FALSE)</f>
        <v>309.5</v>
      </c>
    </row>
    <row r="295" spans="1:2" x14ac:dyDescent="0.25">
      <c r="A295" s="16">
        <v>853</v>
      </c>
      <c r="B295">
        <f>VLOOKUP(A295,'Inventario ENE 30-1-26'!$A$1:$J$10000,10,FALSE)</f>
        <v>532</v>
      </c>
    </row>
    <row r="296" spans="1:2" x14ac:dyDescent="0.25">
      <c r="A296" s="16">
        <v>863</v>
      </c>
      <c r="B296">
        <f>VLOOKUP(A296,'Inventario ENE 30-1-26'!$A$1:$J$10000,10,FALSE)</f>
        <v>309.5</v>
      </c>
    </row>
    <row r="297" spans="1:2" x14ac:dyDescent="0.25">
      <c r="A297" s="16">
        <v>866</v>
      </c>
      <c r="B297">
        <f>VLOOKUP(A297,'Inventario ENE 30-1-26'!$A$1:$J$10000,10,FALSE)</f>
        <v>1212</v>
      </c>
    </row>
    <row r="298" spans="1:2" x14ac:dyDescent="0.25">
      <c r="A298" s="16">
        <v>868</v>
      </c>
      <c r="B298">
        <f>VLOOKUP(A298,'Inventario ENE 30-1-26'!$A$1:$J$10000,10,FALSE)</f>
        <v>992.5</v>
      </c>
    </row>
    <row r="299" spans="1:2" x14ac:dyDescent="0.25">
      <c r="A299" s="16">
        <v>869</v>
      </c>
      <c r="B299">
        <f>VLOOKUP(A299,'Inventario ENE 30-1-26'!$A$1:$J$10000,10,FALSE)</f>
        <v>532</v>
      </c>
    </row>
    <row r="300" spans="1:2" x14ac:dyDescent="0.25">
      <c r="A300" s="16">
        <v>871</v>
      </c>
      <c r="B300">
        <f>VLOOKUP(A300,'Inventario ENE 30-1-26'!$A$1:$J$10000,10,FALSE)</f>
        <v>1202.5</v>
      </c>
    </row>
    <row r="301" spans="1:2" x14ac:dyDescent="0.25">
      <c r="A301" s="16">
        <v>872</v>
      </c>
      <c r="B301">
        <f>VLOOKUP(A301,'Inventario ENE 30-1-26'!$A$1:$J$10000,10,FALSE)</f>
        <v>461</v>
      </c>
    </row>
    <row r="302" spans="1:2" x14ac:dyDescent="0.25">
      <c r="A302" s="16">
        <v>873</v>
      </c>
      <c r="B302">
        <f>VLOOKUP(A302,'Inventario ENE 30-1-26'!$A$1:$J$10000,10,FALSE)</f>
        <v>309.5</v>
      </c>
    </row>
    <row r="303" spans="1:2" x14ac:dyDescent="0.25">
      <c r="A303" s="16">
        <v>876</v>
      </c>
      <c r="B303">
        <f>VLOOKUP(A303,'Inventario ENE 30-1-26'!$A$1:$J$10000,10,FALSE)</f>
        <v>309.5</v>
      </c>
    </row>
    <row r="304" spans="1:2" x14ac:dyDescent="0.25">
      <c r="A304" s="16">
        <v>884</v>
      </c>
      <c r="B304">
        <f>VLOOKUP(A304,'Inventario ENE 30-1-26'!$A$1:$J$10000,10,FALSE)</f>
        <v>461</v>
      </c>
    </row>
    <row r="305" spans="1:2" x14ac:dyDescent="0.25">
      <c r="A305" s="16">
        <v>894</v>
      </c>
      <c r="B305">
        <f>VLOOKUP(A305,'Inventario ENE 30-1-26'!$A$1:$J$10000,10,FALSE)</f>
        <v>309.5</v>
      </c>
    </row>
    <row r="306" spans="1:2" x14ac:dyDescent="0.25">
      <c r="A306" s="16">
        <v>897</v>
      </c>
      <c r="B306">
        <f>VLOOKUP(A306,'Inventario ENE 30-1-26'!$A$1:$J$10000,10,FALSE)</f>
        <v>0</v>
      </c>
    </row>
    <row r="307" spans="1:2" x14ac:dyDescent="0.25">
      <c r="A307" s="16">
        <v>899</v>
      </c>
      <c r="B307">
        <f>VLOOKUP(A307,'Inventario ENE 30-1-26'!$A$1:$J$10000,10,FALSE)</f>
        <v>309.5</v>
      </c>
    </row>
    <row r="308" spans="1:2" x14ac:dyDescent="0.25">
      <c r="A308" s="16">
        <v>910</v>
      </c>
      <c r="B308">
        <f>VLOOKUP(A308,'Inventario ENE 30-1-26'!$A$1:$J$10000,10,FALSE)</f>
        <v>309.5</v>
      </c>
    </row>
    <row r="309" spans="1:2" x14ac:dyDescent="0.25">
      <c r="A309" s="16">
        <v>915</v>
      </c>
      <c r="B309">
        <f>VLOOKUP(A309,'Inventario ENE 30-1-26'!$A$1:$J$10000,10,FALSE)</f>
        <v>309.5</v>
      </c>
    </row>
    <row r="310" spans="1:2" x14ac:dyDescent="0.25">
      <c r="A310" s="16">
        <v>919</v>
      </c>
      <c r="B310">
        <f>VLOOKUP(A310,'Inventario ENE 30-1-26'!$A$1:$J$10000,10,FALSE)</f>
        <v>1289</v>
      </c>
    </row>
    <row r="311" spans="1:2" x14ac:dyDescent="0.25">
      <c r="A311" s="16">
        <v>920</v>
      </c>
      <c r="B311">
        <f>VLOOKUP(A311,'Inventario ENE 30-1-26'!$A$1:$J$10000,10,FALSE)</f>
        <v>1154</v>
      </c>
    </row>
    <row r="312" spans="1:2" x14ac:dyDescent="0.25">
      <c r="A312" s="16">
        <v>923</v>
      </c>
      <c r="B312">
        <f>VLOOKUP(A312,'Inventario ENE 30-1-26'!$A$1:$J$10000,10,FALSE)</f>
        <v>1154</v>
      </c>
    </row>
    <row r="313" spans="1:2" x14ac:dyDescent="0.25">
      <c r="A313" s="16">
        <v>925</v>
      </c>
      <c r="B313">
        <f>VLOOKUP(A313,'Inventario ENE 30-1-26'!$A$1:$J$10000,10,FALSE)</f>
        <v>1202.5</v>
      </c>
    </row>
    <row r="314" spans="1:2" x14ac:dyDescent="0.25">
      <c r="A314" s="16">
        <v>930</v>
      </c>
      <c r="B314">
        <f>VLOOKUP(A314,'Inventario ENE 30-1-26'!$A$1:$J$10000,10,FALSE)</f>
        <v>461</v>
      </c>
    </row>
    <row r="315" spans="1:2" x14ac:dyDescent="0.25">
      <c r="A315" s="16">
        <v>931</v>
      </c>
      <c r="B315">
        <f>VLOOKUP(A315,'Inventario ENE 30-1-26'!$A$1:$J$10000,10,FALSE)</f>
        <v>241.5</v>
      </c>
    </row>
    <row r="316" spans="1:2" x14ac:dyDescent="0.25">
      <c r="A316" s="16">
        <v>932</v>
      </c>
      <c r="B316">
        <f>VLOOKUP(A316,'Inventario ENE 30-1-26'!$A$1:$J$10000,10,FALSE)</f>
        <v>309.5</v>
      </c>
    </row>
    <row r="317" spans="1:2" x14ac:dyDescent="0.25">
      <c r="A317" s="16">
        <v>934</v>
      </c>
      <c r="B317">
        <f>VLOOKUP(A317,'Inventario ENE 30-1-26'!$A$1:$J$10000,10,FALSE)</f>
        <v>1091</v>
      </c>
    </row>
    <row r="318" spans="1:2" x14ac:dyDescent="0.25">
      <c r="A318" s="16">
        <v>935</v>
      </c>
      <c r="B318">
        <f>VLOOKUP(A318,'Inventario ENE 30-1-26'!$A$1:$J$10000,10,FALSE)</f>
        <v>461</v>
      </c>
    </row>
    <row r="319" spans="1:2" x14ac:dyDescent="0.25">
      <c r="A319" s="16">
        <v>936</v>
      </c>
      <c r="B319">
        <f>VLOOKUP(A319,'Inventario ENE 30-1-26'!$A$1:$J$10000,10,FALSE)</f>
        <v>0</v>
      </c>
    </row>
    <row r="320" spans="1:2" x14ac:dyDescent="0.25">
      <c r="A320" s="16">
        <v>938</v>
      </c>
      <c r="B320">
        <f>VLOOKUP(A320,'Inventario ENE 30-1-26'!$A$1:$J$10000,10,FALSE)</f>
        <v>309.5</v>
      </c>
    </row>
    <row r="321" spans="1:2" x14ac:dyDescent="0.25">
      <c r="A321" s="16">
        <v>945</v>
      </c>
      <c r="B321">
        <f>VLOOKUP(A321,'Inventario ENE 30-1-26'!$A$1:$J$10000,10,FALSE)</f>
        <v>309.5</v>
      </c>
    </row>
    <row r="322" spans="1:2" x14ac:dyDescent="0.25">
      <c r="A322" s="16">
        <v>949</v>
      </c>
      <c r="B322">
        <f>VLOOKUP(A322,'Inventario ENE 30-1-26'!$A$1:$J$10000,10,FALSE)</f>
        <v>1212</v>
      </c>
    </row>
    <row r="323" spans="1:2" x14ac:dyDescent="0.25">
      <c r="A323" s="16">
        <v>950</v>
      </c>
      <c r="B323">
        <f>VLOOKUP(A323,'Inventario ENE 30-1-26'!$A$1:$J$10000,10,FALSE)</f>
        <v>1154</v>
      </c>
    </row>
    <row r="324" spans="1:2" x14ac:dyDescent="0.25">
      <c r="A324" s="16">
        <v>954</v>
      </c>
      <c r="B324">
        <f>VLOOKUP(A324,'Inventario ENE 30-1-26'!$A$1:$J$10000,10,FALSE)</f>
        <v>309.5</v>
      </c>
    </row>
    <row r="325" spans="1:2" x14ac:dyDescent="0.25">
      <c r="A325" s="16">
        <v>955</v>
      </c>
      <c r="B325">
        <f>VLOOKUP(A325,'Inventario ENE 30-1-26'!$A$1:$J$10000,10,FALSE)</f>
        <v>1212</v>
      </c>
    </row>
    <row r="326" spans="1:2" x14ac:dyDescent="0.25">
      <c r="A326" s="16">
        <v>964</v>
      </c>
      <c r="B326">
        <f>VLOOKUP(A326,'Inventario ENE 30-1-26'!$A$1:$J$10000,10,FALSE)</f>
        <v>532</v>
      </c>
    </row>
    <row r="327" spans="1:2" x14ac:dyDescent="0.25">
      <c r="A327" s="16">
        <v>965</v>
      </c>
      <c r="B327">
        <f>VLOOKUP(A327,'Inventario ENE 30-1-26'!$A$1:$J$10000,10,FALSE)</f>
        <v>1154</v>
      </c>
    </row>
    <row r="328" spans="1:2" x14ac:dyDescent="0.25">
      <c r="A328" s="16">
        <v>972</v>
      </c>
      <c r="B328">
        <f>VLOOKUP(A328,'Inventario ENE 30-1-26'!$A$1:$J$10000,10,FALSE)</f>
        <v>1212</v>
      </c>
    </row>
    <row r="329" spans="1:2" x14ac:dyDescent="0.25">
      <c r="A329" s="16">
        <v>979</v>
      </c>
      <c r="B329">
        <f>VLOOKUP(A329,'Inventario ENE 30-1-26'!$A$1:$J$10000,10,FALSE)</f>
        <v>309.5</v>
      </c>
    </row>
    <row r="330" spans="1:2" x14ac:dyDescent="0.25">
      <c r="A330" s="16">
        <v>997</v>
      </c>
      <c r="B330">
        <f>VLOOKUP(A330,'Inventario ENE 30-1-26'!$A$1:$J$10000,10,FALSE)</f>
        <v>0</v>
      </c>
    </row>
    <row r="331" spans="1:2" x14ac:dyDescent="0.25">
      <c r="A331" s="16">
        <v>1002</v>
      </c>
      <c r="B331">
        <f>VLOOKUP(A331,'Inventario ENE 30-1-26'!$A$1:$J$10000,10,FALSE)</f>
        <v>461</v>
      </c>
    </row>
    <row r="332" spans="1:2" x14ac:dyDescent="0.25">
      <c r="A332" s="16">
        <v>1003</v>
      </c>
      <c r="B332">
        <f>VLOOKUP(A332,'Inventario ENE 30-1-26'!$A$1:$J$10000,10,FALSE)</f>
        <v>309.5</v>
      </c>
    </row>
    <row r="333" spans="1:2" x14ac:dyDescent="0.25">
      <c r="A333" s="16">
        <v>1004</v>
      </c>
      <c r="B333">
        <f>VLOOKUP(A333,'Inventario ENE 30-1-26'!$A$1:$J$10000,10,FALSE)</f>
        <v>309.5</v>
      </c>
    </row>
    <row r="334" spans="1:2" x14ac:dyDescent="0.25">
      <c r="A334" s="16">
        <v>1007</v>
      </c>
      <c r="B334">
        <f>VLOOKUP(A334,'Inventario ENE 30-1-26'!$A$1:$J$10000,10,FALSE)</f>
        <v>1154</v>
      </c>
    </row>
    <row r="335" spans="1:2" x14ac:dyDescent="0.25">
      <c r="A335" s="16">
        <v>1013</v>
      </c>
      <c r="B335">
        <f>VLOOKUP(A335,'Inventario ENE 30-1-26'!$A$1:$J$10000,10,FALSE)</f>
        <v>629</v>
      </c>
    </row>
    <row r="336" spans="1:2" x14ac:dyDescent="0.25">
      <c r="A336" s="16">
        <v>1030</v>
      </c>
      <c r="B336">
        <f>VLOOKUP(A336,'Inventario ENE 30-1-26'!$A$1:$J$10000,10,FALSE)</f>
        <v>1202.5</v>
      </c>
    </row>
    <row r="337" spans="1:2" x14ac:dyDescent="0.25">
      <c r="A337" s="16">
        <v>1031</v>
      </c>
      <c r="B337">
        <f>VLOOKUP(A337,'Inventario ENE 30-1-26'!$A$1:$J$10000,10,FALSE)</f>
        <v>461</v>
      </c>
    </row>
    <row r="338" spans="1:2" x14ac:dyDescent="0.25">
      <c r="A338" s="16">
        <v>1035</v>
      </c>
      <c r="B338">
        <f>VLOOKUP(A338,'Inventario ENE 30-1-26'!$A$1:$J$10000,10,FALSE)</f>
        <v>309.5</v>
      </c>
    </row>
    <row r="339" spans="1:2" x14ac:dyDescent="0.25">
      <c r="A339" s="16">
        <v>1042</v>
      </c>
      <c r="B339">
        <f>VLOOKUP(A339,'Inventario ENE 30-1-26'!$A$1:$J$10000,10,FALSE)</f>
        <v>1212</v>
      </c>
    </row>
    <row r="340" spans="1:2" x14ac:dyDescent="0.25">
      <c r="A340" s="16">
        <v>1049</v>
      </c>
      <c r="B340">
        <f>VLOOKUP(A340,'Inventario ENE 30-1-26'!$A$1:$J$10000,10,FALSE)</f>
        <v>1154</v>
      </c>
    </row>
    <row r="341" spans="1:2" x14ac:dyDescent="0.25">
      <c r="A341" s="16">
        <v>1051</v>
      </c>
      <c r="B341">
        <f>VLOOKUP(A341,'Inventario ENE 30-1-26'!$A$1:$J$10000,10,FALSE)</f>
        <v>309.5</v>
      </c>
    </row>
    <row r="342" spans="1:2" x14ac:dyDescent="0.25">
      <c r="A342" s="16">
        <v>1053</v>
      </c>
      <c r="B342">
        <f>VLOOKUP(A342,'Inventario ENE 30-1-26'!$A$1:$J$10000,10,FALSE)</f>
        <v>1154</v>
      </c>
    </row>
    <row r="343" spans="1:2" x14ac:dyDescent="0.25">
      <c r="A343" s="16">
        <v>1056</v>
      </c>
      <c r="B343">
        <f>VLOOKUP(A343,'Inventario ENE 30-1-26'!$A$1:$J$10000,10,FALSE)</f>
        <v>1154</v>
      </c>
    </row>
    <row r="344" spans="1:2" x14ac:dyDescent="0.25">
      <c r="A344" s="16">
        <v>1059</v>
      </c>
      <c r="B344">
        <f>VLOOKUP(A344,'Inventario ENE 30-1-26'!$A$1:$J$10000,10,FALSE)</f>
        <v>461</v>
      </c>
    </row>
    <row r="345" spans="1:2" x14ac:dyDescent="0.25">
      <c r="A345" s="16">
        <v>1063</v>
      </c>
      <c r="B345">
        <f>VLOOKUP(A345,'Inventario ENE 30-1-26'!$A$1:$J$10000,10,FALSE)</f>
        <v>461</v>
      </c>
    </row>
    <row r="346" spans="1:2" x14ac:dyDescent="0.25">
      <c r="A346" s="16">
        <v>1064</v>
      </c>
      <c r="B346">
        <f>VLOOKUP(A346,'Inventario ENE 30-1-26'!$A$1:$J$10000,10,FALSE)</f>
        <v>1154</v>
      </c>
    </row>
    <row r="347" spans="1:2" x14ac:dyDescent="0.25">
      <c r="A347" s="16">
        <v>1101</v>
      </c>
      <c r="B347">
        <f>VLOOKUP(A347,'Inventario ENE 30-1-26'!$A$1:$J$10000,10,FALSE)</f>
        <v>1091</v>
      </c>
    </row>
    <row r="348" spans="1:2" x14ac:dyDescent="0.25">
      <c r="A348" s="16">
        <v>1111</v>
      </c>
      <c r="B348">
        <f>VLOOKUP(A348,'Inventario ENE 30-1-26'!$A$1:$J$10000,10,FALSE)</f>
        <v>629</v>
      </c>
    </row>
    <row r="349" spans="1:2" x14ac:dyDescent="0.25">
      <c r="A349" s="16">
        <v>1112</v>
      </c>
      <c r="B349">
        <f>VLOOKUP(A349,'Inventario ENE 30-1-26'!$A$1:$J$10000,10,FALSE)</f>
        <v>461</v>
      </c>
    </row>
    <row r="350" spans="1:2" x14ac:dyDescent="0.25">
      <c r="A350" s="16">
        <v>1113</v>
      </c>
      <c r="B350">
        <f>VLOOKUP(A350,'Inventario ENE 30-1-26'!$A$1:$J$10000,10,FALSE)</f>
        <v>309.5</v>
      </c>
    </row>
    <row r="351" spans="1:2" x14ac:dyDescent="0.25">
      <c r="A351" s="16">
        <v>1114</v>
      </c>
      <c r="B351">
        <f>VLOOKUP(A351,'Inventario ENE 30-1-26'!$A$1:$J$10000,10,FALSE)</f>
        <v>629</v>
      </c>
    </row>
    <row r="352" spans="1:2" x14ac:dyDescent="0.25">
      <c r="A352" s="16">
        <v>1115</v>
      </c>
      <c r="B352">
        <f>VLOOKUP(A352,'Inventario ENE 30-1-26'!$A$1:$J$10000,10,FALSE)</f>
        <v>629</v>
      </c>
    </row>
    <row r="353" spans="1:2" x14ac:dyDescent="0.25">
      <c r="A353" s="16">
        <v>1118</v>
      </c>
      <c r="B353">
        <f>VLOOKUP(A353,'Inventario ENE 30-1-26'!$A$1:$J$10000,10,FALSE)</f>
        <v>309.5</v>
      </c>
    </row>
    <row r="354" spans="1:2" x14ac:dyDescent="0.25">
      <c r="A354" s="16">
        <v>1121</v>
      </c>
      <c r="B354">
        <f>VLOOKUP(A354,'Inventario ENE 30-1-26'!$A$1:$J$10000,10,FALSE)</f>
        <v>309.5</v>
      </c>
    </row>
    <row r="355" spans="1:2" x14ac:dyDescent="0.25">
      <c r="A355" s="16">
        <v>1124</v>
      </c>
      <c r="B355">
        <f>VLOOKUP(A355,'Inventario ENE 30-1-26'!$A$1:$J$10000,10,FALSE)</f>
        <v>461</v>
      </c>
    </row>
    <row r="356" spans="1:2" x14ac:dyDescent="0.25">
      <c r="A356" s="16">
        <v>1128</v>
      </c>
      <c r="B356">
        <f>VLOOKUP(A356,'Inventario ENE 30-1-26'!$A$1:$J$10000,10,FALSE)</f>
        <v>1154</v>
      </c>
    </row>
    <row r="357" spans="1:2" x14ac:dyDescent="0.25">
      <c r="A357" s="16">
        <v>1129</v>
      </c>
      <c r="B357">
        <f>VLOOKUP(A357,'Inventario ENE 30-1-26'!$A$1:$J$10000,10,FALSE)</f>
        <v>461</v>
      </c>
    </row>
    <row r="358" spans="1:2" x14ac:dyDescent="0.25">
      <c r="A358" s="16">
        <v>1132</v>
      </c>
      <c r="B358">
        <f>VLOOKUP(A358,'Inventario ENE 30-1-26'!$A$1:$J$10000,10,FALSE)</f>
        <v>1202.5</v>
      </c>
    </row>
    <row r="359" spans="1:2" x14ac:dyDescent="0.25">
      <c r="A359" s="16">
        <v>1136</v>
      </c>
      <c r="B359">
        <f>VLOOKUP(A359,'Inventario ENE 30-1-26'!$A$1:$J$10000,10,FALSE)</f>
        <v>532</v>
      </c>
    </row>
    <row r="360" spans="1:2" x14ac:dyDescent="0.25">
      <c r="A360" s="16">
        <v>1143</v>
      </c>
      <c r="B360">
        <f>VLOOKUP(A360,'Inventario ENE 30-1-26'!$A$1:$J$10000,10,FALSE)</f>
        <v>1154</v>
      </c>
    </row>
    <row r="361" spans="1:2" x14ac:dyDescent="0.25">
      <c r="A361" s="16">
        <v>1145</v>
      </c>
      <c r="B361">
        <f>VLOOKUP(A361,'Inventario ENE 30-1-26'!$A$1:$J$10000,10,FALSE)</f>
        <v>1212</v>
      </c>
    </row>
    <row r="362" spans="1:2" x14ac:dyDescent="0.25">
      <c r="A362" s="16">
        <v>1146</v>
      </c>
      <c r="B362">
        <f>VLOOKUP(A362,'Inventario ENE 30-1-26'!$A$1:$J$10000,10,FALSE)</f>
        <v>503</v>
      </c>
    </row>
    <row r="363" spans="1:2" x14ac:dyDescent="0.25">
      <c r="A363" s="16">
        <v>1147</v>
      </c>
      <c r="B363">
        <f>VLOOKUP(A363,'Inventario ENE 30-1-26'!$A$1:$J$10000,10,FALSE)</f>
        <v>309.5</v>
      </c>
    </row>
    <row r="364" spans="1:2" x14ac:dyDescent="0.25">
      <c r="A364" s="16">
        <v>1151</v>
      </c>
      <c r="B364">
        <f>VLOOKUP(A364,'Inventario ENE 30-1-26'!$A$1:$J$10000,10,FALSE)</f>
        <v>1091</v>
      </c>
    </row>
    <row r="365" spans="1:2" x14ac:dyDescent="0.25">
      <c r="A365" s="16">
        <v>1159</v>
      </c>
      <c r="B365">
        <f>VLOOKUP(A365,'Inventario ENE 30-1-26'!$A$1:$J$10000,10,FALSE)</f>
        <v>629</v>
      </c>
    </row>
    <row r="366" spans="1:2" x14ac:dyDescent="0.25">
      <c r="A366" s="16">
        <v>1162</v>
      </c>
      <c r="B366">
        <f>VLOOKUP(A366,'Inventario ENE 30-1-26'!$A$1:$J$10000,10,FALSE)</f>
        <v>1212</v>
      </c>
    </row>
    <row r="367" spans="1:2" x14ac:dyDescent="0.25">
      <c r="A367" s="16">
        <v>1165</v>
      </c>
      <c r="B367">
        <f>VLOOKUP(A367,'Inventario ENE 30-1-26'!$A$1:$J$10000,10,FALSE)</f>
        <v>309.5</v>
      </c>
    </row>
    <row r="368" spans="1:2" x14ac:dyDescent="0.25">
      <c r="A368" s="16">
        <v>1168</v>
      </c>
      <c r="B368">
        <f>VLOOKUP(A368,'Inventario ENE 30-1-26'!$A$1:$J$10000,10,FALSE)</f>
        <v>309.5</v>
      </c>
    </row>
    <row r="369" spans="1:2" x14ac:dyDescent="0.25">
      <c r="A369" s="16">
        <v>1169</v>
      </c>
      <c r="B369">
        <f>VLOOKUP(A369,'Inventario ENE 30-1-26'!$A$1:$J$10000,10,FALSE)</f>
        <v>503</v>
      </c>
    </row>
    <row r="370" spans="1:2" x14ac:dyDescent="0.25">
      <c r="A370" s="16">
        <v>1172</v>
      </c>
      <c r="B370">
        <f>VLOOKUP(A370,'Inventario ENE 30-1-26'!$A$1:$J$10000,10,FALSE)</f>
        <v>309.5</v>
      </c>
    </row>
    <row r="371" spans="1:2" x14ac:dyDescent="0.25">
      <c r="A371" s="16">
        <v>1176</v>
      </c>
      <c r="B371">
        <f>VLOOKUP(A371,'Inventario ENE 30-1-26'!$A$1:$J$10000,10,FALSE)</f>
        <v>461</v>
      </c>
    </row>
    <row r="372" spans="1:2" x14ac:dyDescent="0.25">
      <c r="A372" s="16">
        <v>1180</v>
      </c>
      <c r="B372">
        <f>VLOOKUP(A372,'Inventario ENE 30-1-26'!$A$1:$J$10000,10,FALSE)</f>
        <v>318.5</v>
      </c>
    </row>
    <row r="373" spans="1:2" x14ac:dyDescent="0.25">
      <c r="A373" s="16">
        <v>1182</v>
      </c>
      <c r="B373">
        <f>VLOOKUP(A373,'Inventario ENE 30-1-26'!$A$1:$J$10000,10,FALSE)</f>
        <v>309.5</v>
      </c>
    </row>
    <row r="374" spans="1:2" x14ac:dyDescent="0.25">
      <c r="A374" s="16">
        <v>1185</v>
      </c>
      <c r="B374">
        <f>VLOOKUP(A374,'Inventario ENE 30-1-26'!$A$1:$J$10000,10,FALSE)</f>
        <v>309.5</v>
      </c>
    </row>
    <row r="375" spans="1:2" x14ac:dyDescent="0.25">
      <c r="A375" s="16">
        <v>1186</v>
      </c>
      <c r="B375">
        <f>VLOOKUP(A375,'Inventario ENE 30-1-26'!$A$1:$J$10000,10,FALSE)</f>
        <v>1091</v>
      </c>
    </row>
    <row r="376" spans="1:2" x14ac:dyDescent="0.25">
      <c r="A376" s="16">
        <v>1189</v>
      </c>
      <c r="B376">
        <f>VLOOKUP(A376,'Inventario ENE 30-1-26'!$A$1:$J$10000,10,FALSE)</f>
        <v>309.5</v>
      </c>
    </row>
    <row r="377" spans="1:2" x14ac:dyDescent="0.25">
      <c r="A377" s="16">
        <v>1191</v>
      </c>
      <c r="B377">
        <f>VLOOKUP(A377,'Inventario ENE 30-1-26'!$A$1:$J$10000,10,FALSE)</f>
        <v>309.5</v>
      </c>
    </row>
    <row r="378" spans="1:2" x14ac:dyDescent="0.25">
      <c r="A378" s="16">
        <v>1193</v>
      </c>
      <c r="B378">
        <f>VLOOKUP(A378,'Inventario ENE 30-1-26'!$A$1:$J$10000,10,FALSE)</f>
        <v>309.5</v>
      </c>
    </row>
    <row r="379" spans="1:2" x14ac:dyDescent="0.25">
      <c r="A379" s="16">
        <v>1196</v>
      </c>
      <c r="B379">
        <f>VLOOKUP(A379,'Inventario ENE 30-1-26'!$A$1:$J$10000,10,FALSE)</f>
        <v>629</v>
      </c>
    </row>
    <row r="380" spans="1:2" x14ac:dyDescent="0.25">
      <c r="A380" s="16">
        <v>1198</v>
      </c>
      <c r="B380">
        <f>VLOOKUP(A380,'Inventario ENE 30-1-26'!$A$1:$J$10000,10,FALSE)</f>
        <v>309.5</v>
      </c>
    </row>
    <row r="381" spans="1:2" x14ac:dyDescent="0.25">
      <c r="A381" s="16">
        <v>1200</v>
      </c>
      <c r="B381">
        <f>VLOOKUP(A381,'Inventario ENE 30-1-26'!$A$1:$J$10000,10,FALSE)</f>
        <v>309.5</v>
      </c>
    </row>
    <row r="382" spans="1:2" x14ac:dyDescent="0.25">
      <c r="A382" s="16">
        <v>1204</v>
      </c>
      <c r="B382">
        <f>VLOOKUP(A382,'Inventario ENE 30-1-26'!$A$1:$J$10000,10,FALSE)</f>
        <v>532</v>
      </c>
    </row>
    <row r="383" spans="1:2" x14ac:dyDescent="0.25">
      <c r="A383" s="16">
        <v>1205</v>
      </c>
      <c r="B383">
        <f>VLOOKUP(A383,'Inventario ENE 30-1-26'!$A$1:$J$10000,10,FALSE)</f>
        <v>309.5</v>
      </c>
    </row>
    <row r="384" spans="1:2" x14ac:dyDescent="0.25">
      <c r="A384" s="16">
        <v>1206</v>
      </c>
      <c r="B384">
        <f>VLOOKUP(A384,'Inventario ENE 30-1-26'!$A$1:$J$10000,10,FALSE)</f>
        <v>1135</v>
      </c>
    </row>
    <row r="385" spans="1:2" x14ac:dyDescent="0.25">
      <c r="A385" s="16">
        <v>1207</v>
      </c>
      <c r="B385">
        <f>VLOOKUP(A385,'Inventario ENE 30-1-26'!$A$1:$J$10000,10,FALSE)</f>
        <v>309.5</v>
      </c>
    </row>
    <row r="386" spans="1:2" x14ac:dyDescent="0.25">
      <c r="A386" s="16">
        <v>1208</v>
      </c>
      <c r="B386">
        <f>VLOOKUP(A386,'Inventario ENE 30-1-26'!$A$1:$J$10000,10,FALSE)</f>
        <v>0</v>
      </c>
    </row>
    <row r="387" spans="1:2" x14ac:dyDescent="0.25">
      <c r="A387" s="16">
        <v>1209</v>
      </c>
      <c r="B387">
        <f>VLOOKUP(A387,'Inventario ENE 30-1-26'!$A$1:$J$10000,10,FALSE)</f>
        <v>0</v>
      </c>
    </row>
    <row r="388" spans="1:2" x14ac:dyDescent="0.25">
      <c r="A388" s="16">
        <v>1216</v>
      </c>
      <c r="B388">
        <f>VLOOKUP(A388,'Inventario ENE 30-1-26'!$A$1:$J$10000,10,FALSE)</f>
        <v>1243.5</v>
      </c>
    </row>
    <row r="389" spans="1:2" x14ac:dyDescent="0.25">
      <c r="A389" s="16">
        <v>1219</v>
      </c>
      <c r="B389">
        <f>VLOOKUP(A389,'Inventario ENE 30-1-26'!$A$1:$J$10000,10,FALSE)</f>
        <v>1243.5</v>
      </c>
    </row>
    <row r="390" spans="1:2" x14ac:dyDescent="0.25">
      <c r="A390" s="16">
        <v>1221</v>
      </c>
      <c r="B390">
        <f>VLOOKUP(A390,'Inventario ENE 30-1-26'!$A$1:$J$10000,10,FALSE)</f>
        <v>309.5</v>
      </c>
    </row>
    <row r="391" spans="1:2" x14ac:dyDescent="0.25">
      <c r="A391" s="16">
        <v>1222</v>
      </c>
      <c r="B391">
        <f>VLOOKUP(A391,'Inventario ENE 30-1-26'!$A$1:$J$10000,10,FALSE)</f>
        <v>309.5</v>
      </c>
    </row>
    <row r="392" spans="1:2" x14ac:dyDescent="0.25">
      <c r="A392" s="16">
        <v>1227</v>
      </c>
      <c r="B392">
        <f>VLOOKUP(A392,'Inventario ENE 30-1-26'!$A$1:$J$10000,10,FALSE)</f>
        <v>992.5</v>
      </c>
    </row>
    <row r="393" spans="1:2" x14ac:dyDescent="0.25">
      <c r="A393" s="16">
        <v>1231</v>
      </c>
      <c r="B393">
        <f>VLOOKUP(A393,'Inventario ENE 30-1-26'!$A$1:$J$10000,10,FALSE)</f>
        <v>309.5</v>
      </c>
    </row>
    <row r="394" spans="1:2" x14ac:dyDescent="0.25">
      <c r="A394" s="16">
        <v>1251</v>
      </c>
      <c r="B394">
        <f>VLOOKUP(A394,'Inventario ENE 30-1-26'!$A$1:$J$10000,10,FALSE)</f>
        <v>461</v>
      </c>
    </row>
    <row r="395" spans="1:2" x14ac:dyDescent="0.25">
      <c r="A395" s="16">
        <v>1253</v>
      </c>
      <c r="B395">
        <f>VLOOKUP(A395,'Inventario ENE 30-1-26'!$A$1:$J$10000,10,FALSE)</f>
        <v>1091</v>
      </c>
    </row>
    <row r="396" spans="1:2" x14ac:dyDescent="0.25">
      <c r="A396" s="16">
        <v>1254</v>
      </c>
      <c r="B396">
        <f>VLOOKUP(A396,'Inventario ENE 30-1-26'!$A$1:$J$10000,10,FALSE)</f>
        <v>629</v>
      </c>
    </row>
    <row r="397" spans="1:2" x14ac:dyDescent="0.25">
      <c r="A397" s="16">
        <v>1260</v>
      </c>
      <c r="B397">
        <f>VLOOKUP(A397,'Inventario ENE 30-1-26'!$A$1:$J$10000,10,FALSE)</f>
        <v>1212</v>
      </c>
    </row>
    <row r="398" spans="1:2" x14ac:dyDescent="0.25">
      <c r="A398" s="16">
        <v>1269</v>
      </c>
      <c r="B398">
        <f>VLOOKUP(A398,'Inventario ENE 30-1-26'!$A$1:$J$10000,10,FALSE)</f>
        <v>1212</v>
      </c>
    </row>
    <row r="399" spans="1:2" x14ac:dyDescent="0.25">
      <c r="A399" s="16">
        <v>1271</v>
      </c>
      <c r="B399">
        <f>VLOOKUP(A399,'Inventario ENE 30-1-26'!$A$1:$J$10000,10,FALSE)</f>
        <v>0</v>
      </c>
    </row>
    <row r="400" spans="1:2" x14ac:dyDescent="0.25">
      <c r="A400" s="16">
        <v>1279</v>
      </c>
      <c r="B400">
        <f>VLOOKUP(A400,'Inventario ENE 30-1-26'!$A$1:$J$10000,10,FALSE)</f>
        <v>1212</v>
      </c>
    </row>
    <row r="401" spans="1:2" x14ac:dyDescent="0.25">
      <c r="A401" s="16">
        <v>1284</v>
      </c>
      <c r="B401">
        <f>VLOOKUP(A401,'Inventario ENE 30-1-26'!$A$1:$J$10000,10,FALSE)</f>
        <v>992.5</v>
      </c>
    </row>
    <row r="402" spans="1:2" x14ac:dyDescent="0.25">
      <c r="A402" s="16">
        <v>1289</v>
      </c>
      <c r="B402">
        <f>VLOOKUP(A402,'Inventario ENE 30-1-26'!$A$1:$J$10000,10,FALSE)</f>
        <v>532</v>
      </c>
    </row>
    <row r="403" spans="1:2" x14ac:dyDescent="0.25">
      <c r="A403" s="16">
        <v>1298</v>
      </c>
      <c r="B403">
        <f>VLOOKUP(A403,'Inventario ENE 30-1-26'!$A$1:$J$10000,10,FALSE)</f>
        <v>2720</v>
      </c>
    </row>
    <row r="404" spans="1:2" x14ac:dyDescent="0.25">
      <c r="A404" s="16">
        <v>1303</v>
      </c>
      <c r="B404">
        <f>VLOOKUP(A404,'Inventario ENE 30-1-26'!$A$1:$J$10000,10,FALSE)</f>
        <v>1154</v>
      </c>
    </row>
    <row r="405" spans="1:2" x14ac:dyDescent="0.25">
      <c r="A405" s="16">
        <v>1305</v>
      </c>
      <c r="B405">
        <f>VLOOKUP(A405,'Inventario ENE 30-1-26'!$A$1:$J$10000,10,FALSE)</f>
        <v>532</v>
      </c>
    </row>
    <row r="406" spans="1:2" x14ac:dyDescent="0.25">
      <c r="A406" s="16">
        <v>1308</v>
      </c>
      <c r="B406">
        <f>VLOOKUP(A406,'Inventario ENE 30-1-26'!$A$1:$J$10000,10,FALSE)</f>
        <v>309.5</v>
      </c>
    </row>
    <row r="407" spans="1:2" x14ac:dyDescent="0.25">
      <c r="A407" s="16">
        <v>1309</v>
      </c>
      <c r="B407">
        <f>VLOOKUP(A407,'Inventario ENE 30-1-26'!$A$1:$J$10000,10,FALSE)</f>
        <v>309.5</v>
      </c>
    </row>
    <row r="408" spans="1:2" x14ac:dyDescent="0.25">
      <c r="A408" s="16">
        <v>1310</v>
      </c>
      <c r="B408">
        <f>VLOOKUP(A408,'Inventario ENE 30-1-26'!$A$1:$J$10000,10,FALSE)</f>
        <v>1091</v>
      </c>
    </row>
    <row r="409" spans="1:2" x14ac:dyDescent="0.25">
      <c r="A409" s="16">
        <v>1314</v>
      </c>
      <c r="B409">
        <f>VLOOKUP(A409,'Inventario ENE 30-1-26'!$A$1:$J$10000,10,FALSE)</f>
        <v>309.5</v>
      </c>
    </row>
    <row r="410" spans="1:2" x14ac:dyDescent="0.25">
      <c r="A410" s="16">
        <v>1316</v>
      </c>
      <c r="B410">
        <f>VLOOKUP(A410,'Inventario ENE 30-1-26'!$A$1:$J$10000,10,FALSE)</f>
        <v>1212</v>
      </c>
    </row>
    <row r="411" spans="1:2" x14ac:dyDescent="0.25">
      <c r="A411" s="16">
        <v>1319</v>
      </c>
      <c r="B411">
        <f>VLOOKUP(A411,'Inventario ENE 30-1-26'!$A$1:$J$10000,10,FALSE)</f>
        <v>461</v>
      </c>
    </row>
    <row r="412" spans="1:2" x14ac:dyDescent="0.25">
      <c r="A412" s="16">
        <v>1320</v>
      </c>
      <c r="B412">
        <f>VLOOKUP(A412,'Inventario ENE 30-1-26'!$A$1:$J$10000,10,FALSE)</f>
        <v>0</v>
      </c>
    </row>
    <row r="413" spans="1:2" x14ac:dyDescent="0.25">
      <c r="A413" s="16">
        <v>1321</v>
      </c>
      <c r="B413">
        <f>VLOOKUP(A413,'Inventario ENE 30-1-26'!$A$1:$J$10000,10,FALSE)</f>
        <v>309.5</v>
      </c>
    </row>
    <row r="414" spans="1:2" x14ac:dyDescent="0.25">
      <c r="A414" s="16">
        <v>1326</v>
      </c>
      <c r="B414">
        <f>VLOOKUP(A414,'Inventario ENE 30-1-26'!$A$1:$J$10000,10,FALSE)</f>
        <v>1154</v>
      </c>
    </row>
    <row r="415" spans="1:2" x14ac:dyDescent="0.25">
      <c r="A415" s="16">
        <v>1327</v>
      </c>
      <c r="B415">
        <f>VLOOKUP(A415,'Inventario ENE 30-1-26'!$A$1:$J$10000,10,FALSE)</f>
        <v>309.5</v>
      </c>
    </row>
    <row r="416" spans="1:2" x14ac:dyDescent="0.25">
      <c r="A416" s="16">
        <v>1328</v>
      </c>
      <c r="B416">
        <f>VLOOKUP(A416,'Inventario ENE 30-1-26'!$A$1:$J$10000,10,FALSE)</f>
        <v>1202.5</v>
      </c>
    </row>
    <row r="417" spans="1:2" x14ac:dyDescent="0.25">
      <c r="A417" s="16">
        <v>1329</v>
      </c>
      <c r="B417">
        <f>VLOOKUP(A417,'Inventario ENE 30-1-26'!$A$1:$J$10000,10,FALSE)</f>
        <v>0</v>
      </c>
    </row>
    <row r="418" spans="1:2" x14ac:dyDescent="0.25">
      <c r="A418" s="16">
        <v>1338</v>
      </c>
      <c r="B418">
        <f>VLOOKUP(A418,'Inventario ENE 30-1-26'!$A$1:$J$10000,10,FALSE)</f>
        <v>309.5</v>
      </c>
    </row>
    <row r="419" spans="1:2" x14ac:dyDescent="0.25">
      <c r="A419" s="16">
        <v>1341</v>
      </c>
      <c r="B419">
        <f>VLOOKUP(A419,'Inventario ENE 30-1-26'!$A$1:$J$10000,10,FALSE)</f>
        <v>1212</v>
      </c>
    </row>
    <row r="420" spans="1:2" x14ac:dyDescent="0.25">
      <c r="A420" s="16">
        <v>1344</v>
      </c>
      <c r="B420">
        <f>VLOOKUP(A420,'Inventario ENE 30-1-26'!$A$1:$J$10000,10,FALSE)</f>
        <v>1154</v>
      </c>
    </row>
    <row r="421" spans="1:2" x14ac:dyDescent="0.25">
      <c r="A421" s="16">
        <v>1349</v>
      </c>
      <c r="B421">
        <f>VLOOKUP(A421,'Inventario ENE 30-1-26'!$A$1:$J$10000,10,FALSE)</f>
        <v>309.5</v>
      </c>
    </row>
    <row r="422" spans="1:2" x14ac:dyDescent="0.25">
      <c r="A422" s="16">
        <v>1350</v>
      </c>
      <c r="B422">
        <f>VLOOKUP(A422,'Inventario ENE 30-1-26'!$A$1:$J$10000,10,FALSE)</f>
        <v>1091</v>
      </c>
    </row>
    <row r="423" spans="1:2" x14ac:dyDescent="0.25">
      <c r="A423" s="16">
        <v>1353</v>
      </c>
      <c r="B423">
        <f>VLOOKUP(A423,'Inventario ENE 30-1-26'!$A$1:$J$10000,10,FALSE)</f>
        <v>1154</v>
      </c>
    </row>
    <row r="424" spans="1:2" x14ac:dyDescent="0.25">
      <c r="A424" s="16">
        <v>1354</v>
      </c>
      <c r="B424">
        <f>VLOOKUP(A424,'Inventario ENE 30-1-26'!$A$1:$J$10000,10,FALSE)</f>
        <v>1154</v>
      </c>
    </row>
    <row r="425" spans="1:2" x14ac:dyDescent="0.25">
      <c r="A425" s="16">
        <v>1357</v>
      </c>
      <c r="B425">
        <f>VLOOKUP(A425,'Inventario ENE 30-1-26'!$A$1:$J$10000,10,FALSE)</f>
        <v>1212</v>
      </c>
    </row>
    <row r="426" spans="1:2" x14ac:dyDescent="0.25">
      <c r="A426" s="16">
        <v>1358</v>
      </c>
      <c r="B426">
        <f>VLOOKUP(A426,'Inventario ENE 30-1-26'!$A$1:$J$10000,10,FALSE)</f>
        <v>629</v>
      </c>
    </row>
    <row r="427" spans="1:2" x14ac:dyDescent="0.25">
      <c r="A427" s="16">
        <v>1361</v>
      </c>
      <c r="B427">
        <f>VLOOKUP(A427,'Inventario ENE 30-1-26'!$A$1:$J$10000,10,FALSE)</f>
        <v>532</v>
      </c>
    </row>
    <row r="428" spans="1:2" x14ac:dyDescent="0.25">
      <c r="A428" s="16">
        <v>1364</v>
      </c>
      <c r="B428">
        <f>VLOOKUP(A428,'Inventario ENE 30-1-26'!$A$1:$J$10000,10,FALSE)</f>
        <v>1091</v>
      </c>
    </row>
    <row r="429" spans="1:2" x14ac:dyDescent="0.25">
      <c r="A429" s="16">
        <v>1367</v>
      </c>
      <c r="B429">
        <f>VLOOKUP(A429,'Inventario ENE 30-1-26'!$A$1:$J$10000,10,FALSE)</f>
        <v>309.5</v>
      </c>
    </row>
    <row r="430" spans="1:2" x14ac:dyDescent="0.25">
      <c r="A430" s="16">
        <v>1371</v>
      </c>
      <c r="B430">
        <f>VLOOKUP(A430,'Inventario ENE 30-1-26'!$A$1:$J$10000,10,FALSE)</f>
        <v>629</v>
      </c>
    </row>
    <row r="431" spans="1:2" x14ac:dyDescent="0.25">
      <c r="A431" s="16">
        <v>1373</v>
      </c>
      <c r="B431">
        <f>VLOOKUP(A431,'Inventario ENE 30-1-26'!$A$1:$J$10000,10,FALSE)</f>
        <v>461</v>
      </c>
    </row>
    <row r="432" spans="1:2" x14ac:dyDescent="0.25">
      <c r="A432" s="16">
        <v>1381</v>
      </c>
      <c r="B432">
        <f>VLOOKUP(A432,'Inventario ENE 30-1-26'!$A$1:$J$10000,10,FALSE)</f>
        <v>1091</v>
      </c>
    </row>
    <row r="433" spans="1:2" x14ac:dyDescent="0.25">
      <c r="A433" s="16">
        <v>1393</v>
      </c>
      <c r="B433">
        <f>VLOOKUP(A433,'Inventario ENE 30-1-26'!$A$1:$J$10000,10,FALSE)</f>
        <v>309.5</v>
      </c>
    </row>
    <row r="434" spans="1:2" x14ac:dyDescent="0.25">
      <c r="A434" s="16">
        <v>1394</v>
      </c>
      <c r="B434">
        <f>VLOOKUP(A434,'Inventario ENE 30-1-26'!$A$1:$J$10000,10,FALSE)</f>
        <v>1212</v>
      </c>
    </row>
    <row r="435" spans="1:2" x14ac:dyDescent="0.25">
      <c r="A435" s="16">
        <v>1395</v>
      </c>
      <c r="B435">
        <f>VLOOKUP(A435,'Inventario ENE 30-1-26'!$A$1:$J$10000,10,FALSE)</f>
        <v>1212</v>
      </c>
    </row>
    <row r="436" spans="1:2" x14ac:dyDescent="0.25">
      <c r="A436" s="16">
        <v>1396</v>
      </c>
      <c r="B436">
        <f>VLOOKUP(A436,'Inventario ENE 30-1-26'!$A$1:$J$10000,10,FALSE)</f>
        <v>309.5</v>
      </c>
    </row>
    <row r="437" spans="1:2" x14ac:dyDescent="0.25">
      <c r="A437" s="16">
        <v>1402</v>
      </c>
      <c r="B437">
        <f>VLOOKUP(A437,'Inventario ENE 30-1-26'!$A$1:$J$10000,10,FALSE)</f>
        <v>461</v>
      </c>
    </row>
    <row r="438" spans="1:2" x14ac:dyDescent="0.25">
      <c r="A438" s="16">
        <v>1403</v>
      </c>
      <c r="B438">
        <f>VLOOKUP(A438,'Inventario ENE 30-1-26'!$A$1:$J$10000,10,FALSE)</f>
        <v>309.5</v>
      </c>
    </row>
    <row r="439" spans="1:2" x14ac:dyDescent="0.25">
      <c r="A439" s="16">
        <v>1413</v>
      </c>
      <c r="B439">
        <f>VLOOKUP(A439,'Inventario ENE 30-1-26'!$A$1:$J$10000,10,FALSE)</f>
        <v>0</v>
      </c>
    </row>
    <row r="440" spans="1:2" x14ac:dyDescent="0.25">
      <c r="A440" s="16">
        <v>1416</v>
      </c>
      <c r="B440">
        <f>VLOOKUP(A440,'Inventario ENE 30-1-26'!$A$1:$J$10000,10,FALSE)</f>
        <v>629</v>
      </c>
    </row>
    <row r="441" spans="1:2" x14ac:dyDescent="0.25">
      <c r="A441" s="16">
        <v>1423</v>
      </c>
      <c r="B441">
        <f>VLOOKUP(A441,'Inventario ENE 30-1-26'!$A$1:$J$10000,10,FALSE)</f>
        <v>1212</v>
      </c>
    </row>
    <row r="442" spans="1:2" x14ac:dyDescent="0.25">
      <c r="A442" s="16">
        <v>1424</v>
      </c>
      <c r="B442">
        <f>VLOOKUP(A442,'Inventario ENE 30-1-26'!$A$1:$J$10000,10,FALSE)</f>
        <v>1212</v>
      </c>
    </row>
    <row r="443" spans="1:2" x14ac:dyDescent="0.25">
      <c r="A443" s="16">
        <v>1426</v>
      </c>
      <c r="B443">
        <f>VLOOKUP(A443,'Inventario ENE 30-1-26'!$A$1:$J$10000,10,FALSE)</f>
        <v>1202.5</v>
      </c>
    </row>
    <row r="444" spans="1:2" x14ac:dyDescent="0.25">
      <c r="A444" s="16">
        <v>1427</v>
      </c>
      <c r="B444">
        <f>VLOOKUP(A444,'Inventario ENE 30-1-26'!$A$1:$J$10000,10,FALSE)</f>
        <v>309.5</v>
      </c>
    </row>
    <row r="445" spans="1:2" x14ac:dyDescent="0.25">
      <c r="A445" s="16">
        <v>1433</v>
      </c>
      <c r="B445">
        <f>VLOOKUP(A445,'Inventario ENE 30-1-26'!$A$1:$J$10000,10,FALSE)</f>
        <v>1091</v>
      </c>
    </row>
    <row r="446" spans="1:2" x14ac:dyDescent="0.25">
      <c r="A446" s="16">
        <v>1440</v>
      </c>
      <c r="B446">
        <f>VLOOKUP(A446,'Inventario ENE 30-1-26'!$A$1:$J$10000,10,FALSE)</f>
        <v>1091</v>
      </c>
    </row>
    <row r="447" spans="1:2" x14ac:dyDescent="0.25">
      <c r="A447" s="16">
        <v>1441</v>
      </c>
      <c r="B447">
        <f>VLOOKUP(A447,'Inventario ENE 30-1-26'!$A$1:$J$10000,10,FALSE)</f>
        <v>461</v>
      </c>
    </row>
    <row r="448" spans="1:2" x14ac:dyDescent="0.25">
      <c r="A448" s="16">
        <v>1446</v>
      </c>
      <c r="B448">
        <f>VLOOKUP(A448,'Inventario ENE 30-1-26'!$A$1:$J$10000,10,FALSE)</f>
        <v>309.5</v>
      </c>
    </row>
    <row r="449" spans="1:2" x14ac:dyDescent="0.25">
      <c r="A449" s="16">
        <v>1451</v>
      </c>
      <c r="B449">
        <f>VLOOKUP(A449,'Inventario ENE 30-1-26'!$A$1:$J$10000,10,FALSE)</f>
        <v>2720</v>
      </c>
    </row>
    <row r="450" spans="1:2" x14ac:dyDescent="0.25">
      <c r="A450" s="16">
        <v>1465</v>
      </c>
      <c r="B450">
        <f>VLOOKUP(A450,'Inventario ENE 30-1-26'!$A$1:$J$10000,10,FALSE)</f>
        <v>1212</v>
      </c>
    </row>
    <row r="451" spans="1:2" x14ac:dyDescent="0.25">
      <c r="A451" s="16">
        <v>1466</v>
      </c>
      <c r="B451">
        <f>VLOOKUP(A451,'Inventario ENE 30-1-26'!$A$1:$J$10000,10,FALSE)</f>
        <v>1212</v>
      </c>
    </row>
    <row r="452" spans="1:2" x14ac:dyDescent="0.25">
      <c r="A452" s="16">
        <v>1467</v>
      </c>
      <c r="B452">
        <f>VLOOKUP(A452,'Inventario ENE 30-1-26'!$A$1:$J$10000,10,FALSE)</f>
        <v>461</v>
      </c>
    </row>
    <row r="453" spans="1:2" x14ac:dyDescent="0.25">
      <c r="A453" s="16">
        <v>1474</v>
      </c>
      <c r="B453">
        <f>VLOOKUP(A453,'Inventario ENE 30-1-26'!$A$1:$J$10000,10,FALSE)</f>
        <v>461</v>
      </c>
    </row>
    <row r="454" spans="1:2" x14ac:dyDescent="0.25">
      <c r="A454" s="16">
        <v>1490</v>
      </c>
      <c r="B454">
        <f>VLOOKUP(A454,'Inventario ENE 30-1-26'!$A$1:$J$10000,10,FALSE)</f>
        <v>503</v>
      </c>
    </row>
    <row r="455" spans="1:2" x14ac:dyDescent="0.25">
      <c r="A455" s="16">
        <v>1505</v>
      </c>
      <c r="B455">
        <f>VLOOKUP(A455,'Inventario ENE 30-1-26'!$A$1:$J$10000,10,FALSE)</f>
        <v>1212</v>
      </c>
    </row>
    <row r="456" spans="1:2" x14ac:dyDescent="0.25">
      <c r="A456" s="16">
        <v>1510</v>
      </c>
      <c r="B456">
        <f>VLOOKUP(A456,'Inventario ENE 30-1-26'!$A$1:$J$10000,10,FALSE)</f>
        <v>1241.5</v>
      </c>
    </row>
    <row r="457" spans="1:2" x14ac:dyDescent="0.25">
      <c r="A457" s="16">
        <v>1514</v>
      </c>
      <c r="B457">
        <f>VLOOKUP(A457,'Inventario ENE 30-1-26'!$A$1:$J$10000,10,FALSE)</f>
        <v>309.5</v>
      </c>
    </row>
    <row r="458" spans="1:2" x14ac:dyDescent="0.25">
      <c r="A458" s="16">
        <v>1524</v>
      </c>
      <c r="B458">
        <f>VLOOKUP(A458,'Inventario ENE 30-1-26'!$A$1:$J$10000,10,FALSE)</f>
        <v>0</v>
      </c>
    </row>
    <row r="459" spans="1:2" x14ac:dyDescent="0.25">
      <c r="A459" s="16">
        <v>1527</v>
      </c>
      <c r="B459">
        <f>VLOOKUP(A459,'Inventario ENE 30-1-26'!$A$1:$J$10000,10,FALSE)</f>
        <v>309.5</v>
      </c>
    </row>
    <row r="460" spans="1:2" x14ac:dyDescent="0.25">
      <c r="A460" s="16">
        <v>1533</v>
      </c>
      <c r="B460">
        <f>VLOOKUP(A460,'Inventario ENE 30-1-26'!$A$1:$J$10000,10,FALSE)</f>
        <v>309.5</v>
      </c>
    </row>
    <row r="461" spans="1:2" x14ac:dyDescent="0.25">
      <c r="A461" s="16">
        <v>1535</v>
      </c>
      <c r="B461">
        <f>VLOOKUP(A461,'Inventario ENE 30-1-26'!$A$1:$J$10000,10,FALSE)</f>
        <v>309.5</v>
      </c>
    </row>
    <row r="462" spans="1:2" x14ac:dyDescent="0.25">
      <c r="A462" s="16">
        <v>1547</v>
      </c>
      <c r="B462">
        <f>VLOOKUP(A462,'Inventario ENE 30-1-26'!$A$1:$J$10000,10,FALSE)</f>
        <v>1154</v>
      </c>
    </row>
    <row r="463" spans="1:2" x14ac:dyDescent="0.25">
      <c r="A463" s="16">
        <v>1560</v>
      </c>
      <c r="B463">
        <f>VLOOKUP(A463,'Inventario ENE 30-1-26'!$A$1:$J$10000,10,FALSE)</f>
        <v>1154</v>
      </c>
    </row>
    <row r="464" spans="1:2" x14ac:dyDescent="0.25">
      <c r="A464" s="16">
        <v>1579</v>
      </c>
      <c r="B464">
        <f>VLOOKUP(A464,'Inventario ENE 30-1-26'!$A$1:$J$10000,10,FALSE)</f>
        <v>309.5</v>
      </c>
    </row>
    <row r="465" spans="1:2" x14ac:dyDescent="0.25">
      <c r="A465" s="16">
        <v>1582</v>
      </c>
      <c r="B465">
        <f>VLOOKUP(A465,'Inventario ENE 30-1-26'!$A$1:$J$10000,10,FALSE)</f>
        <v>0</v>
      </c>
    </row>
    <row r="466" spans="1:2" x14ac:dyDescent="0.25">
      <c r="A466" s="16">
        <v>1587</v>
      </c>
      <c r="B466">
        <f>VLOOKUP(A466,'Inventario ENE 30-1-26'!$A$1:$J$10000,10,FALSE)</f>
        <v>461</v>
      </c>
    </row>
    <row r="467" spans="1:2" x14ac:dyDescent="0.25">
      <c r="A467" s="16">
        <v>1589</v>
      </c>
      <c r="B467">
        <f>VLOOKUP(A467,'Inventario ENE 30-1-26'!$A$1:$J$10000,10,FALSE)</f>
        <v>0</v>
      </c>
    </row>
    <row r="468" spans="1:2" x14ac:dyDescent="0.25">
      <c r="A468" s="16">
        <v>1594</v>
      </c>
      <c r="B468">
        <f>VLOOKUP(A468,'Inventario ENE 30-1-26'!$A$1:$J$10000,10,FALSE)</f>
        <v>912</v>
      </c>
    </row>
    <row r="469" spans="1:2" x14ac:dyDescent="0.25">
      <c r="A469" s="16">
        <v>1598</v>
      </c>
      <c r="B469">
        <f>VLOOKUP(A469,'Inventario ENE 30-1-26'!$A$1:$J$10000,10,FALSE)</f>
        <v>309.5</v>
      </c>
    </row>
    <row r="470" spans="1:2" x14ac:dyDescent="0.25">
      <c r="A470" s="16">
        <v>1599</v>
      </c>
      <c r="B470">
        <f>VLOOKUP(A470,'Inventario ENE 30-1-26'!$A$1:$J$10000,10,FALSE)</f>
        <v>0</v>
      </c>
    </row>
    <row r="471" spans="1:2" x14ac:dyDescent="0.25">
      <c r="A471" s="16">
        <v>1606</v>
      </c>
      <c r="B471">
        <f>VLOOKUP(A471,'Inventario ENE 30-1-26'!$A$1:$J$10000,10,FALSE)</f>
        <v>1135</v>
      </c>
    </row>
    <row r="472" spans="1:2" x14ac:dyDescent="0.25">
      <c r="A472" s="16">
        <v>1607</v>
      </c>
      <c r="B472">
        <f>VLOOKUP(A472,'Inventario ENE 30-1-26'!$A$1:$J$10000,10,FALSE)</f>
        <v>1135</v>
      </c>
    </row>
    <row r="473" spans="1:2" x14ac:dyDescent="0.25">
      <c r="A473" s="16">
        <v>1627</v>
      </c>
      <c r="B473">
        <f>VLOOKUP(A473,'Inventario ENE 30-1-26'!$A$1:$J$10000,10,FALSE)</f>
        <v>461</v>
      </c>
    </row>
    <row r="474" spans="1:2" x14ac:dyDescent="0.25">
      <c r="A474" s="16">
        <v>1628</v>
      </c>
      <c r="B474">
        <f>VLOOKUP(A474,'Inventario ENE 30-1-26'!$A$1:$J$10000,10,FALSE)</f>
        <v>1212</v>
      </c>
    </row>
    <row r="475" spans="1:2" x14ac:dyDescent="0.25">
      <c r="A475" s="16">
        <v>1630</v>
      </c>
      <c r="B475">
        <f>VLOOKUP(A475,'Inventario ENE 30-1-26'!$A$1:$J$10000,10,FALSE)</f>
        <v>309.5</v>
      </c>
    </row>
    <row r="476" spans="1:2" x14ac:dyDescent="0.25">
      <c r="A476" s="16">
        <v>1631</v>
      </c>
      <c r="B476">
        <f>VLOOKUP(A476,'Inventario ENE 30-1-26'!$A$1:$J$10000,10,FALSE)</f>
        <v>1212</v>
      </c>
    </row>
    <row r="477" spans="1:2" x14ac:dyDescent="0.25">
      <c r="A477" s="16">
        <v>1632</v>
      </c>
      <c r="B477">
        <f>VLOOKUP(A477,'Inventario ENE 30-1-26'!$A$1:$J$10000,10,FALSE)</f>
        <v>1212</v>
      </c>
    </row>
    <row r="478" spans="1:2" x14ac:dyDescent="0.25">
      <c r="A478" s="16">
        <v>1633</v>
      </c>
      <c r="B478">
        <f>VLOOKUP(A478,'Inventario ENE 30-1-26'!$A$1:$J$10000,10,FALSE)</f>
        <v>1212</v>
      </c>
    </row>
    <row r="479" spans="1:2" x14ac:dyDescent="0.25">
      <c r="A479" s="16">
        <v>1635</v>
      </c>
      <c r="B479">
        <f>VLOOKUP(A479,'Inventario ENE 30-1-26'!$A$1:$J$10000,10,FALSE)</f>
        <v>1212</v>
      </c>
    </row>
    <row r="480" spans="1:2" x14ac:dyDescent="0.25">
      <c r="A480" s="16">
        <v>1636</v>
      </c>
      <c r="B480">
        <f>VLOOKUP(A480,'Inventario ENE 30-1-26'!$A$1:$J$10000,10,FALSE)</f>
        <v>1212</v>
      </c>
    </row>
    <row r="481" spans="1:2" x14ac:dyDescent="0.25">
      <c r="A481" s="16">
        <v>1638</v>
      </c>
      <c r="B481">
        <f>VLOOKUP(A481,'Inventario ENE 30-1-26'!$A$1:$J$10000,10,FALSE)</f>
        <v>461</v>
      </c>
    </row>
    <row r="482" spans="1:2" x14ac:dyDescent="0.25">
      <c r="A482" s="16">
        <v>1651</v>
      </c>
      <c r="B482">
        <f>VLOOKUP(A482,'Inventario ENE 30-1-26'!$A$1:$J$10000,10,FALSE)</f>
        <v>1212</v>
      </c>
    </row>
    <row r="483" spans="1:2" x14ac:dyDescent="0.25">
      <c r="A483" s="16">
        <v>1675</v>
      </c>
      <c r="B483">
        <f>VLOOKUP(A483,'Inventario ENE 30-1-26'!$A$1:$J$10000,10,FALSE)</f>
        <v>1091</v>
      </c>
    </row>
    <row r="484" spans="1:2" x14ac:dyDescent="0.25">
      <c r="A484" s="16">
        <v>1696</v>
      </c>
      <c r="B484">
        <f>VLOOKUP(A484,'Inventario ENE 30-1-26'!$A$1:$J$10000,10,FALSE)</f>
        <v>461</v>
      </c>
    </row>
    <row r="485" spans="1:2" x14ac:dyDescent="0.25">
      <c r="A485" s="16">
        <v>1699</v>
      </c>
      <c r="B485">
        <f>VLOOKUP(A485,'Inventario ENE 30-1-26'!$A$1:$J$10000,10,FALSE)</f>
        <v>309.5</v>
      </c>
    </row>
    <row r="486" spans="1:2" x14ac:dyDescent="0.25">
      <c r="A486" s="16">
        <v>1700</v>
      </c>
      <c r="B486">
        <f>VLOOKUP(A486,'Inventario ENE 30-1-26'!$A$1:$J$10000,10,FALSE)</f>
        <v>309.5</v>
      </c>
    </row>
    <row r="487" spans="1:2" x14ac:dyDescent="0.25">
      <c r="A487" s="16">
        <v>1701</v>
      </c>
      <c r="B487">
        <f>VLOOKUP(A487,'Inventario ENE 30-1-26'!$A$1:$J$10000,10,FALSE)</f>
        <v>309.5</v>
      </c>
    </row>
    <row r="488" spans="1:2" x14ac:dyDescent="0.25">
      <c r="A488" s="16">
        <v>1709</v>
      </c>
      <c r="B488">
        <f>VLOOKUP(A488,'Inventario ENE 30-1-26'!$A$1:$J$10000,10,FALSE)</f>
        <v>309.5</v>
      </c>
    </row>
    <row r="489" spans="1:2" x14ac:dyDescent="0.25">
      <c r="A489" s="16">
        <v>1714</v>
      </c>
      <c r="B489">
        <f>VLOOKUP(A489,'Inventario ENE 30-1-26'!$A$1:$J$10000,10,FALSE)</f>
        <v>1212</v>
      </c>
    </row>
    <row r="490" spans="1:2" x14ac:dyDescent="0.25">
      <c r="A490" s="16">
        <v>1715</v>
      </c>
      <c r="B490">
        <f>VLOOKUP(A490,'Inventario ENE 30-1-26'!$A$1:$J$10000,10,FALSE)</f>
        <v>1212</v>
      </c>
    </row>
    <row r="491" spans="1:2" x14ac:dyDescent="0.25">
      <c r="A491" s="16">
        <v>1758</v>
      </c>
      <c r="B491">
        <f>VLOOKUP(A491,'Inventario ENE 30-1-26'!$A$1:$J$10000,10,FALSE)</f>
        <v>461</v>
      </c>
    </row>
    <row r="492" spans="1:2" x14ac:dyDescent="0.25">
      <c r="A492" s="16">
        <v>1765</v>
      </c>
      <c r="B492">
        <f>VLOOKUP(A492,'Inventario ENE 30-1-26'!$A$1:$J$10000,10,FALSE)</f>
        <v>36</v>
      </c>
    </row>
    <row r="493" spans="1:2" x14ac:dyDescent="0.25">
      <c r="A493" s="16">
        <v>1769</v>
      </c>
      <c r="B493">
        <f>VLOOKUP(A493,'Inventario ENE 30-1-26'!$A$1:$J$10000,10,FALSE)</f>
        <v>24</v>
      </c>
    </row>
    <row r="494" spans="1:2" x14ac:dyDescent="0.25">
      <c r="A494" s="16">
        <v>1795</v>
      </c>
      <c r="B494">
        <f>VLOOKUP(A494,'Inventario ENE 30-1-26'!$A$1:$J$10000,10,FALSE)</f>
        <v>576</v>
      </c>
    </row>
    <row r="495" spans="1:2" x14ac:dyDescent="0.25">
      <c r="A495" s="16">
        <v>1796</v>
      </c>
      <c r="B495">
        <f>VLOOKUP(A495,'Inventario ENE 30-1-26'!$A$1:$J$10000,10,FALSE)</f>
        <v>1243.5</v>
      </c>
    </row>
    <row r="496" spans="1:2" x14ac:dyDescent="0.25">
      <c r="A496" s="16">
        <v>1801</v>
      </c>
      <c r="B496">
        <f>VLOOKUP(A496,'Inventario ENE 30-1-26'!$A$1:$J$10000,10,FALSE)</f>
        <v>1243.5</v>
      </c>
    </row>
    <row r="497" spans="1:2" x14ac:dyDescent="0.25">
      <c r="A497" s="16">
        <v>1802</v>
      </c>
      <c r="B497">
        <f>VLOOKUP(A497,'Inventario ENE 30-1-26'!$A$1:$J$10000,10,FALSE)</f>
        <v>1243.5</v>
      </c>
    </row>
    <row r="498" spans="1:2" x14ac:dyDescent="0.25">
      <c r="A498" s="16">
        <v>1806</v>
      </c>
      <c r="B498">
        <f>VLOOKUP(A498,'Inventario ENE 30-1-26'!$A$1:$J$10000,10,FALSE)</f>
        <v>1243.5</v>
      </c>
    </row>
    <row r="499" spans="1:2" x14ac:dyDescent="0.25">
      <c r="A499" s="16">
        <v>1807</v>
      </c>
      <c r="B499">
        <f>VLOOKUP(A499,'Inventario ENE 30-1-26'!$A$1:$J$10000,10,FALSE)</f>
        <v>1243.5</v>
      </c>
    </row>
    <row r="500" spans="1:2" x14ac:dyDescent="0.25">
      <c r="A500" s="16">
        <v>1808</v>
      </c>
      <c r="B500">
        <f>VLOOKUP(A500,'Inventario ENE 30-1-26'!$A$1:$J$10000,10,FALSE)</f>
        <v>992.5</v>
      </c>
    </row>
    <row r="501" spans="1:2" x14ac:dyDescent="0.25">
      <c r="A501" s="16">
        <v>1809</v>
      </c>
      <c r="B501">
        <f>VLOOKUP(A501,'Inventario ENE 30-1-26'!$A$1:$J$10000,10,FALSE)</f>
        <v>309.5</v>
      </c>
    </row>
    <row r="502" spans="1:2" x14ac:dyDescent="0.25">
      <c r="A502" s="16">
        <v>1812</v>
      </c>
      <c r="B502">
        <f>VLOOKUP(A502,'Inventario ENE 30-1-26'!$A$1:$J$10000,10,FALSE)</f>
        <v>2720</v>
      </c>
    </row>
    <row r="503" spans="1:2" x14ac:dyDescent="0.25">
      <c r="A503" s="16">
        <v>1816</v>
      </c>
      <c r="B503">
        <f>VLOOKUP(A503,'Inventario ENE 30-1-26'!$A$1:$J$10000,10,FALSE)</f>
        <v>576</v>
      </c>
    </row>
    <row r="504" spans="1:2" x14ac:dyDescent="0.25">
      <c r="A504" s="16">
        <v>1817</v>
      </c>
      <c r="B504">
        <f>VLOOKUP(A504,'Inventario ENE 30-1-26'!$A$1:$J$10000,10,FALSE)</f>
        <v>512</v>
      </c>
    </row>
    <row r="505" spans="1:2" x14ac:dyDescent="0.25">
      <c r="A505" s="16">
        <v>1821</v>
      </c>
      <c r="B505">
        <f>VLOOKUP(A505,'Inventario ENE 30-1-26'!$A$1:$J$10000,10,FALSE)</f>
        <v>1243.5</v>
      </c>
    </row>
    <row r="506" spans="1:2" x14ac:dyDescent="0.25">
      <c r="A506" s="16">
        <v>1822</v>
      </c>
      <c r="B506">
        <f>VLOOKUP(A506,'Inventario ENE 30-1-26'!$A$1:$J$10000,10,FALSE)</f>
        <v>576</v>
      </c>
    </row>
    <row r="507" spans="1:2" x14ac:dyDescent="0.25">
      <c r="A507" s="16">
        <v>1823</v>
      </c>
      <c r="B507">
        <f>VLOOKUP(A507,'Inventario ENE 30-1-26'!$A$1:$J$10000,10,FALSE)</f>
        <v>1243.5</v>
      </c>
    </row>
    <row r="508" spans="1:2" x14ac:dyDescent="0.25">
      <c r="A508" s="16">
        <v>1830</v>
      </c>
      <c r="B508">
        <f>VLOOKUP(A508,'Inventario ENE 30-1-26'!$A$1:$J$10000,10,FALSE)</f>
        <v>992.5</v>
      </c>
    </row>
    <row r="509" spans="1:2" x14ac:dyDescent="0.25">
      <c r="A509" s="16">
        <v>1831</v>
      </c>
      <c r="B509">
        <f>VLOOKUP(A509,'Inventario ENE 30-1-26'!$A$1:$J$10000,10,FALSE)</f>
        <v>992.5</v>
      </c>
    </row>
    <row r="510" spans="1:2" x14ac:dyDescent="0.25">
      <c r="A510" s="16">
        <v>1835</v>
      </c>
      <c r="B510">
        <f>VLOOKUP(A510,'Inventario ENE 30-1-26'!$A$1:$J$10000,10,FALSE)</f>
        <v>576</v>
      </c>
    </row>
    <row r="511" spans="1:2" x14ac:dyDescent="0.25">
      <c r="A511" s="16">
        <v>1842</v>
      </c>
      <c r="B511">
        <f>VLOOKUP(A511,'Inventario ENE 30-1-26'!$A$1:$J$10000,10,FALSE)</f>
        <v>1212</v>
      </c>
    </row>
    <row r="512" spans="1:2" x14ac:dyDescent="0.25">
      <c r="A512" s="16">
        <v>1843</v>
      </c>
      <c r="B512">
        <f>VLOOKUP(A512,'Inventario ENE 30-1-26'!$A$1:$J$10000,10,FALSE)</f>
        <v>1212</v>
      </c>
    </row>
    <row r="513" spans="1:2" x14ac:dyDescent="0.25">
      <c r="A513" s="16">
        <v>1844</v>
      </c>
      <c r="B513">
        <f>VLOOKUP(A513,'Inventario ENE 30-1-26'!$A$1:$J$10000,10,FALSE)</f>
        <v>1212</v>
      </c>
    </row>
    <row r="514" spans="1:2" x14ac:dyDescent="0.25">
      <c r="A514" s="16">
        <v>1845</v>
      </c>
      <c r="B514">
        <f>VLOOKUP(A514,'Inventario ENE 30-1-26'!$A$1:$J$10000,10,FALSE)</f>
        <v>1212</v>
      </c>
    </row>
    <row r="515" spans="1:2" x14ac:dyDescent="0.25">
      <c r="A515" s="16">
        <v>1848</v>
      </c>
      <c r="B515">
        <f>VLOOKUP(A515,'Inventario ENE 30-1-26'!$A$1:$J$10000,10,FALSE)</f>
        <v>309.5</v>
      </c>
    </row>
    <row r="516" spans="1:2" x14ac:dyDescent="0.25">
      <c r="A516" s="16">
        <v>1850</v>
      </c>
      <c r="B516">
        <f>VLOOKUP(A516,'Inventario ENE 30-1-26'!$A$1:$J$10000,10,FALSE)</f>
        <v>309.5</v>
      </c>
    </row>
    <row r="517" spans="1:2" x14ac:dyDescent="0.25">
      <c r="A517" s="16">
        <v>1851</v>
      </c>
      <c r="B517">
        <f>VLOOKUP(A517,'Inventario ENE 30-1-26'!$A$1:$J$10000,10,FALSE)</f>
        <v>309.5</v>
      </c>
    </row>
    <row r="518" spans="1:2" x14ac:dyDescent="0.25">
      <c r="A518" s="16">
        <v>1856</v>
      </c>
      <c r="B518">
        <f>VLOOKUP(A518,'Inventario ENE 30-1-26'!$A$1:$J$10000,10,FALSE)</f>
        <v>532</v>
      </c>
    </row>
    <row r="519" spans="1:2" x14ac:dyDescent="0.25">
      <c r="A519" s="16">
        <v>1857</v>
      </c>
      <c r="B519">
        <f>VLOOKUP(A519,'Inventario ENE 30-1-26'!$A$1:$J$10000,10,FALSE)</f>
        <v>461</v>
      </c>
    </row>
    <row r="520" spans="1:2" x14ac:dyDescent="0.25">
      <c r="A520" s="16">
        <v>1862</v>
      </c>
      <c r="B520">
        <f>VLOOKUP(A520,'Inventario ENE 30-1-26'!$A$1:$J$10000,10,FALSE)</f>
        <v>309.5</v>
      </c>
    </row>
    <row r="521" spans="1:2" x14ac:dyDescent="0.25">
      <c r="A521" s="16">
        <v>1865</v>
      </c>
      <c r="B521">
        <f>VLOOKUP(A521,'Inventario ENE 30-1-26'!$A$1:$J$10000,10,FALSE)</f>
        <v>1243.5</v>
      </c>
    </row>
    <row r="522" spans="1:2" x14ac:dyDescent="0.25">
      <c r="A522" s="16">
        <v>1866</v>
      </c>
      <c r="B522">
        <f>VLOOKUP(A522,'Inventario ENE 30-1-26'!$A$1:$J$10000,10,FALSE)</f>
        <v>360</v>
      </c>
    </row>
    <row r="523" spans="1:2" x14ac:dyDescent="0.25">
      <c r="A523" s="16">
        <v>1873</v>
      </c>
      <c r="B523">
        <f>VLOOKUP(A523,'Inventario ENE 30-1-26'!$A$1:$J$10000,10,FALSE)</f>
        <v>309.5</v>
      </c>
    </row>
    <row r="524" spans="1:2" x14ac:dyDescent="0.25">
      <c r="A524" s="16">
        <v>1874</v>
      </c>
      <c r="B524">
        <f>VLOOKUP(A524,'Inventario ENE 30-1-26'!$A$1:$J$10000,10,FALSE)</f>
        <v>309.5</v>
      </c>
    </row>
    <row r="525" spans="1:2" x14ac:dyDescent="0.25">
      <c r="A525" s="16">
        <v>1875</v>
      </c>
      <c r="B525">
        <f>VLOOKUP(A525,'Inventario ENE 30-1-26'!$A$1:$J$10000,10,FALSE)</f>
        <v>309.5</v>
      </c>
    </row>
    <row r="526" spans="1:2" x14ac:dyDescent="0.25">
      <c r="A526" s="16">
        <v>1877</v>
      </c>
      <c r="B526">
        <f>VLOOKUP(A526,'Inventario ENE 30-1-26'!$A$1:$J$10000,10,FALSE)</f>
        <v>309.5</v>
      </c>
    </row>
    <row r="527" spans="1:2" x14ac:dyDescent="0.25">
      <c r="A527" s="16">
        <v>1878</v>
      </c>
      <c r="B527">
        <f>VLOOKUP(A527,'Inventario ENE 30-1-26'!$A$1:$J$10000,10,FALSE)</f>
        <v>309.5</v>
      </c>
    </row>
    <row r="528" spans="1:2" x14ac:dyDescent="0.25">
      <c r="A528" s="16">
        <v>1881</v>
      </c>
      <c r="B528">
        <f>VLOOKUP(A528,'Inventario ENE 30-1-26'!$A$1:$J$10000,10,FALSE)</f>
        <v>1212</v>
      </c>
    </row>
    <row r="529" spans="1:2" x14ac:dyDescent="0.25">
      <c r="A529" s="16">
        <v>1882</v>
      </c>
      <c r="B529">
        <f>VLOOKUP(A529,'Inventario ENE 30-1-26'!$A$1:$J$10000,10,FALSE)</f>
        <v>1212</v>
      </c>
    </row>
    <row r="530" spans="1:2" x14ac:dyDescent="0.25">
      <c r="A530" s="16">
        <v>1883</v>
      </c>
      <c r="B530">
        <f>VLOOKUP(A530,'Inventario ENE 30-1-26'!$A$1:$J$10000,10,FALSE)</f>
        <v>1212</v>
      </c>
    </row>
    <row r="531" spans="1:2" x14ac:dyDescent="0.25">
      <c r="A531" s="16">
        <v>1885</v>
      </c>
      <c r="B531">
        <f>VLOOKUP(A531,'Inventario ENE 30-1-26'!$A$1:$J$10000,10,FALSE)</f>
        <v>309.5</v>
      </c>
    </row>
    <row r="532" spans="1:2" x14ac:dyDescent="0.25">
      <c r="A532" s="16">
        <v>1886</v>
      </c>
      <c r="B532">
        <f>VLOOKUP(A532,'Inventario ENE 30-1-26'!$A$1:$J$10000,10,FALSE)</f>
        <v>309.5</v>
      </c>
    </row>
    <row r="533" spans="1:2" x14ac:dyDescent="0.25">
      <c r="A533" s="16">
        <v>1887</v>
      </c>
      <c r="B533">
        <f>VLOOKUP(A533,'Inventario ENE 30-1-26'!$A$1:$J$10000,10,FALSE)</f>
        <v>309.5</v>
      </c>
    </row>
    <row r="534" spans="1:2" x14ac:dyDescent="0.25">
      <c r="A534" s="16">
        <v>1888</v>
      </c>
      <c r="B534">
        <f>VLOOKUP(A534,'Inventario ENE 30-1-26'!$A$1:$J$10000,10,FALSE)</f>
        <v>309.5</v>
      </c>
    </row>
    <row r="535" spans="1:2" x14ac:dyDescent="0.25">
      <c r="A535" s="16">
        <v>1889</v>
      </c>
      <c r="B535">
        <f>VLOOKUP(A535,'Inventario ENE 30-1-26'!$A$1:$J$10000,10,FALSE)</f>
        <v>309.5</v>
      </c>
    </row>
    <row r="536" spans="1:2" x14ac:dyDescent="0.25">
      <c r="A536" s="16">
        <v>1890</v>
      </c>
      <c r="B536">
        <f>VLOOKUP(A536,'Inventario ENE 30-1-26'!$A$1:$J$10000,10,FALSE)</f>
        <v>309.5</v>
      </c>
    </row>
    <row r="537" spans="1:2" x14ac:dyDescent="0.25">
      <c r="A537" s="16">
        <v>1891</v>
      </c>
      <c r="B537">
        <f>VLOOKUP(A537,'Inventario ENE 30-1-26'!$A$1:$J$10000,10,FALSE)</f>
        <v>309.5</v>
      </c>
    </row>
    <row r="538" spans="1:2" x14ac:dyDescent="0.25">
      <c r="A538" s="16">
        <v>1892</v>
      </c>
      <c r="B538">
        <f>VLOOKUP(A538,'Inventario ENE 30-1-26'!$A$1:$J$10000,10,FALSE)</f>
        <v>309.5</v>
      </c>
    </row>
    <row r="539" spans="1:2" x14ac:dyDescent="0.25">
      <c r="A539" s="16">
        <v>1893</v>
      </c>
      <c r="B539">
        <f>VLOOKUP(A539,'Inventario ENE 30-1-26'!$A$1:$J$10000,10,FALSE)</f>
        <v>309.5</v>
      </c>
    </row>
    <row r="540" spans="1:2" x14ac:dyDescent="0.25">
      <c r="A540" s="16">
        <v>1894</v>
      </c>
      <c r="B540">
        <f>VLOOKUP(A540,'Inventario ENE 30-1-26'!$A$1:$J$10000,10,FALSE)</f>
        <v>1212</v>
      </c>
    </row>
    <row r="541" spans="1:2" x14ac:dyDescent="0.25">
      <c r="A541" s="16">
        <v>1895</v>
      </c>
      <c r="B541">
        <f>VLOOKUP(A541,'Inventario ENE 30-1-26'!$A$1:$J$10000,10,FALSE)</f>
        <v>1212</v>
      </c>
    </row>
    <row r="542" spans="1:2" x14ac:dyDescent="0.25">
      <c r="A542" s="16">
        <v>1896</v>
      </c>
      <c r="B542">
        <f>VLOOKUP(A542,'Inventario ENE 30-1-26'!$A$1:$J$10000,10,FALSE)</f>
        <v>1212</v>
      </c>
    </row>
    <row r="543" spans="1:2" x14ac:dyDescent="0.25">
      <c r="A543" s="16">
        <v>1897</v>
      </c>
      <c r="B543">
        <f>VLOOKUP(A543,'Inventario ENE 30-1-26'!$A$1:$J$10000,10,FALSE)</f>
        <v>1212</v>
      </c>
    </row>
    <row r="544" spans="1:2" x14ac:dyDescent="0.25">
      <c r="A544" s="16">
        <v>1900</v>
      </c>
      <c r="B544">
        <f>VLOOKUP(A544,'Inventario ENE 30-1-26'!$A$1:$J$10000,10,FALSE)</f>
        <v>3600</v>
      </c>
    </row>
    <row r="545" spans="1:2" x14ac:dyDescent="0.25">
      <c r="A545" s="16">
        <v>1902</v>
      </c>
      <c r="B545">
        <f>VLOOKUP(A545,'Inventario ENE 30-1-26'!$A$1:$J$10000,10,FALSE)</f>
        <v>309.5</v>
      </c>
    </row>
    <row r="546" spans="1:2" x14ac:dyDescent="0.25">
      <c r="A546" s="16">
        <v>1906</v>
      </c>
      <c r="B546">
        <f>VLOOKUP(A546,'Inventario ENE 30-1-26'!$A$1:$J$10000,10,FALSE)</f>
        <v>309.5</v>
      </c>
    </row>
    <row r="547" spans="1:2" x14ac:dyDescent="0.25">
      <c r="A547" s="16">
        <v>1908</v>
      </c>
      <c r="B547">
        <f>VLOOKUP(A547,'Inventario ENE 30-1-26'!$A$1:$J$10000,10,FALSE)</f>
        <v>309.5</v>
      </c>
    </row>
    <row r="548" spans="1:2" x14ac:dyDescent="0.25">
      <c r="A548" s="16">
        <v>1909</v>
      </c>
      <c r="B548">
        <f>VLOOKUP(A548,'Inventario ENE 30-1-26'!$A$1:$J$10000,10,FALSE)</f>
        <v>309.5</v>
      </c>
    </row>
    <row r="549" spans="1:2" x14ac:dyDescent="0.25">
      <c r="A549" s="16">
        <v>1910</v>
      </c>
      <c r="B549">
        <f>VLOOKUP(A549,'Inventario ENE 30-1-26'!$A$1:$J$10000,10,FALSE)</f>
        <v>309.5</v>
      </c>
    </row>
    <row r="550" spans="1:2" x14ac:dyDescent="0.25">
      <c r="A550" s="16">
        <v>1911</v>
      </c>
      <c r="B550">
        <f>VLOOKUP(A550,'Inventario ENE 30-1-26'!$A$1:$J$10000,10,FALSE)</f>
        <v>309.5</v>
      </c>
    </row>
    <row r="551" spans="1:2" x14ac:dyDescent="0.25">
      <c r="A551" s="16">
        <v>1912</v>
      </c>
      <c r="B551">
        <f>VLOOKUP(A551,'Inventario ENE 30-1-26'!$A$1:$J$10000,10,FALSE)</f>
        <v>1212</v>
      </c>
    </row>
    <row r="552" spans="1:2" x14ac:dyDescent="0.25">
      <c r="A552" s="16">
        <v>1913</v>
      </c>
      <c r="B552">
        <f>VLOOKUP(A552,'Inventario ENE 30-1-26'!$A$1:$J$10000,10,FALSE)</f>
        <v>1212</v>
      </c>
    </row>
    <row r="553" spans="1:2" x14ac:dyDescent="0.25">
      <c r="A553" s="16">
        <v>1915</v>
      </c>
      <c r="B553">
        <f>VLOOKUP(A553,'Inventario ENE 30-1-26'!$A$1:$J$10000,10,FALSE)</f>
        <v>1212</v>
      </c>
    </row>
    <row r="554" spans="1:2" x14ac:dyDescent="0.25">
      <c r="A554" s="16">
        <v>1916</v>
      </c>
      <c r="B554">
        <f>VLOOKUP(A554,'Inventario ENE 30-1-26'!$A$1:$J$10000,10,FALSE)</f>
        <v>1212</v>
      </c>
    </row>
    <row r="555" spans="1:2" x14ac:dyDescent="0.25">
      <c r="A555" s="16">
        <v>1917</v>
      </c>
      <c r="B555">
        <f>VLOOKUP(A555,'Inventario ENE 30-1-26'!$A$1:$J$10000,10,FALSE)</f>
        <v>1212</v>
      </c>
    </row>
    <row r="556" spans="1:2" x14ac:dyDescent="0.25">
      <c r="A556" s="16">
        <v>1918</v>
      </c>
      <c r="B556">
        <f>VLOOKUP(A556,'Inventario ENE 30-1-26'!$A$1:$J$10000,10,FALSE)</f>
        <v>1212</v>
      </c>
    </row>
    <row r="557" spans="1:2" x14ac:dyDescent="0.25">
      <c r="A557" s="16">
        <v>1919</v>
      </c>
      <c r="B557">
        <f>VLOOKUP(A557,'Inventario ENE 30-1-26'!$A$1:$J$10000,10,FALSE)</f>
        <v>1212</v>
      </c>
    </row>
    <row r="558" spans="1:2" x14ac:dyDescent="0.25">
      <c r="A558" s="16">
        <v>1920</v>
      </c>
      <c r="B558">
        <f>VLOOKUP(A558,'Inventario ENE 30-1-26'!$A$1:$J$10000,10,FALSE)</f>
        <v>1212</v>
      </c>
    </row>
    <row r="559" spans="1:2" x14ac:dyDescent="0.25">
      <c r="A559" s="16">
        <v>1921</v>
      </c>
      <c r="B559">
        <f>VLOOKUP(A559,'Inventario ENE 30-1-26'!$A$1:$J$10000,10,FALSE)</f>
        <v>1212</v>
      </c>
    </row>
    <row r="560" spans="1:2" x14ac:dyDescent="0.25">
      <c r="A560" s="16">
        <v>1924</v>
      </c>
      <c r="B560">
        <f>VLOOKUP(A560,'Inventario ENE 30-1-26'!$A$1:$J$10000,10,FALSE)</f>
        <v>1212</v>
      </c>
    </row>
    <row r="561" spans="1:2" x14ac:dyDescent="0.25">
      <c r="A561" s="16">
        <v>1925</v>
      </c>
      <c r="B561">
        <f>VLOOKUP(A561,'Inventario ENE 30-1-26'!$A$1:$J$10000,10,FALSE)</f>
        <v>1212</v>
      </c>
    </row>
    <row r="562" spans="1:2" x14ac:dyDescent="0.25">
      <c r="A562" s="16">
        <v>1926</v>
      </c>
      <c r="B562">
        <f>VLOOKUP(A562,'Inventario ENE 30-1-26'!$A$1:$J$10000,10,FALSE)</f>
        <v>1212</v>
      </c>
    </row>
    <row r="563" spans="1:2" x14ac:dyDescent="0.25">
      <c r="A563" s="16">
        <v>1935</v>
      </c>
      <c r="B563">
        <f>VLOOKUP(A563,'Inventario ENE 30-1-26'!$A$1:$J$10000,10,FALSE)</f>
        <v>309.5</v>
      </c>
    </row>
    <row r="564" spans="1:2" x14ac:dyDescent="0.25">
      <c r="A564" s="16">
        <v>1936</v>
      </c>
      <c r="B564">
        <f>VLOOKUP(A564,'Inventario ENE 30-1-26'!$A$1:$J$10000,10,FALSE)</f>
        <v>309.5</v>
      </c>
    </row>
    <row r="565" spans="1:2" x14ac:dyDescent="0.25">
      <c r="A565" s="16">
        <v>1937</v>
      </c>
      <c r="B565">
        <f>VLOOKUP(A565,'Inventario ENE 30-1-26'!$A$1:$J$10000,10,FALSE)</f>
        <v>309.5</v>
      </c>
    </row>
    <row r="566" spans="1:2" x14ac:dyDescent="0.25">
      <c r="A566" s="16">
        <v>1938</v>
      </c>
      <c r="B566">
        <f>VLOOKUP(A566,'Inventario ENE 30-1-26'!$A$1:$J$10000,10,FALSE)</f>
        <v>309.5</v>
      </c>
    </row>
    <row r="567" spans="1:2" x14ac:dyDescent="0.25">
      <c r="A567" s="16">
        <v>1939</v>
      </c>
      <c r="B567">
        <f>VLOOKUP(A567,'Inventario ENE 30-1-26'!$A$1:$J$10000,10,FALSE)</f>
        <v>309.5</v>
      </c>
    </row>
    <row r="568" spans="1:2" x14ac:dyDescent="0.25">
      <c r="A568" s="16">
        <v>1940</v>
      </c>
      <c r="B568">
        <f>VLOOKUP(A568,'Inventario ENE 30-1-26'!$A$1:$J$10000,10,FALSE)</f>
        <v>309.5</v>
      </c>
    </row>
    <row r="569" spans="1:2" x14ac:dyDescent="0.25">
      <c r="A569" s="16">
        <v>1941</v>
      </c>
      <c r="B569">
        <f>VLOOKUP(A569,'Inventario ENE 30-1-26'!$A$1:$J$10000,10,FALSE)</f>
        <v>309.5</v>
      </c>
    </row>
    <row r="570" spans="1:2" x14ac:dyDescent="0.25">
      <c r="A570" s="16">
        <v>1942</v>
      </c>
      <c r="B570">
        <f>VLOOKUP(A570,'Inventario ENE 30-1-26'!$A$1:$J$10000,10,FALSE)</f>
        <v>309.5</v>
      </c>
    </row>
    <row r="571" spans="1:2" x14ac:dyDescent="0.25">
      <c r="A571" s="16">
        <v>1943</v>
      </c>
      <c r="B571">
        <f>VLOOKUP(A571,'Inventario ENE 30-1-26'!$A$1:$J$10000,10,FALSE)</f>
        <v>309.5</v>
      </c>
    </row>
    <row r="572" spans="1:2" x14ac:dyDescent="0.25">
      <c r="A572" s="16">
        <v>1945</v>
      </c>
      <c r="B572">
        <f>VLOOKUP(A572,'Inventario ENE 30-1-26'!$A$1:$J$10000,10,FALSE)</f>
        <v>309.5</v>
      </c>
    </row>
    <row r="573" spans="1:2" x14ac:dyDescent="0.25">
      <c r="A573" s="16">
        <v>1946</v>
      </c>
      <c r="B573">
        <f>VLOOKUP(A573,'Inventario ENE 30-1-26'!$A$1:$J$10000,10,FALSE)</f>
        <v>1212</v>
      </c>
    </row>
    <row r="574" spans="1:2" x14ac:dyDescent="0.25">
      <c r="A574" s="16">
        <v>1949</v>
      </c>
      <c r="B574">
        <f>VLOOKUP(A574,'Inventario ENE 30-1-26'!$A$1:$J$10000,10,FALSE)</f>
        <v>309.5</v>
      </c>
    </row>
    <row r="575" spans="1:2" x14ac:dyDescent="0.25">
      <c r="A575" s="16">
        <v>1950</v>
      </c>
      <c r="B575">
        <f>VLOOKUP(A575,'Inventario ENE 30-1-26'!$A$1:$J$10000,10,FALSE)</f>
        <v>309.5</v>
      </c>
    </row>
    <row r="576" spans="1:2" x14ac:dyDescent="0.25">
      <c r="A576" s="16">
        <v>1951</v>
      </c>
      <c r="B576">
        <f>VLOOKUP(A576,'Inventario ENE 30-1-26'!$A$1:$J$10000,10,FALSE)</f>
        <v>461</v>
      </c>
    </row>
    <row r="577" spans="1:2" x14ac:dyDescent="0.25">
      <c r="A577" s="16">
        <v>1953</v>
      </c>
      <c r="B577">
        <f>VLOOKUP(A577,'Inventario ENE 30-1-26'!$A$1:$J$10000,10,FALSE)</f>
        <v>461</v>
      </c>
    </row>
    <row r="578" spans="1:2" x14ac:dyDescent="0.25">
      <c r="A578" s="16">
        <v>1954</v>
      </c>
      <c r="B578">
        <f>VLOOKUP(A578,'Inventario ENE 30-1-26'!$A$1:$J$10000,10,FALSE)</f>
        <v>461</v>
      </c>
    </row>
    <row r="579" spans="1:2" x14ac:dyDescent="0.25">
      <c r="A579" s="16">
        <v>1955</v>
      </c>
      <c r="B579">
        <f>VLOOKUP(A579,'Inventario ENE 30-1-26'!$A$1:$J$10000,10,FALSE)</f>
        <v>1212</v>
      </c>
    </row>
    <row r="580" spans="1:2" x14ac:dyDescent="0.25">
      <c r="A580" s="16">
        <v>1956</v>
      </c>
      <c r="B580">
        <f>VLOOKUP(A580,'Inventario ENE 30-1-26'!$A$1:$J$10000,10,FALSE)</f>
        <v>1212</v>
      </c>
    </row>
    <row r="581" spans="1:2" x14ac:dyDescent="0.25">
      <c r="A581" s="16">
        <v>1957</v>
      </c>
      <c r="B581">
        <f>VLOOKUP(A581,'Inventario ENE 30-1-26'!$A$1:$J$10000,10,FALSE)</f>
        <v>1212</v>
      </c>
    </row>
    <row r="582" spans="1:2" x14ac:dyDescent="0.25">
      <c r="A582" s="16">
        <v>1958</v>
      </c>
      <c r="B582">
        <f>VLOOKUP(A582,'Inventario ENE 30-1-26'!$A$1:$J$10000,10,FALSE)</f>
        <v>1212</v>
      </c>
    </row>
    <row r="583" spans="1:2" x14ac:dyDescent="0.25">
      <c r="A583" s="16">
        <v>1965</v>
      </c>
      <c r="B583">
        <f>VLOOKUP(A583,'Inventario ENE 30-1-26'!$A$1:$J$10000,10,FALSE)</f>
        <v>461</v>
      </c>
    </row>
    <row r="584" spans="1:2" x14ac:dyDescent="0.25">
      <c r="A584" s="16">
        <v>1968</v>
      </c>
      <c r="B584">
        <f>VLOOKUP(A584,'Inventario ENE 30-1-26'!$A$1:$J$10000,10,FALSE)</f>
        <v>1212</v>
      </c>
    </row>
    <row r="585" spans="1:2" x14ac:dyDescent="0.25">
      <c r="A585" s="16">
        <v>1969</v>
      </c>
      <c r="B585">
        <f>VLOOKUP(A585,'Inventario ENE 30-1-26'!$A$1:$J$10000,10,FALSE)</f>
        <v>1212</v>
      </c>
    </row>
    <row r="586" spans="1:2" x14ac:dyDescent="0.25">
      <c r="A586" s="16">
        <v>1971</v>
      </c>
      <c r="B586">
        <f>VLOOKUP(A586,'Inventario ENE 30-1-26'!$A$1:$J$10000,10,FALSE)</f>
        <v>461</v>
      </c>
    </row>
    <row r="587" spans="1:2" x14ac:dyDescent="0.25">
      <c r="A587" s="16">
        <v>1972</v>
      </c>
      <c r="B587">
        <f>VLOOKUP(A587,'Inventario ENE 30-1-26'!$A$1:$J$10000,10,FALSE)</f>
        <v>1212</v>
      </c>
    </row>
    <row r="588" spans="1:2" x14ac:dyDescent="0.25">
      <c r="A588" s="16">
        <v>1977</v>
      </c>
      <c r="B588">
        <f>VLOOKUP(A588,'Inventario ENE 30-1-26'!$A$1:$J$10000,10,FALSE)</f>
        <v>461</v>
      </c>
    </row>
    <row r="589" spans="1:2" x14ac:dyDescent="0.25">
      <c r="A589" s="16">
        <v>1978</v>
      </c>
      <c r="B589">
        <f>VLOOKUP(A589,'Inventario ENE 30-1-26'!$A$1:$J$10000,10,FALSE)</f>
        <v>461</v>
      </c>
    </row>
    <row r="590" spans="1:2" x14ac:dyDescent="0.25">
      <c r="A590" s="16">
        <v>1979</v>
      </c>
      <c r="B590">
        <f>VLOOKUP(A590,'Inventario ENE 30-1-26'!$A$1:$J$10000,10,FALSE)</f>
        <v>461</v>
      </c>
    </row>
    <row r="591" spans="1:2" x14ac:dyDescent="0.25">
      <c r="A591" s="16">
        <v>1980</v>
      </c>
      <c r="B591">
        <f>VLOOKUP(A591,'Inventario ENE 30-1-26'!$A$1:$J$10000,10,FALSE)</f>
        <v>461</v>
      </c>
    </row>
    <row r="592" spans="1:2" x14ac:dyDescent="0.25">
      <c r="A592" s="16">
        <v>1982</v>
      </c>
      <c r="B592">
        <f>VLOOKUP(A592,'Inventario ENE 30-1-26'!$A$1:$J$10000,10,FALSE)</f>
        <v>1212</v>
      </c>
    </row>
    <row r="593" spans="1:2" x14ac:dyDescent="0.25">
      <c r="A593" s="16">
        <v>1984</v>
      </c>
      <c r="B593">
        <f>VLOOKUP(A593,'Inventario ENE 30-1-26'!$A$1:$J$10000,10,FALSE)</f>
        <v>1212</v>
      </c>
    </row>
    <row r="594" spans="1:2" x14ac:dyDescent="0.25">
      <c r="A594" s="16">
        <v>1985</v>
      </c>
      <c r="B594">
        <f>VLOOKUP(A594,'Inventario ENE 30-1-26'!$A$1:$J$10000,10,FALSE)</f>
        <v>1212</v>
      </c>
    </row>
    <row r="595" spans="1:2" x14ac:dyDescent="0.25">
      <c r="A595" s="16">
        <v>2003</v>
      </c>
      <c r="B595">
        <f>VLOOKUP(A595,'Inventario ENE 30-1-26'!$A$1:$J$10000,10,FALSE)</f>
        <v>1154</v>
      </c>
    </row>
    <row r="596" spans="1:2" x14ac:dyDescent="0.25">
      <c r="A596" s="16">
        <v>2004</v>
      </c>
      <c r="B596">
        <f>VLOOKUP(A596,'Inventario ENE 30-1-26'!$A$1:$J$10000,10,FALSE)</f>
        <v>318.5</v>
      </c>
    </row>
    <row r="597" spans="1:2" x14ac:dyDescent="0.25">
      <c r="A597" s="16">
        <v>2005</v>
      </c>
      <c r="B597">
        <f>VLOOKUP(A597,'Inventario ENE 30-1-26'!$A$1:$J$10000,10,FALSE)</f>
        <v>1154</v>
      </c>
    </row>
    <row r="598" spans="1:2" x14ac:dyDescent="0.25">
      <c r="A598" s="16">
        <v>2009</v>
      </c>
      <c r="B598">
        <f>VLOOKUP(A598,'Inventario ENE 30-1-26'!$A$1:$J$10000,10,FALSE)</f>
        <v>765</v>
      </c>
    </row>
    <row r="599" spans="1:2" x14ac:dyDescent="0.25">
      <c r="A599" s="16">
        <v>2012</v>
      </c>
      <c r="B599">
        <f>VLOOKUP(A599,'Inventario ENE 30-1-26'!$A$1:$J$10000,10,FALSE)</f>
        <v>765</v>
      </c>
    </row>
    <row r="600" spans="1:2" x14ac:dyDescent="0.25">
      <c r="A600" s="16">
        <v>2013</v>
      </c>
      <c r="B600">
        <f>VLOOKUP(A600,'Inventario ENE 30-1-26'!$A$1:$J$10000,10,FALSE)</f>
        <v>765</v>
      </c>
    </row>
    <row r="601" spans="1:2" x14ac:dyDescent="0.25">
      <c r="A601" s="16">
        <v>2017</v>
      </c>
      <c r="B601">
        <f>VLOOKUP(A601,'Inventario ENE 30-1-26'!$A$1:$J$10000,10,FALSE)</f>
        <v>765</v>
      </c>
    </row>
    <row r="602" spans="1:2" x14ac:dyDescent="0.25">
      <c r="A602" s="16">
        <v>2018</v>
      </c>
      <c r="B602">
        <f>VLOOKUP(A602,'Inventario ENE 30-1-26'!$A$1:$J$10000,10,FALSE)</f>
        <v>765</v>
      </c>
    </row>
    <row r="603" spans="1:2" x14ac:dyDescent="0.25">
      <c r="A603" s="16">
        <v>2020</v>
      </c>
      <c r="B603">
        <f>VLOOKUP(A603,'Inventario ENE 30-1-26'!$A$1:$J$10000,10,FALSE)</f>
        <v>851</v>
      </c>
    </row>
    <row r="604" spans="1:2" x14ac:dyDescent="0.25">
      <c r="A604" s="16">
        <v>2021</v>
      </c>
      <c r="B604">
        <f>VLOOKUP(A604,'Inventario ENE 30-1-26'!$A$1:$J$10000,10,FALSE)</f>
        <v>765</v>
      </c>
    </row>
    <row r="605" spans="1:2" x14ac:dyDescent="0.25">
      <c r="A605" s="16">
        <v>2026</v>
      </c>
      <c r="B605">
        <f>VLOOKUP(A605,'Inventario ENE 30-1-26'!$A$1:$J$10000,10,FALSE)</f>
        <v>765</v>
      </c>
    </row>
    <row r="606" spans="1:2" x14ac:dyDescent="0.25">
      <c r="A606" s="16">
        <v>2027</v>
      </c>
      <c r="B606">
        <f>VLOOKUP(A606,'Inventario ENE 30-1-26'!$A$1:$J$10000,10,FALSE)</f>
        <v>765</v>
      </c>
    </row>
    <row r="607" spans="1:2" x14ac:dyDescent="0.25">
      <c r="A607" s="16">
        <v>2028</v>
      </c>
      <c r="B607">
        <f>VLOOKUP(A607,'Inventario ENE 30-1-26'!$A$1:$J$10000,10,FALSE)</f>
        <v>765</v>
      </c>
    </row>
    <row r="608" spans="1:2" x14ac:dyDescent="0.25">
      <c r="A608" s="16">
        <v>2030</v>
      </c>
      <c r="B608">
        <f>VLOOKUP(A608,'Inventario ENE 30-1-26'!$A$1:$J$10000,10,FALSE)</f>
        <v>765</v>
      </c>
    </row>
    <row r="609" spans="1:2" x14ac:dyDescent="0.25">
      <c r="A609" s="16">
        <v>2036</v>
      </c>
      <c r="B609">
        <f>VLOOKUP(A609,'Inventario ENE 30-1-26'!$A$1:$J$10000,10,FALSE)</f>
        <v>765</v>
      </c>
    </row>
    <row r="610" spans="1:2" x14ac:dyDescent="0.25">
      <c r="A610" s="16">
        <v>2037</v>
      </c>
      <c r="B610">
        <f>VLOOKUP(A610,'Inventario ENE 30-1-26'!$A$1:$J$10000,10,FALSE)</f>
        <v>765</v>
      </c>
    </row>
    <row r="611" spans="1:2" x14ac:dyDescent="0.25">
      <c r="A611" s="16">
        <v>2040</v>
      </c>
      <c r="B611">
        <f>VLOOKUP(A611,'Inventario ENE 30-1-26'!$A$1:$J$10000,10,FALSE)</f>
        <v>765</v>
      </c>
    </row>
    <row r="612" spans="1:2" x14ac:dyDescent="0.25">
      <c r="A612" s="16">
        <v>2041</v>
      </c>
      <c r="B612">
        <f>VLOOKUP(A612,'Inventario ENE 30-1-26'!$A$1:$J$10000,10,FALSE)</f>
        <v>765</v>
      </c>
    </row>
    <row r="613" spans="1:2" x14ac:dyDescent="0.25">
      <c r="A613" s="16">
        <v>2042</v>
      </c>
      <c r="B613">
        <f>VLOOKUP(A613,'Inventario ENE 30-1-26'!$A$1:$J$10000,10,FALSE)</f>
        <v>765</v>
      </c>
    </row>
    <row r="614" spans="1:2" x14ac:dyDescent="0.25">
      <c r="A614" s="16">
        <v>2046</v>
      </c>
      <c r="B614">
        <f>VLOOKUP(A614,'Inventario ENE 30-1-26'!$A$1:$J$10000,10,FALSE)</f>
        <v>765</v>
      </c>
    </row>
    <row r="615" spans="1:2" x14ac:dyDescent="0.25">
      <c r="A615" s="16">
        <v>2047</v>
      </c>
      <c r="B615">
        <f>VLOOKUP(A615,'Inventario ENE 30-1-26'!$A$1:$J$10000,10,FALSE)</f>
        <v>318.5</v>
      </c>
    </row>
    <row r="616" spans="1:2" x14ac:dyDescent="0.25">
      <c r="A616" s="16">
        <v>2049</v>
      </c>
      <c r="B616">
        <f>VLOOKUP(A616,'Inventario ENE 30-1-26'!$A$1:$J$10000,10,FALSE)</f>
        <v>1632</v>
      </c>
    </row>
    <row r="617" spans="1:2" x14ac:dyDescent="0.25">
      <c r="A617" s="16">
        <v>2050</v>
      </c>
      <c r="B617">
        <f>VLOOKUP(A617,'Inventario ENE 30-1-26'!$A$1:$J$10000,10,FALSE)</f>
        <v>309.5</v>
      </c>
    </row>
    <row r="618" spans="1:2" x14ac:dyDescent="0.25">
      <c r="A618" s="16">
        <v>2051</v>
      </c>
      <c r="B618">
        <f>VLOOKUP(A618,'Inventario ENE 30-1-26'!$A$1:$J$10000,10,FALSE)</f>
        <v>309.5</v>
      </c>
    </row>
    <row r="619" spans="1:2" x14ac:dyDescent="0.25">
      <c r="A619" s="16">
        <v>2053</v>
      </c>
      <c r="B619">
        <f>VLOOKUP(A619,'Inventario ENE 30-1-26'!$A$1:$J$10000,10,FALSE)</f>
        <v>309.5</v>
      </c>
    </row>
    <row r="620" spans="1:2" x14ac:dyDescent="0.25">
      <c r="A620" s="16">
        <v>2054</v>
      </c>
      <c r="B620">
        <f>VLOOKUP(A620,'Inventario ENE 30-1-26'!$A$1:$J$10000,10,FALSE)</f>
        <v>309.5</v>
      </c>
    </row>
    <row r="621" spans="1:2" x14ac:dyDescent="0.25">
      <c r="A621" s="16">
        <v>2056</v>
      </c>
      <c r="B621">
        <f>VLOOKUP(A621,'Inventario ENE 30-1-26'!$A$1:$J$10000,10,FALSE)</f>
        <v>309.5</v>
      </c>
    </row>
    <row r="622" spans="1:2" x14ac:dyDescent="0.25">
      <c r="A622" s="16">
        <v>2057</v>
      </c>
      <c r="B622">
        <f>VLOOKUP(A622,'Inventario ENE 30-1-26'!$A$1:$J$10000,10,FALSE)</f>
        <v>309.5</v>
      </c>
    </row>
    <row r="623" spans="1:2" x14ac:dyDescent="0.25">
      <c r="A623" s="16">
        <v>2058</v>
      </c>
      <c r="B623">
        <f>VLOOKUP(A623,'Inventario ENE 30-1-26'!$A$1:$J$10000,10,FALSE)</f>
        <v>309.5</v>
      </c>
    </row>
    <row r="624" spans="1:2" x14ac:dyDescent="0.25">
      <c r="A624" s="16">
        <v>2059</v>
      </c>
      <c r="B624">
        <f>VLOOKUP(A624,'Inventario ENE 30-1-26'!$A$1:$J$10000,10,FALSE)</f>
        <v>309.5</v>
      </c>
    </row>
    <row r="625" spans="1:2" x14ac:dyDescent="0.25">
      <c r="A625" s="16">
        <v>2062</v>
      </c>
      <c r="B625">
        <f>VLOOKUP(A625,'Inventario ENE 30-1-26'!$A$1:$J$10000,10,FALSE)</f>
        <v>309.5</v>
      </c>
    </row>
    <row r="626" spans="1:2" x14ac:dyDescent="0.25">
      <c r="A626" s="16">
        <v>2063</v>
      </c>
      <c r="B626">
        <f>VLOOKUP(A626,'Inventario ENE 30-1-26'!$A$1:$J$10000,10,FALSE)</f>
        <v>309.5</v>
      </c>
    </row>
    <row r="627" spans="1:2" x14ac:dyDescent="0.25">
      <c r="A627" s="16">
        <v>2065</v>
      </c>
      <c r="B627">
        <f>VLOOKUP(A627,'Inventario ENE 30-1-26'!$A$1:$J$10000,10,FALSE)</f>
        <v>461</v>
      </c>
    </row>
    <row r="628" spans="1:2" x14ac:dyDescent="0.25">
      <c r="A628" s="16">
        <v>2071</v>
      </c>
      <c r="B628">
        <f>VLOOKUP(A628,'Inventario ENE 30-1-26'!$A$1:$J$10000,10,FALSE)</f>
        <v>461</v>
      </c>
    </row>
    <row r="629" spans="1:2" x14ac:dyDescent="0.25">
      <c r="A629" s="16">
        <v>2072</v>
      </c>
      <c r="B629">
        <f>VLOOKUP(A629,'Inventario ENE 30-1-26'!$A$1:$J$10000,10,FALSE)</f>
        <v>461</v>
      </c>
    </row>
    <row r="630" spans="1:2" x14ac:dyDescent="0.25">
      <c r="A630" s="16">
        <v>2073</v>
      </c>
      <c r="B630">
        <f>VLOOKUP(A630,'Inventario ENE 30-1-26'!$A$1:$J$10000,10,FALSE)</f>
        <v>461</v>
      </c>
    </row>
    <row r="631" spans="1:2" x14ac:dyDescent="0.25">
      <c r="A631" s="16">
        <v>2074</v>
      </c>
      <c r="B631">
        <f>VLOOKUP(A631,'Inventario ENE 30-1-26'!$A$1:$J$10000,10,FALSE)</f>
        <v>309.5</v>
      </c>
    </row>
    <row r="632" spans="1:2" x14ac:dyDescent="0.25">
      <c r="A632" s="16">
        <v>2075</v>
      </c>
      <c r="B632">
        <f>VLOOKUP(A632,'Inventario ENE 30-1-26'!$A$1:$J$10000,10,FALSE)</f>
        <v>461</v>
      </c>
    </row>
    <row r="633" spans="1:2" x14ac:dyDescent="0.25">
      <c r="A633" s="16">
        <v>2076</v>
      </c>
      <c r="B633">
        <f>VLOOKUP(A633,'Inventario ENE 30-1-26'!$A$1:$J$10000,10,FALSE)</f>
        <v>461</v>
      </c>
    </row>
    <row r="634" spans="1:2" x14ac:dyDescent="0.25">
      <c r="A634" s="16">
        <v>2077</v>
      </c>
      <c r="B634">
        <f>VLOOKUP(A634,'Inventario ENE 30-1-26'!$A$1:$J$10000,10,FALSE)</f>
        <v>461</v>
      </c>
    </row>
    <row r="635" spans="1:2" x14ac:dyDescent="0.25">
      <c r="A635" s="16">
        <v>2078</v>
      </c>
      <c r="B635">
        <f>VLOOKUP(A635,'Inventario ENE 30-1-26'!$A$1:$J$10000,10,FALSE)</f>
        <v>461</v>
      </c>
    </row>
    <row r="636" spans="1:2" x14ac:dyDescent="0.25">
      <c r="A636" s="16">
        <v>2079</v>
      </c>
      <c r="B636">
        <f>VLOOKUP(A636,'Inventario ENE 30-1-26'!$A$1:$J$10000,10,FALSE)</f>
        <v>461</v>
      </c>
    </row>
    <row r="637" spans="1:2" x14ac:dyDescent="0.25">
      <c r="A637" s="16">
        <v>2081</v>
      </c>
      <c r="B637">
        <f>VLOOKUP(A637,'Inventario ENE 30-1-26'!$A$1:$J$10000,10,FALSE)</f>
        <v>1632</v>
      </c>
    </row>
    <row r="638" spans="1:2" x14ac:dyDescent="0.25">
      <c r="A638" s="16">
        <v>2082</v>
      </c>
      <c r="B638">
        <f>VLOOKUP(A638,'Inventario ENE 30-1-26'!$A$1:$J$10000,10,FALSE)</f>
        <v>1632</v>
      </c>
    </row>
    <row r="639" spans="1:2" x14ac:dyDescent="0.25">
      <c r="A639" s="16">
        <v>2083</v>
      </c>
      <c r="B639">
        <f>VLOOKUP(A639,'Inventario ENE 30-1-26'!$A$1:$J$10000,10,FALSE)</f>
        <v>765</v>
      </c>
    </row>
    <row r="640" spans="1:2" x14ac:dyDescent="0.25">
      <c r="A640" s="16">
        <v>2084</v>
      </c>
      <c r="B640">
        <f>VLOOKUP(A640,'Inventario ENE 30-1-26'!$A$1:$J$10000,10,FALSE)</f>
        <v>765</v>
      </c>
    </row>
    <row r="641" spans="1:2" x14ac:dyDescent="0.25">
      <c r="A641" s="16">
        <v>2090</v>
      </c>
      <c r="B641">
        <f>VLOOKUP(A641,'Inventario ENE 30-1-26'!$A$1:$J$10000,10,FALSE)</f>
        <v>765</v>
      </c>
    </row>
    <row r="642" spans="1:2" x14ac:dyDescent="0.25">
      <c r="A642" s="16">
        <v>2092</v>
      </c>
      <c r="B642">
        <f>VLOOKUP(A642,'Inventario ENE 30-1-26'!$A$1:$J$10000,10,FALSE)</f>
        <v>765</v>
      </c>
    </row>
    <row r="643" spans="1:2" x14ac:dyDescent="0.25">
      <c r="A643" s="16">
        <v>2101</v>
      </c>
      <c r="B643">
        <f>VLOOKUP(A643,'Inventario ENE 30-1-26'!$A$1:$J$10000,10,FALSE)</f>
        <v>851</v>
      </c>
    </row>
    <row r="644" spans="1:2" x14ac:dyDescent="0.25">
      <c r="A644" s="16">
        <v>2110</v>
      </c>
      <c r="B644">
        <f>VLOOKUP(A644,'Inventario ENE 30-1-26'!$A$1:$J$10000,10,FALSE)</f>
        <v>765</v>
      </c>
    </row>
    <row r="645" spans="1:2" x14ac:dyDescent="0.25">
      <c r="A645" s="16">
        <v>2111</v>
      </c>
      <c r="B645">
        <f>VLOOKUP(A645,'Inventario ENE 30-1-26'!$A$1:$J$10000,10,FALSE)</f>
        <v>765</v>
      </c>
    </row>
    <row r="646" spans="1:2" x14ac:dyDescent="0.25">
      <c r="A646" s="16">
        <v>2112</v>
      </c>
      <c r="B646">
        <f>VLOOKUP(A646,'Inventario ENE 30-1-26'!$A$1:$J$10000,10,FALSE)</f>
        <v>765</v>
      </c>
    </row>
    <row r="647" spans="1:2" x14ac:dyDescent="0.25">
      <c r="A647" s="16">
        <v>2113</v>
      </c>
      <c r="B647">
        <f>VLOOKUP(A647,'Inventario ENE 30-1-26'!$A$1:$J$10000,10,FALSE)</f>
        <v>765</v>
      </c>
    </row>
    <row r="648" spans="1:2" x14ac:dyDescent="0.25">
      <c r="A648" s="16">
        <v>2116</v>
      </c>
      <c r="B648">
        <f>VLOOKUP(A648,'Inventario ENE 30-1-26'!$A$1:$J$10000,10,FALSE)</f>
        <v>309.5</v>
      </c>
    </row>
    <row r="649" spans="1:2" x14ac:dyDescent="0.25">
      <c r="A649" s="16">
        <v>2118</v>
      </c>
      <c r="B649">
        <f>VLOOKUP(A649,'Inventario ENE 30-1-26'!$A$1:$J$10000,10,FALSE)</f>
        <v>309.5</v>
      </c>
    </row>
    <row r="650" spans="1:2" x14ac:dyDescent="0.25">
      <c r="A650" s="16">
        <v>2128</v>
      </c>
      <c r="B650">
        <f>VLOOKUP(A650,'Inventario ENE 30-1-26'!$A$1:$J$10000,10,FALSE)</f>
        <v>318.5</v>
      </c>
    </row>
    <row r="651" spans="1:2" x14ac:dyDescent="0.25">
      <c r="A651" s="16">
        <v>2133</v>
      </c>
      <c r="B651">
        <f>VLOOKUP(A651,'Inventario ENE 30-1-26'!$A$1:$J$10000,10,FALSE)</f>
        <v>241.5</v>
      </c>
    </row>
    <row r="652" spans="1:2" x14ac:dyDescent="0.25">
      <c r="A652" s="16">
        <v>2134</v>
      </c>
      <c r="B652">
        <f>VLOOKUP(A652,'Inventario ENE 30-1-26'!$A$1:$J$10000,10,FALSE)</f>
        <v>1154</v>
      </c>
    </row>
    <row r="653" spans="1:2" x14ac:dyDescent="0.25">
      <c r="A653" s="16">
        <v>2146</v>
      </c>
      <c r="B653">
        <f>VLOOKUP(A653,'Inventario ENE 30-1-26'!$A$1:$J$10000,10,FALSE)</f>
        <v>1154</v>
      </c>
    </row>
    <row r="654" spans="1:2" x14ac:dyDescent="0.25">
      <c r="A654" s="16">
        <v>2149</v>
      </c>
      <c r="B654">
        <f>VLOOKUP(A654,'Inventario ENE 30-1-26'!$A$1:$J$10000,10,FALSE)</f>
        <v>24</v>
      </c>
    </row>
    <row r="655" spans="1:2" x14ac:dyDescent="0.25">
      <c r="A655" s="16">
        <v>2153</v>
      </c>
      <c r="B655">
        <f>VLOOKUP(A655,'Inventario ENE 30-1-26'!$A$1:$J$10000,10,FALSE)</f>
        <v>368</v>
      </c>
    </row>
    <row r="656" spans="1:2" x14ac:dyDescent="0.25">
      <c r="A656" s="16">
        <v>2155</v>
      </c>
      <c r="B656">
        <f>VLOOKUP(A656,'Inventario ENE 30-1-26'!$A$1:$J$10000,10,FALSE)</f>
        <v>3600</v>
      </c>
    </row>
    <row r="657" spans="1:2" x14ac:dyDescent="0.25">
      <c r="A657" s="16">
        <v>2170</v>
      </c>
      <c r="B657">
        <f>VLOOKUP(A657,'Inventario ENE 30-1-26'!$A$1:$J$10000,10,FALSE)</f>
        <v>12</v>
      </c>
    </row>
    <row r="658" spans="1:2" x14ac:dyDescent="0.25">
      <c r="A658" s="16">
        <v>2175</v>
      </c>
      <c r="B658">
        <v>0</v>
      </c>
    </row>
    <row r="659" spans="1:2" x14ac:dyDescent="0.25">
      <c r="A659" s="16">
        <v>2180</v>
      </c>
      <c r="B659">
        <f>VLOOKUP(A659,'Inventario ENE 30-1-26'!$A$1:$J$10000,10,FALSE)</f>
        <v>309.5</v>
      </c>
    </row>
    <row r="660" spans="1:2" x14ac:dyDescent="0.25">
      <c r="A660" s="16">
        <v>2181</v>
      </c>
      <c r="B660">
        <f>VLOOKUP(A660,'Inventario ENE 30-1-26'!$A$1:$J$10000,10,FALSE)</f>
        <v>24</v>
      </c>
    </row>
    <row r="661" spans="1:2" x14ac:dyDescent="0.25">
      <c r="A661" s="16">
        <v>2182</v>
      </c>
      <c r="B661">
        <f>VLOOKUP(A661,'Inventario ENE 30-1-26'!$A$1:$J$10000,10,FALSE)</f>
        <v>629</v>
      </c>
    </row>
    <row r="662" spans="1:2" x14ac:dyDescent="0.25">
      <c r="A662" s="16">
        <v>2183</v>
      </c>
      <c r="B662">
        <f>VLOOKUP(A662,'Inventario ENE 30-1-26'!$A$1:$J$10000,10,FALSE)</f>
        <v>1212</v>
      </c>
    </row>
    <row r="663" spans="1:2" x14ac:dyDescent="0.25">
      <c r="A663" s="16">
        <v>2194</v>
      </c>
      <c r="B663">
        <f>VLOOKUP(A663,'Inventario ENE 30-1-26'!$A$1:$J$10000,10,FALSE)</f>
        <v>309.5</v>
      </c>
    </row>
    <row r="664" spans="1:2" x14ac:dyDescent="0.25">
      <c r="A664" s="16">
        <v>2195</v>
      </c>
      <c r="B664">
        <f>VLOOKUP(A664,'Inventario ENE 30-1-26'!$A$1:$J$10000,10,FALSE)</f>
        <v>309.5</v>
      </c>
    </row>
    <row r="665" spans="1:2" x14ac:dyDescent="0.25">
      <c r="A665" s="16">
        <v>2196</v>
      </c>
      <c r="B665">
        <f>VLOOKUP(A665,'Inventario ENE 30-1-26'!$A$1:$J$10000,10,FALSE)</f>
        <v>309.5</v>
      </c>
    </row>
    <row r="666" spans="1:2" x14ac:dyDescent="0.25">
      <c r="A666" s="16">
        <v>2200</v>
      </c>
      <c r="B666">
        <f>VLOOKUP(A666,'Inventario ENE 30-1-26'!$A$1:$J$10000,10,FALSE)</f>
        <v>309.5</v>
      </c>
    </row>
    <row r="667" spans="1:2" x14ac:dyDescent="0.25">
      <c r="A667" s="16">
        <v>2201</v>
      </c>
      <c r="B667">
        <f>VLOOKUP(A667,'Inventario ENE 30-1-26'!$A$1:$J$10000,10,FALSE)</f>
        <v>1164.5</v>
      </c>
    </row>
    <row r="668" spans="1:2" x14ac:dyDescent="0.25">
      <c r="A668" s="16">
        <v>2202</v>
      </c>
      <c r="B668">
        <f>VLOOKUP(A668,'Inventario ENE 30-1-26'!$A$1:$J$10000,10,FALSE)</f>
        <v>309.5</v>
      </c>
    </row>
    <row r="669" spans="1:2" x14ac:dyDescent="0.25">
      <c r="A669" s="16">
        <v>2203</v>
      </c>
      <c r="B669">
        <f>VLOOKUP(A669,'Inventario ENE 30-1-26'!$A$1:$J$10000,10,FALSE)</f>
        <v>1164.5</v>
      </c>
    </row>
    <row r="670" spans="1:2" x14ac:dyDescent="0.25">
      <c r="A670" s="16">
        <v>2204</v>
      </c>
      <c r="B670">
        <f>VLOOKUP(A670,'Inventario ENE 30-1-26'!$A$1:$J$10000,10,FALSE)</f>
        <v>1212</v>
      </c>
    </row>
    <row r="671" spans="1:2" x14ac:dyDescent="0.25">
      <c r="A671" s="16">
        <v>2205</v>
      </c>
      <c r="B671">
        <f>VLOOKUP(A671,'Inventario ENE 30-1-26'!$A$1:$J$10000,10,FALSE)</f>
        <v>309.5</v>
      </c>
    </row>
    <row r="672" spans="1:2" x14ac:dyDescent="0.25">
      <c r="A672" s="16">
        <v>2206</v>
      </c>
      <c r="B672">
        <f>VLOOKUP(A672,'Inventario ENE 30-1-26'!$A$1:$J$10000,10,FALSE)</f>
        <v>309.5</v>
      </c>
    </row>
    <row r="673" spans="1:2" x14ac:dyDescent="0.25">
      <c r="A673" s="16">
        <v>2207</v>
      </c>
      <c r="B673">
        <f>VLOOKUP(A673,'Inventario ENE 30-1-26'!$A$1:$J$10000,10,FALSE)</f>
        <v>309.5</v>
      </c>
    </row>
    <row r="674" spans="1:2" x14ac:dyDescent="0.25">
      <c r="A674" s="16">
        <v>2208</v>
      </c>
      <c r="B674">
        <f>VLOOKUP(A674,'Inventario ENE 30-1-26'!$A$1:$J$10000,10,FALSE)</f>
        <v>309.5</v>
      </c>
    </row>
    <row r="675" spans="1:2" x14ac:dyDescent="0.25">
      <c r="A675" s="16">
        <v>2210</v>
      </c>
      <c r="B675">
        <f>VLOOKUP(A675,'Inventario ENE 30-1-26'!$A$1:$J$10000,10,FALSE)</f>
        <v>1164.5</v>
      </c>
    </row>
    <row r="676" spans="1:2" x14ac:dyDescent="0.25">
      <c r="A676" s="16">
        <v>2211</v>
      </c>
      <c r="B676">
        <f>VLOOKUP(A676,'Inventario ENE 30-1-26'!$A$1:$J$10000,10,FALSE)</f>
        <v>1212</v>
      </c>
    </row>
    <row r="677" spans="1:2" x14ac:dyDescent="0.25">
      <c r="A677" s="16">
        <v>2212</v>
      </c>
      <c r="B677">
        <f>VLOOKUP(A677,'Inventario ENE 30-1-26'!$A$1:$J$10000,10,FALSE)</f>
        <v>309.5</v>
      </c>
    </row>
    <row r="678" spans="1:2" x14ac:dyDescent="0.25">
      <c r="A678" s="16">
        <v>2214</v>
      </c>
      <c r="B678">
        <f>VLOOKUP(A678,'Inventario ENE 30-1-26'!$A$1:$J$10000,10,FALSE)</f>
        <v>309.5</v>
      </c>
    </row>
    <row r="679" spans="1:2" x14ac:dyDescent="0.25">
      <c r="A679" s="16">
        <v>2216</v>
      </c>
      <c r="B679">
        <f>VLOOKUP(A679,'Inventario ENE 30-1-26'!$A$1:$J$10000,10,FALSE)</f>
        <v>309.5</v>
      </c>
    </row>
    <row r="680" spans="1:2" x14ac:dyDescent="0.25">
      <c r="A680" s="16">
        <v>2223</v>
      </c>
      <c r="B680">
        <f>VLOOKUP(A680,'Inventario ENE 30-1-26'!$A$1:$J$10000,10,FALSE)</f>
        <v>0</v>
      </c>
    </row>
    <row r="681" spans="1:2" x14ac:dyDescent="0.25">
      <c r="A681" s="16">
        <v>2242</v>
      </c>
      <c r="B681">
        <f>VLOOKUP(A681,'Inventario ENE 30-1-26'!$A$1:$J$10000,10,FALSE)</f>
        <v>36</v>
      </c>
    </row>
    <row r="682" spans="1:2" x14ac:dyDescent="0.25">
      <c r="A682" s="16">
        <v>2246</v>
      </c>
      <c r="B682">
        <f>VLOOKUP(A682,'Inventario ENE 30-1-26'!$A$1:$J$10000,10,FALSE)</f>
        <v>0</v>
      </c>
    </row>
    <row r="683" spans="1:2" x14ac:dyDescent="0.25">
      <c r="A683" s="16">
        <v>2258</v>
      </c>
      <c r="B683">
        <f>VLOOKUP(A683,'Inventario ENE 30-1-26'!$A$1:$J$10000,10,FALSE)</f>
        <v>360</v>
      </c>
    </row>
    <row r="684" spans="1:2" x14ac:dyDescent="0.25">
      <c r="A684" s="16">
        <v>2267</v>
      </c>
      <c r="B684">
        <f>VLOOKUP(A684,'Inventario ENE 30-1-26'!$A$1:$J$10000,10,FALSE)</f>
        <v>1107.5</v>
      </c>
    </row>
    <row r="685" spans="1:2" x14ac:dyDescent="0.25">
      <c r="A685" s="16">
        <v>2274</v>
      </c>
      <c r="B685">
        <f>VLOOKUP(A685,'Inventario ENE 30-1-26'!$A$1:$J$10000,10,FALSE)</f>
        <v>532</v>
      </c>
    </row>
    <row r="686" spans="1:2" x14ac:dyDescent="0.25">
      <c r="A686" s="16">
        <v>2277</v>
      </c>
      <c r="B686">
        <f>VLOOKUP(A686,'Inventario ENE 30-1-26'!$A$1:$J$10000,10,FALSE)</f>
        <v>309.5</v>
      </c>
    </row>
    <row r="687" spans="1:2" x14ac:dyDescent="0.25">
      <c r="A687" s="16">
        <v>2279</v>
      </c>
      <c r="B687">
        <f>VLOOKUP(A687,'Inventario ENE 30-1-26'!$A$1:$J$10000,10,FALSE)</f>
        <v>309.5</v>
      </c>
    </row>
    <row r="688" spans="1:2" x14ac:dyDescent="0.25">
      <c r="A688" s="16">
        <v>2280</v>
      </c>
      <c r="B688">
        <f>VLOOKUP(A688,'Inventario ENE 30-1-26'!$A$1:$J$10000,10,FALSE)</f>
        <v>309.5</v>
      </c>
    </row>
    <row r="689" spans="1:2" x14ac:dyDescent="0.25">
      <c r="A689" s="16">
        <v>2281</v>
      </c>
      <c r="B689">
        <f>VLOOKUP(A689,'Inventario ENE 30-1-26'!$A$1:$J$10000,10,FALSE)</f>
        <v>309.5</v>
      </c>
    </row>
    <row r="690" spans="1:2" x14ac:dyDescent="0.25">
      <c r="A690" s="16">
        <v>2283</v>
      </c>
      <c r="B690">
        <f>VLOOKUP(A690,'Inventario ENE 30-1-26'!$A$1:$J$10000,10,FALSE)</f>
        <v>309.5</v>
      </c>
    </row>
    <row r="691" spans="1:2" x14ac:dyDescent="0.25">
      <c r="A691" s="16">
        <v>2284</v>
      </c>
      <c r="B691">
        <f>VLOOKUP(A691,'Inventario ENE 30-1-26'!$A$1:$J$10000,10,FALSE)</f>
        <v>309.5</v>
      </c>
    </row>
    <row r="692" spans="1:2" x14ac:dyDescent="0.25">
      <c r="A692" s="16">
        <v>2285</v>
      </c>
      <c r="B692">
        <f>VLOOKUP(A692,'Inventario ENE 30-1-26'!$A$1:$J$10000,10,FALSE)</f>
        <v>309.5</v>
      </c>
    </row>
    <row r="693" spans="1:2" x14ac:dyDescent="0.25">
      <c r="A693" s="16">
        <v>2286</v>
      </c>
      <c r="B693">
        <f>VLOOKUP(A693,'Inventario ENE 30-1-26'!$A$1:$J$10000,10,FALSE)</f>
        <v>309.5</v>
      </c>
    </row>
    <row r="694" spans="1:2" x14ac:dyDescent="0.25">
      <c r="A694" s="16">
        <v>2287</v>
      </c>
      <c r="B694">
        <f>VLOOKUP(A694,'Inventario ENE 30-1-26'!$A$1:$J$10000,10,FALSE)</f>
        <v>309.5</v>
      </c>
    </row>
    <row r="695" spans="1:2" x14ac:dyDescent="0.25">
      <c r="A695" s="16">
        <v>2288</v>
      </c>
      <c r="B695">
        <f>VLOOKUP(A695,'Inventario ENE 30-1-26'!$A$1:$J$10000,10,FALSE)</f>
        <v>1154</v>
      </c>
    </row>
    <row r="696" spans="1:2" x14ac:dyDescent="0.25">
      <c r="A696" s="16">
        <v>2301</v>
      </c>
      <c r="B696">
        <f>VLOOKUP(A696,'Inventario ENE 30-1-26'!$A$1:$J$10000,10,FALSE)</f>
        <v>2037.55</v>
      </c>
    </row>
    <row r="697" spans="1:2" x14ac:dyDescent="0.25">
      <c r="A697" s="16">
        <v>2302</v>
      </c>
      <c r="B697">
        <f>VLOOKUP(A697,'Inventario ENE 30-1-26'!$A$1:$J$10000,10,FALSE)</f>
        <v>2037.55</v>
      </c>
    </row>
    <row r="698" spans="1:2" x14ac:dyDescent="0.25">
      <c r="A698" s="16">
        <v>2305</v>
      </c>
      <c r="B698">
        <f>VLOOKUP(A698,'Inventario ENE 30-1-26'!$A$1:$J$10000,10,FALSE)</f>
        <v>2037.55</v>
      </c>
    </row>
    <row r="699" spans="1:2" x14ac:dyDescent="0.25">
      <c r="A699" s="16">
        <v>2306</v>
      </c>
      <c r="B699">
        <f>VLOOKUP(A699,'Inventario ENE 30-1-26'!$A$1:$J$10000,10,FALSE)</f>
        <v>2037.55</v>
      </c>
    </row>
    <row r="700" spans="1:2" x14ac:dyDescent="0.25">
      <c r="A700" s="16">
        <v>2308</v>
      </c>
      <c r="B700">
        <f>VLOOKUP(A700,'Inventario ENE 30-1-26'!$A$1:$J$10000,10,FALSE)</f>
        <v>2037.55</v>
      </c>
    </row>
    <row r="701" spans="1:2" x14ac:dyDescent="0.25">
      <c r="A701" s="16">
        <v>2309</v>
      </c>
      <c r="B701">
        <f>VLOOKUP(A701,'Inventario ENE 30-1-26'!$A$1:$J$10000,10,FALSE)</f>
        <v>2037.55</v>
      </c>
    </row>
    <row r="702" spans="1:2" x14ac:dyDescent="0.25">
      <c r="A702" s="16">
        <v>2310</v>
      </c>
      <c r="B702">
        <f>VLOOKUP(A702,'Inventario ENE 30-1-26'!$A$1:$J$10000,10,FALSE)</f>
        <v>2037.55</v>
      </c>
    </row>
    <row r="703" spans="1:2" x14ac:dyDescent="0.25">
      <c r="A703" s="16">
        <v>2312</v>
      </c>
      <c r="B703">
        <f>VLOOKUP(A703,'Inventario ENE 30-1-26'!$A$1:$J$10000,10,FALSE)</f>
        <v>2037.55</v>
      </c>
    </row>
    <row r="704" spans="1:2" x14ac:dyDescent="0.25">
      <c r="A704" s="16">
        <v>2314</v>
      </c>
      <c r="B704">
        <f>VLOOKUP(A704,'Inventario ENE 30-1-26'!$A$1:$J$10000,10,FALSE)</f>
        <v>2037.55</v>
      </c>
    </row>
    <row r="705" spans="1:2" x14ac:dyDescent="0.25">
      <c r="A705" s="16">
        <v>2315</v>
      </c>
      <c r="B705">
        <f>VLOOKUP(A705,'Inventario ENE 30-1-26'!$A$1:$J$10000,10,FALSE)</f>
        <v>2037.55</v>
      </c>
    </row>
    <row r="706" spans="1:2" x14ac:dyDescent="0.25">
      <c r="A706" s="16">
        <v>2316</v>
      </c>
      <c r="B706">
        <f>VLOOKUP(A706,'Inventario ENE 30-1-26'!$A$1:$J$10000,10,FALSE)</f>
        <v>2037.55</v>
      </c>
    </row>
    <row r="707" spans="1:2" x14ac:dyDescent="0.25">
      <c r="A707" s="16">
        <v>2323</v>
      </c>
      <c r="B707">
        <f>VLOOKUP(A707,'Inventario ENE 30-1-26'!$A$1:$J$10000,10,FALSE)</f>
        <v>1212</v>
      </c>
    </row>
    <row r="708" spans="1:2" x14ac:dyDescent="0.25">
      <c r="A708" s="16">
        <v>2324</v>
      </c>
      <c r="B708">
        <f>VLOOKUP(A708,'Inventario ENE 30-1-26'!$A$1:$J$10000,10,FALSE)</f>
        <v>1212</v>
      </c>
    </row>
    <row r="709" spans="1:2" x14ac:dyDescent="0.25">
      <c r="A709" s="16">
        <v>2325</v>
      </c>
      <c r="B709">
        <f>VLOOKUP(A709,'Inventario ENE 30-1-26'!$A$1:$J$10000,10,FALSE)</f>
        <v>1212</v>
      </c>
    </row>
    <row r="710" spans="1:2" x14ac:dyDescent="0.25">
      <c r="A710" s="16">
        <v>2326</v>
      </c>
      <c r="B710">
        <f>VLOOKUP(A710,'Inventario ENE 30-1-26'!$A$1:$J$10000,10,FALSE)</f>
        <v>1212</v>
      </c>
    </row>
    <row r="711" spans="1:2" x14ac:dyDescent="0.25">
      <c r="A711" s="16">
        <v>2328</v>
      </c>
      <c r="B711">
        <f>VLOOKUP(A711,'Inventario ENE 30-1-26'!$A$1:$J$10000,10,FALSE)</f>
        <v>1212</v>
      </c>
    </row>
    <row r="712" spans="1:2" x14ac:dyDescent="0.25">
      <c r="A712" s="16">
        <v>2329</v>
      </c>
      <c r="B712">
        <f>VLOOKUP(A712,'Inventario ENE 30-1-26'!$A$1:$J$10000,10,FALSE)</f>
        <v>1212</v>
      </c>
    </row>
    <row r="713" spans="1:2" x14ac:dyDescent="0.25">
      <c r="A713" s="16">
        <v>2334</v>
      </c>
      <c r="B713">
        <f>VLOOKUP(A713,'Inventario ENE 30-1-26'!$A$1:$J$10000,10,FALSE)</f>
        <v>1212</v>
      </c>
    </row>
    <row r="714" spans="1:2" x14ac:dyDescent="0.25">
      <c r="A714" s="16">
        <v>2335</v>
      </c>
      <c r="B714">
        <f>VLOOKUP(A714,'Inventario ENE 30-1-26'!$A$1:$J$10000,10,FALSE)</f>
        <v>1212</v>
      </c>
    </row>
    <row r="715" spans="1:2" x14ac:dyDescent="0.25">
      <c r="A715" s="16">
        <v>2339</v>
      </c>
      <c r="B715">
        <f>VLOOKUP(A715,'Inventario ENE 30-1-26'!$A$1:$J$10000,10,FALSE)</f>
        <v>2037.55</v>
      </c>
    </row>
    <row r="716" spans="1:2" x14ac:dyDescent="0.25">
      <c r="A716" s="16">
        <v>2340</v>
      </c>
      <c r="B716">
        <f>VLOOKUP(A716,'Inventario ENE 30-1-26'!$A$1:$J$10000,10,FALSE)</f>
        <v>2037.55</v>
      </c>
    </row>
    <row r="717" spans="1:2" x14ac:dyDescent="0.25">
      <c r="A717" s="16">
        <v>2341</v>
      </c>
      <c r="B717">
        <f>VLOOKUP(A717,'Inventario ENE 30-1-26'!$A$1:$J$10000,10,FALSE)</f>
        <v>2037.55</v>
      </c>
    </row>
    <row r="718" spans="1:2" x14ac:dyDescent="0.25">
      <c r="A718" s="16">
        <v>2342</v>
      </c>
      <c r="B718">
        <f>VLOOKUP(A718,'Inventario ENE 30-1-26'!$A$1:$J$10000,10,FALSE)</f>
        <v>2037.55</v>
      </c>
    </row>
    <row r="719" spans="1:2" x14ac:dyDescent="0.25">
      <c r="A719" s="16">
        <v>2359</v>
      </c>
      <c r="B719">
        <f>VLOOKUP(A719,'Inventario ENE 30-1-26'!$A$1:$J$10000,10,FALSE)</f>
        <v>2237.1000000000004</v>
      </c>
    </row>
    <row r="720" spans="1:2" x14ac:dyDescent="0.25">
      <c r="A720" s="16">
        <v>2370</v>
      </c>
      <c r="B720">
        <f>VLOOKUP(A720,'Inventario ENE 30-1-26'!$A$1:$J$10000,10,FALSE)</f>
        <v>24</v>
      </c>
    </row>
    <row r="721" spans="1:2" x14ac:dyDescent="0.25">
      <c r="A721" s="16">
        <v>2387</v>
      </c>
      <c r="B721">
        <f>VLOOKUP(A721,'Inventario ENE 30-1-26'!$A$1:$J$10000,10,FALSE)</f>
        <v>24</v>
      </c>
    </row>
    <row r="722" spans="1:2" x14ac:dyDescent="0.25">
      <c r="A722" s="16">
        <v>2390</v>
      </c>
      <c r="B722">
        <f>VLOOKUP(A722,'Inventario ENE 30-1-26'!$A$1:$J$10000,10,FALSE)</f>
        <v>791</v>
      </c>
    </row>
    <row r="723" spans="1:2" x14ac:dyDescent="0.25">
      <c r="A723" s="16">
        <v>2397</v>
      </c>
      <c r="B723">
        <f>VLOOKUP(A723,'Inventario ENE 30-1-26'!$A$1:$J$10000,10,FALSE)</f>
        <v>24</v>
      </c>
    </row>
    <row r="724" spans="1:2" x14ac:dyDescent="0.25">
      <c r="A724" s="16">
        <v>2440</v>
      </c>
      <c r="B724">
        <f>VLOOKUP(A724,'Inventario ENE 30-1-26'!$A$1:$J$10000,10,FALSE)</f>
        <v>1212</v>
      </c>
    </row>
    <row r="725" spans="1:2" x14ac:dyDescent="0.25">
      <c r="A725" s="16">
        <v>2467</v>
      </c>
      <c r="B725">
        <f>VLOOKUP(A725,'Inventario ENE 30-1-26'!$A$1:$J$10000,10,FALSE)</f>
        <v>1212</v>
      </c>
    </row>
    <row r="726" spans="1:2" x14ac:dyDescent="0.25">
      <c r="A726" s="16">
        <v>2468</v>
      </c>
      <c r="B726">
        <f>VLOOKUP(A726,'Inventario ENE 30-1-26'!$A$1:$J$10000,10,FALSE)</f>
        <v>1212</v>
      </c>
    </row>
    <row r="727" spans="1:2" x14ac:dyDescent="0.25">
      <c r="A727" s="16">
        <v>2473</v>
      </c>
      <c r="B727">
        <f>VLOOKUP(A727,'Inventario ENE 30-1-26'!$A$1:$J$10000,10,FALSE)</f>
        <v>1212</v>
      </c>
    </row>
    <row r="728" spans="1:2" x14ac:dyDescent="0.25">
      <c r="A728" s="16">
        <v>2478</v>
      </c>
      <c r="B728">
        <f>VLOOKUP(A728,'Inventario ENE 30-1-26'!$A$1:$J$10000,10,FALSE)</f>
        <v>1135</v>
      </c>
    </row>
    <row r="729" spans="1:2" x14ac:dyDescent="0.25">
      <c r="A729" s="16">
        <v>2490</v>
      </c>
      <c r="B729">
        <f>VLOOKUP(A729,'Inventario ENE 30-1-26'!$A$1:$J$10000,10,FALSE)</f>
        <v>24</v>
      </c>
    </row>
    <row r="730" spans="1:2" x14ac:dyDescent="0.25">
      <c r="A730" s="16">
        <v>2495</v>
      </c>
      <c r="B730">
        <f>VLOOKUP(A730,'Inventario ENE 30-1-26'!$A$1:$J$10000,10,FALSE)</f>
        <v>461</v>
      </c>
    </row>
    <row r="731" spans="1:2" x14ac:dyDescent="0.25">
      <c r="A731" s="16">
        <v>2503</v>
      </c>
      <c r="B731">
        <f>VLOOKUP(A731,'Inventario ENE 30-1-26'!$A$1:$J$10000,10,FALSE)</f>
        <v>309.5</v>
      </c>
    </row>
    <row r="732" spans="1:2" x14ac:dyDescent="0.25">
      <c r="A732" s="16">
        <v>2504</v>
      </c>
      <c r="B732">
        <f>VLOOKUP(A732,'Inventario ENE 30-1-26'!$A$1:$J$10000,10,FALSE)</f>
        <v>3600</v>
      </c>
    </row>
    <row r="733" spans="1:2" x14ac:dyDescent="0.25">
      <c r="A733" s="16">
        <v>2510</v>
      </c>
      <c r="B733">
        <f>VLOOKUP(A733,'Inventario ENE 30-1-26'!$A$1:$J$10000,10,FALSE)</f>
        <v>461</v>
      </c>
    </row>
    <row r="734" spans="1:2" x14ac:dyDescent="0.25">
      <c r="A734" s="16">
        <v>2516</v>
      </c>
      <c r="B734">
        <f>VLOOKUP(A734,'Inventario ENE 30-1-26'!$A$1:$J$10000,10,FALSE)</f>
        <v>2037.55</v>
      </c>
    </row>
    <row r="735" spans="1:2" x14ac:dyDescent="0.25">
      <c r="A735" s="16">
        <v>2518</v>
      </c>
      <c r="B735">
        <f>VLOOKUP(A735,'Inventario ENE 30-1-26'!$A$1:$J$10000,10,FALSE)</f>
        <v>24</v>
      </c>
    </row>
    <row r="736" spans="1:2" x14ac:dyDescent="0.25">
      <c r="A736" s="16">
        <v>2525</v>
      </c>
      <c r="B736">
        <f>VLOOKUP(A736,'Inventario ENE 30-1-26'!$A$1:$J$10000,10,FALSE)</f>
        <v>859</v>
      </c>
    </row>
    <row r="737" spans="1:2" x14ac:dyDescent="0.25">
      <c r="A737" s="16">
        <v>2529</v>
      </c>
      <c r="B737">
        <f>VLOOKUP(A737,'Inventario ENE 30-1-26'!$A$1:$J$10000,10,FALSE)</f>
        <v>1000</v>
      </c>
    </row>
    <row r="738" spans="1:2" x14ac:dyDescent="0.25">
      <c r="A738" s="16">
        <v>2530</v>
      </c>
      <c r="B738">
        <f>VLOOKUP(A738,'Inventario ENE 30-1-26'!$A$1:$J$10000,10,FALSE)</f>
        <v>1000</v>
      </c>
    </row>
    <row r="739" spans="1:2" x14ac:dyDescent="0.25">
      <c r="A739" s="16">
        <v>2531</v>
      </c>
      <c r="B739">
        <f>VLOOKUP(A739,'Inventario ENE 30-1-26'!$A$1:$J$10000,10,FALSE)</f>
        <v>1000</v>
      </c>
    </row>
    <row r="740" spans="1:2" x14ac:dyDescent="0.25">
      <c r="A740" s="16">
        <v>2535</v>
      </c>
      <c r="B740">
        <f>VLOOKUP(A740,'Inventario ENE 30-1-26'!$A$1:$J$10000,10,FALSE)</f>
        <v>1000</v>
      </c>
    </row>
    <row r="741" spans="1:2" x14ac:dyDescent="0.25">
      <c r="A741" s="16">
        <v>2555</v>
      </c>
      <c r="B741">
        <f>VLOOKUP(A741,'Inventario ENE 30-1-26'!$A$1:$J$10000,10,FALSE)</f>
        <v>859</v>
      </c>
    </row>
    <row r="742" spans="1:2" x14ac:dyDescent="0.25">
      <c r="A742" s="16">
        <v>2565</v>
      </c>
      <c r="B742">
        <f>VLOOKUP(A742,'Inventario ENE 30-1-26'!$A$1:$J$10000,10,FALSE)</f>
        <v>859</v>
      </c>
    </row>
    <row r="743" spans="1:2" x14ac:dyDescent="0.25">
      <c r="A743" s="16">
        <v>2566</v>
      </c>
      <c r="B743">
        <f>VLOOKUP(A743,'Inventario ENE 30-1-26'!$A$1:$J$10000,10,FALSE)</f>
        <v>939.5</v>
      </c>
    </row>
    <row r="744" spans="1:2" x14ac:dyDescent="0.25">
      <c r="A744" s="16">
        <v>2591</v>
      </c>
      <c r="B744">
        <f>VLOOKUP(A744,'Inventario ENE 30-1-26'!$A$1:$J$10000,10,FALSE)</f>
        <v>2037.55</v>
      </c>
    </row>
    <row r="745" spans="1:2" x14ac:dyDescent="0.25">
      <c r="A745" s="16">
        <v>2592</v>
      </c>
      <c r="B745">
        <f>VLOOKUP(A745,'Inventario ENE 30-1-26'!$A$1:$J$10000,10,FALSE)</f>
        <v>2037.55</v>
      </c>
    </row>
    <row r="746" spans="1:2" x14ac:dyDescent="0.25">
      <c r="A746" s="16">
        <v>2593</v>
      </c>
      <c r="B746">
        <f>VLOOKUP(A746,'Inventario ENE 30-1-26'!$A$1:$J$10000,10,FALSE)</f>
        <v>309.5</v>
      </c>
    </row>
    <row r="747" spans="1:2" x14ac:dyDescent="0.25">
      <c r="A747" s="16">
        <v>2596</v>
      </c>
      <c r="B747">
        <f>VLOOKUP(A747,'Inventario ENE 30-1-26'!$A$1:$J$10000,10,FALSE)</f>
        <v>309.5</v>
      </c>
    </row>
    <row r="748" spans="1:2" x14ac:dyDescent="0.25">
      <c r="A748" s="16">
        <v>2597</v>
      </c>
      <c r="B748">
        <f>VLOOKUP(A748,'Inventario ENE 30-1-26'!$A$1:$J$10000,10,FALSE)</f>
        <v>309.5</v>
      </c>
    </row>
    <row r="749" spans="1:2" x14ac:dyDescent="0.25">
      <c r="A749" s="16">
        <v>2598</v>
      </c>
      <c r="B749">
        <f>VLOOKUP(A749,'Inventario ENE 30-1-26'!$A$1:$J$10000,10,FALSE)</f>
        <v>882.5</v>
      </c>
    </row>
    <row r="750" spans="1:2" x14ac:dyDescent="0.25">
      <c r="A750" s="16">
        <v>2600</v>
      </c>
      <c r="B750">
        <f>VLOOKUP(A750,'Inventario ENE 30-1-26'!$A$1:$J$10000,10,FALSE)</f>
        <v>882.5</v>
      </c>
    </row>
    <row r="751" spans="1:2" x14ac:dyDescent="0.25">
      <c r="A751" s="16">
        <v>2602</v>
      </c>
      <c r="B751">
        <f>VLOOKUP(A751,'Inventario ENE 30-1-26'!$A$1:$J$10000,10,FALSE)</f>
        <v>882.5</v>
      </c>
    </row>
    <row r="752" spans="1:2" x14ac:dyDescent="0.25">
      <c r="A752" s="16">
        <v>2603</v>
      </c>
      <c r="B752">
        <f>VLOOKUP(A752,'Inventario ENE 30-1-26'!$A$1:$J$10000,10,FALSE)</f>
        <v>882.5</v>
      </c>
    </row>
    <row r="753" spans="1:2" x14ac:dyDescent="0.25">
      <c r="A753" s="16">
        <v>2604</v>
      </c>
      <c r="B753">
        <f>VLOOKUP(A753,'Inventario ENE 30-1-26'!$A$1:$J$10000,10,FALSE)</f>
        <v>882.5</v>
      </c>
    </row>
    <row r="754" spans="1:2" x14ac:dyDescent="0.25">
      <c r="A754" s="16">
        <v>2606</v>
      </c>
      <c r="B754">
        <f>VLOOKUP(A754,'Inventario ENE 30-1-26'!$A$1:$J$10000,10,FALSE)</f>
        <v>882.5</v>
      </c>
    </row>
    <row r="755" spans="1:2" x14ac:dyDescent="0.25">
      <c r="A755" s="16">
        <v>2608</v>
      </c>
      <c r="B755">
        <f>VLOOKUP(A755,'Inventario ENE 30-1-26'!$A$1:$J$10000,10,FALSE)</f>
        <v>0</v>
      </c>
    </row>
    <row r="756" spans="1:2" x14ac:dyDescent="0.25">
      <c r="A756" s="16">
        <v>2610</v>
      </c>
      <c r="B756">
        <f>VLOOKUP(A756,'Inventario ENE 30-1-26'!$A$1:$J$10000,10,FALSE)</f>
        <v>0</v>
      </c>
    </row>
    <row r="757" spans="1:2" x14ac:dyDescent="0.25">
      <c r="A757" s="16">
        <v>2611</v>
      </c>
      <c r="B757">
        <f>VLOOKUP(A757,'Inventario ENE 30-1-26'!$A$1:$J$10000,10,FALSE)</f>
        <v>0</v>
      </c>
    </row>
    <row r="758" spans="1:2" x14ac:dyDescent="0.25">
      <c r="A758" s="16">
        <v>2612</v>
      </c>
      <c r="B758">
        <f>VLOOKUP(A758,'Inventario ENE 30-1-26'!$A$1:$J$10000,10,FALSE)</f>
        <v>0</v>
      </c>
    </row>
    <row r="759" spans="1:2" x14ac:dyDescent="0.25">
      <c r="A759" s="16">
        <v>2613</v>
      </c>
      <c r="B759">
        <f>VLOOKUP(A759,'Inventario ENE 30-1-26'!$A$1:$J$10000,10,FALSE)</f>
        <v>0</v>
      </c>
    </row>
    <row r="760" spans="1:2" x14ac:dyDescent="0.25">
      <c r="A760" s="16">
        <v>2614</v>
      </c>
      <c r="B760">
        <f>VLOOKUP(A760,'Inventario ENE 30-1-26'!$A$1:$J$10000,10,FALSE)</f>
        <v>0</v>
      </c>
    </row>
    <row r="761" spans="1:2" x14ac:dyDescent="0.25">
      <c r="A761" s="16">
        <v>2620</v>
      </c>
      <c r="B761">
        <f>VLOOKUP(A761,'Inventario ENE 30-1-26'!$A$1:$J$10000,10,FALSE)</f>
        <v>1000</v>
      </c>
    </row>
    <row r="762" spans="1:2" x14ac:dyDescent="0.25">
      <c r="A762" s="16">
        <v>2621</v>
      </c>
      <c r="B762">
        <f>VLOOKUP(A762,'Inventario ENE 30-1-26'!$A$1:$J$10000,10,FALSE)</f>
        <v>1000</v>
      </c>
    </row>
    <row r="763" spans="1:2" x14ac:dyDescent="0.25">
      <c r="A763" s="16">
        <v>2622</v>
      </c>
      <c r="B763">
        <f>VLOOKUP(A763,'Inventario ENE 30-1-26'!$A$1:$J$10000,10,FALSE)</f>
        <v>1000</v>
      </c>
    </row>
    <row r="764" spans="1:2" x14ac:dyDescent="0.25">
      <c r="A764" s="16">
        <v>2623</v>
      </c>
      <c r="B764">
        <f>VLOOKUP(A764,'Inventario ENE 30-1-26'!$A$1:$J$10000,10,FALSE)</f>
        <v>1000</v>
      </c>
    </row>
    <row r="765" spans="1:2" x14ac:dyDescent="0.25">
      <c r="A765" s="16">
        <v>2624</v>
      </c>
      <c r="B765">
        <f>VLOOKUP(A765,'Inventario ENE 30-1-26'!$A$1:$J$10000,10,FALSE)</f>
        <v>1000</v>
      </c>
    </row>
    <row r="766" spans="1:2" x14ac:dyDescent="0.25">
      <c r="A766" s="16">
        <v>2625</v>
      </c>
      <c r="B766">
        <f>VLOOKUP(A766,'Inventario ENE 30-1-26'!$A$1:$J$10000,10,FALSE)</f>
        <v>1000</v>
      </c>
    </row>
    <row r="767" spans="1:2" x14ac:dyDescent="0.25">
      <c r="A767" s="16">
        <v>2626</v>
      </c>
      <c r="B767">
        <f>VLOOKUP(A767,'Inventario ENE 30-1-26'!$A$1:$J$10000,10,FALSE)</f>
        <v>1000</v>
      </c>
    </row>
    <row r="768" spans="1:2" x14ac:dyDescent="0.25">
      <c r="A768" s="16">
        <v>2627</v>
      </c>
      <c r="B768">
        <f>VLOOKUP(A768,'Inventario ENE 30-1-26'!$A$1:$J$10000,10,FALSE)</f>
        <v>1000</v>
      </c>
    </row>
    <row r="769" spans="1:2" x14ac:dyDescent="0.25">
      <c r="A769" s="16">
        <v>2628</v>
      </c>
      <c r="B769">
        <f>VLOOKUP(A769,'Inventario ENE 30-1-26'!$A$1:$J$10000,10,FALSE)</f>
        <v>1000</v>
      </c>
    </row>
    <row r="770" spans="1:2" x14ac:dyDescent="0.25">
      <c r="A770" s="16">
        <v>2630</v>
      </c>
      <c r="B770">
        <f>VLOOKUP(A770,'Inventario ENE 30-1-26'!$A$1:$J$10000,10,FALSE)</f>
        <v>1000</v>
      </c>
    </row>
    <row r="771" spans="1:2" x14ac:dyDescent="0.25">
      <c r="A771" s="16">
        <v>2632</v>
      </c>
      <c r="B771">
        <f>VLOOKUP(A771,'Inventario ENE 30-1-26'!$A$1:$J$10000,10,FALSE)</f>
        <v>1000</v>
      </c>
    </row>
    <row r="772" spans="1:2" x14ac:dyDescent="0.25">
      <c r="A772" s="16">
        <v>2633</v>
      </c>
      <c r="B772">
        <f>VLOOKUP(A772,'Inventario ENE 30-1-26'!$A$1:$J$10000,10,FALSE)</f>
        <v>1000</v>
      </c>
    </row>
    <row r="773" spans="1:2" x14ac:dyDescent="0.25">
      <c r="A773" s="16">
        <v>2634</v>
      </c>
      <c r="B773">
        <f>VLOOKUP(A773,'Inventario ENE 30-1-26'!$A$1:$J$10000,10,FALSE)</f>
        <v>1000</v>
      </c>
    </row>
    <row r="774" spans="1:2" x14ac:dyDescent="0.25">
      <c r="A774" s="16">
        <v>2639</v>
      </c>
      <c r="B774">
        <f>VLOOKUP(A774,'Inventario ENE 30-1-26'!$A$1:$J$10000,10,FALSE)</f>
        <v>24</v>
      </c>
    </row>
    <row r="775" spans="1:2" x14ac:dyDescent="0.25">
      <c r="A775" s="16">
        <v>2644</v>
      </c>
      <c r="B775">
        <f>VLOOKUP(A775,'Inventario ENE 30-1-26'!$A$1:$J$10000,10,FALSE)</f>
        <v>3600</v>
      </c>
    </row>
    <row r="776" spans="1:2" x14ac:dyDescent="0.25">
      <c r="A776" s="16">
        <v>2653</v>
      </c>
      <c r="B776">
        <f>VLOOKUP(A776,'Inventario ENE 30-1-26'!$A$1:$J$10000,10,FALSE)</f>
        <v>2000</v>
      </c>
    </row>
    <row r="777" spans="1:2" x14ac:dyDescent="0.25">
      <c r="A777" s="16">
        <v>2654</v>
      </c>
      <c r="B777">
        <f>VLOOKUP(A777,'Inventario ENE 30-1-26'!$A$1:$J$10000,10,FALSE)</f>
        <v>939.5</v>
      </c>
    </row>
    <row r="778" spans="1:2" x14ac:dyDescent="0.25">
      <c r="A778" s="16">
        <v>2655</v>
      </c>
      <c r="B778">
        <f>VLOOKUP(A778,'Inventario ENE 30-1-26'!$A$1:$J$10000,10,FALSE)</f>
        <v>1500</v>
      </c>
    </row>
    <row r="779" spans="1:2" x14ac:dyDescent="0.25">
      <c r="A779" s="16">
        <v>2658</v>
      </c>
      <c r="B779">
        <f>VLOOKUP(A779,'Inventario ENE 30-1-26'!$A$1:$J$10000,10,FALSE)</f>
        <v>1000</v>
      </c>
    </row>
    <row r="780" spans="1:2" x14ac:dyDescent="0.25">
      <c r="A780" s="16">
        <v>2659</v>
      </c>
      <c r="B780">
        <f>VLOOKUP(A780,'Inventario ENE 30-1-26'!$A$1:$J$10000,10,FALSE)</f>
        <v>1000</v>
      </c>
    </row>
    <row r="781" spans="1:2" x14ac:dyDescent="0.25">
      <c r="A781" s="16">
        <v>2662</v>
      </c>
      <c r="B781">
        <f>VLOOKUP(A781,'Inventario ENE 30-1-26'!$A$1:$J$10000,10,FALSE)</f>
        <v>1000</v>
      </c>
    </row>
    <row r="782" spans="1:2" x14ac:dyDescent="0.25">
      <c r="A782" s="16">
        <v>2663</v>
      </c>
      <c r="B782">
        <f>VLOOKUP(A782,'Inventario ENE 30-1-26'!$A$1:$J$10000,10,FALSE)</f>
        <v>2000</v>
      </c>
    </row>
    <row r="783" spans="1:2" x14ac:dyDescent="0.25">
      <c r="A783" s="16">
        <v>2667</v>
      </c>
      <c r="B783">
        <f>VLOOKUP(A783,'Inventario ENE 30-1-26'!$A$1:$J$10000,10,FALSE)</f>
        <v>36</v>
      </c>
    </row>
    <row r="784" spans="1:2" x14ac:dyDescent="0.25">
      <c r="A784" s="16">
        <v>2669</v>
      </c>
      <c r="B784">
        <f>VLOOKUP(A784,'Inventario ENE 30-1-26'!$A$1:$J$10000,10,FALSE)</f>
        <v>1100</v>
      </c>
    </row>
    <row r="785" spans="1:2" x14ac:dyDescent="0.25">
      <c r="A785" s="16">
        <v>2675</v>
      </c>
      <c r="B785">
        <f>VLOOKUP(A785,'Inventario ENE 30-1-26'!$A$1:$J$10000,10,FALSE)</f>
        <v>36</v>
      </c>
    </row>
    <row r="786" spans="1:2" x14ac:dyDescent="0.25">
      <c r="A786" s="16">
        <v>2678</v>
      </c>
      <c r="B786">
        <f>VLOOKUP(A786,'Inventario ENE 30-1-26'!$A$1:$J$10000,10,FALSE)</f>
        <v>1289</v>
      </c>
    </row>
    <row r="787" spans="1:2" x14ac:dyDescent="0.25">
      <c r="A787" s="16">
        <v>2679</v>
      </c>
      <c r="B787">
        <f>VLOOKUP(A787,'Inventario ENE 30-1-26'!$A$1:$J$10000,10,FALSE)</f>
        <v>1000</v>
      </c>
    </row>
    <row r="788" spans="1:2" x14ac:dyDescent="0.25">
      <c r="A788" s="16">
        <v>2684</v>
      </c>
      <c r="B788">
        <f>VLOOKUP(A788,'Inventario ENE 30-1-26'!$A$1:$J$10000,10,FALSE)</f>
        <v>1000</v>
      </c>
    </row>
    <row r="789" spans="1:2" x14ac:dyDescent="0.25">
      <c r="A789" s="16">
        <v>2697</v>
      </c>
      <c r="B789">
        <f>VLOOKUP(A789,'Inventario ENE 30-1-26'!$A$1:$J$10000,10,FALSE)</f>
        <v>3400</v>
      </c>
    </row>
    <row r="790" spans="1:2" x14ac:dyDescent="0.25">
      <c r="A790" s="16">
        <v>2710</v>
      </c>
      <c r="B790">
        <v>0</v>
      </c>
    </row>
    <row r="791" spans="1:2" x14ac:dyDescent="0.25">
      <c r="A791" s="16">
        <v>2712</v>
      </c>
      <c r="B791">
        <f>VLOOKUP(A791,'Inventario ENE 30-1-26'!$A$1:$J$10000,10,FALSE)</f>
        <v>2000</v>
      </c>
    </row>
    <row r="792" spans="1:2" x14ac:dyDescent="0.25">
      <c r="A792" s="16">
        <v>2714</v>
      </c>
      <c r="B792">
        <f>VLOOKUP(A792,'Inventario ENE 30-1-26'!$A$1:$J$10000,10,FALSE)</f>
        <v>3400</v>
      </c>
    </row>
    <row r="793" spans="1:2" x14ac:dyDescent="0.25">
      <c r="A793" s="16">
        <v>2716</v>
      </c>
      <c r="B793">
        <f>VLOOKUP(A793,'Inventario ENE 30-1-26'!$A$1:$J$10000,10,FALSE)</f>
        <v>1000</v>
      </c>
    </row>
    <row r="794" spans="1:2" x14ac:dyDescent="0.25">
      <c r="A794" s="16">
        <v>2717</v>
      </c>
      <c r="B794">
        <f>VLOOKUP(A794,'Inventario ENE 30-1-26'!$A$1:$J$10000,10,FALSE)</f>
        <v>1000</v>
      </c>
    </row>
    <row r="795" spans="1:2" x14ac:dyDescent="0.25">
      <c r="A795" s="16">
        <v>2723</v>
      </c>
      <c r="B795">
        <f>VLOOKUP(A795,'Inventario ENE 30-1-26'!$A$1:$J$10000,10,FALSE)</f>
        <v>1000</v>
      </c>
    </row>
    <row r="796" spans="1:2" x14ac:dyDescent="0.25">
      <c r="A796" s="16">
        <v>2724</v>
      </c>
      <c r="B796">
        <f>VLOOKUP(A796,'Inventario ENE 30-1-26'!$A$1:$J$10000,10,FALSE)</f>
        <v>1000</v>
      </c>
    </row>
    <row r="797" spans="1:2" x14ac:dyDescent="0.25">
      <c r="A797" s="16">
        <v>2725</v>
      </c>
      <c r="B797">
        <f>VLOOKUP(A797,'Inventario ENE 30-1-26'!$A$1:$J$10000,10,FALSE)</f>
        <v>1000</v>
      </c>
    </row>
    <row r="798" spans="1:2" x14ac:dyDescent="0.25">
      <c r="A798" s="16">
        <v>2726</v>
      </c>
      <c r="B798">
        <f>VLOOKUP(A798,'Inventario ENE 30-1-26'!$A$1:$J$10000,10,FALSE)</f>
        <v>309.5</v>
      </c>
    </row>
    <row r="799" spans="1:2" x14ac:dyDescent="0.25">
      <c r="A799" s="16">
        <v>2730</v>
      </c>
      <c r="B799">
        <v>0</v>
      </c>
    </row>
    <row r="800" spans="1:2" x14ac:dyDescent="0.25">
      <c r="A800" s="16">
        <v>2731</v>
      </c>
      <c r="B800">
        <v>0</v>
      </c>
    </row>
    <row r="801" spans="1:2" x14ac:dyDescent="0.25">
      <c r="A801" s="16">
        <v>2732</v>
      </c>
      <c r="B801">
        <v>0</v>
      </c>
    </row>
    <row r="802" spans="1:2" x14ac:dyDescent="0.25">
      <c r="A802" s="16">
        <v>2733</v>
      </c>
      <c r="B802">
        <v>0</v>
      </c>
    </row>
    <row r="803" spans="1:2" x14ac:dyDescent="0.25">
      <c r="A803" s="16">
        <v>2734</v>
      </c>
      <c r="B803">
        <v>0</v>
      </c>
    </row>
    <row r="804" spans="1:2" x14ac:dyDescent="0.25">
      <c r="A804" s="16">
        <v>2735</v>
      </c>
      <c r="B804">
        <v>0</v>
      </c>
    </row>
    <row r="805" spans="1:2" x14ac:dyDescent="0.25">
      <c r="A805" s="16">
        <v>2741</v>
      </c>
      <c r="B805">
        <v>0</v>
      </c>
    </row>
    <row r="806" spans="1:2" x14ac:dyDescent="0.25">
      <c r="A806" s="16">
        <v>2752</v>
      </c>
      <c r="B806">
        <f>VLOOKUP(A806,'Inventario ENE 30-1-26'!$A$1:$J$10000,10,FALSE)</f>
        <v>745.7</v>
      </c>
    </row>
    <row r="807" spans="1:2" x14ac:dyDescent="0.25">
      <c r="A807" s="16">
        <v>2754</v>
      </c>
      <c r="B807">
        <f>VLOOKUP(A807,'Inventario ENE 30-1-26'!$A$1:$J$10000,10,FALSE)</f>
        <v>0</v>
      </c>
    </row>
    <row r="808" spans="1:2" x14ac:dyDescent="0.25">
      <c r="A808" s="16">
        <v>2755</v>
      </c>
      <c r="B808">
        <f>VLOOKUP(A808,'Inventario ENE 30-1-26'!$A$1:$J$10000,10,FALSE)</f>
        <v>3600</v>
      </c>
    </row>
    <row r="809" spans="1:2" x14ac:dyDescent="0.25">
      <c r="A809" s="16">
        <v>2758</v>
      </c>
      <c r="B809">
        <f>VLOOKUP(A809,'Inventario ENE 30-1-26'!$A$1:$J$10000,10,FALSE)</f>
        <v>1000</v>
      </c>
    </row>
    <row r="810" spans="1:2" x14ac:dyDescent="0.25">
      <c r="A810" s="16">
        <v>2759</v>
      </c>
      <c r="B810">
        <f>VLOOKUP(A810,'Inventario ENE 30-1-26'!$A$1:$J$10000,10,FALSE)</f>
        <v>1000</v>
      </c>
    </row>
    <row r="811" spans="1:2" x14ac:dyDescent="0.25">
      <c r="A811" s="16">
        <v>2760</v>
      </c>
      <c r="B811">
        <f>VLOOKUP(A811,'Inventario ENE 30-1-26'!$A$1:$J$10000,10,FALSE)</f>
        <v>1000</v>
      </c>
    </row>
    <row r="812" spans="1:2" x14ac:dyDescent="0.25">
      <c r="A812" s="16">
        <v>2762</v>
      </c>
      <c r="B812">
        <v>0</v>
      </c>
    </row>
    <row r="813" spans="1:2" x14ac:dyDescent="0.25">
      <c r="A813" s="16">
        <v>2768</v>
      </c>
      <c r="B813">
        <f>VLOOKUP(A813,'Inventario ENE 30-1-26'!$A$1:$J$10000,10,FALSE)</f>
        <v>1150</v>
      </c>
    </row>
    <row r="814" spans="1:2" x14ac:dyDescent="0.25">
      <c r="A814" s="16">
        <v>2769</v>
      </c>
      <c r="B814">
        <f>VLOOKUP(A814,'Inventario ENE 30-1-26'!$A$1:$J$10000,10,FALSE)</f>
        <v>1150</v>
      </c>
    </row>
    <row r="815" spans="1:2" x14ac:dyDescent="0.25">
      <c r="A815" s="16">
        <v>2770</v>
      </c>
      <c r="B815">
        <f>VLOOKUP(A815,'Inventario ENE 30-1-26'!$A$1:$J$10000,10,FALSE)</f>
        <v>1150</v>
      </c>
    </row>
    <row r="816" spans="1:2" x14ac:dyDescent="0.25">
      <c r="A816" s="16">
        <v>2772</v>
      </c>
      <c r="B816">
        <f>VLOOKUP(A816,'Inventario ENE 30-1-26'!$A$1:$J$10000,10,FALSE)</f>
        <v>1100</v>
      </c>
    </row>
    <row r="817" spans="1:2" x14ac:dyDescent="0.25">
      <c r="A817" s="16">
        <v>2773</v>
      </c>
      <c r="B817">
        <f>VLOOKUP(A817,'Inventario ENE 30-1-26'!$A$1:$J$10000,10,FALSE)</f>
        <v>1300</v>
      </c>
    </row>
    <row r="818" spans="1:2" x14ac:dyDescent="0.25">
      <c r="A818" s="16">
        <v>2781</v>
      </c>
      <c r="B818">
        <f>VLOOKUP(A818,'Inventario ENE 30-1-26'!$A$1:$J$10000,10,FALSE)</f>
        <v>24</v>
      </c>
    </row>
    <row r="819" spans="1:2" x14ac:dyDescent="0.25">
      <c r="A819" s="16">
        <v>2785</v>
      </c>
      <c r="B819">
        <f>VLOOKUP(A819,'Inventario ENE 30-1-26'!$A$1:$J$10000,10,FALSE)</f>
        <v>24</v>
      </c>
    </row>
    <row r="820" spans="1:2" x14ac:dyDescent="0.25">
      <c r="A820" s="16">
        <v>2788</v>
      </c>
      <c r="B820">
        <f>VLOOKUP(A820,'Inventario ENE 30-1-26'!$A$1:$J$10000,10,FALSE)</f>
        <v>591.5</v>
      </c>
    </row>
    <row r="821" spans="1:2" x14ac:dyDescent="0.25">
      <c r="A821" s="16">
        <v>2790</v>
      </c>
      <c r="B821">
        <f>VLOOKUP(A821,'Inventario ENE 30-1-26'!$A$1:$J$10000,10,FALSE)</f>
        <v>3400</v>
      </c>
    </row>
    <row r="822" spans="1:2" x14ac:dyDescent="0.25">
      <c r="A822" s="16">
        <v>2791</v>
      </c>
      <c r="B822">
        <f>VLOOKUP(A822,'Inventario ENE 30-1-26'!$A$1:$J$10000,10,FALSE)</f>
        <v>3600</v>
      </c>
    </row>
    <row r="823" spans="1:2" x14ac:dyDescent="0.25">
      <c r="A823" s="16">
        <v>2796</v>
      </c>
      <c r="B823">
        <v>0</v>
      </c>
    </row>
    <row r="824" spans="1:2" x14ac:dyDescent="0.25">
      <c r="A824" s="16">
        <v>2803</v>
      </c>
      <c r="B824">
        <f>VLOOKUP(A824,'Inventario ENE 30-1-26'!$A$1:$J$10000,10,FALSE)</f>
        <v>1200</v>
      </c>
    </row>
    <row r="825" spans="1:2" x14ac:dyDescent="0.25">
      <c r="A825" s="16">
        <v>2804</v>
      </c>
      <c r="B825">
        <f>VLOOKUP(A825,'Inventario ENE 30-1-26'!$A$1:$J$10000,10,FALSE)</f>
        <v>1500</v>
      </c>
    </row>
    <row r="826" spans="1:2" x14ac:dyDescent="0.25">
      <c r="A826" s="16">
        <v>2805</v>
      </c>
      <c r="B826">
        <f>VLOOKUP(A826,'Inventario ENE 30-1-26'!$A$1:$J$10000,10,FALSE)</f>
        <v>1500</v>
      </c>
    </row>
    <row r="827" spans="1:2" x14ac:dyDescent="0.25">
      <c r="A827" s="16">
        <v>2812</v>
      </c>
      <c r="B827">
        <f>VLOOKUP(A827,'Inventario ENE 30-1-26'!$A$1:$J$10000,10,FALSE)</f>
        <v>0</v>
      </c>
    </row>
    <row r="828" spans="1:2" x14ac:dyDescent="0.25">
      <c r="A828" s="16">
        <v>2817</v>
      </c>
      <c r="B828">
        <f>VLOOKUP(A828,'Inventario ENE 30-1-26'!$A$1:$J$10000,10,FALSE)</f>
        <v>309.5</v>
      </c>
    </row>
    <row r="829" spans="1:2" x14ac:dyDescent="0.25">
      <c r="A829" s="16">
        <v>2820</v>
      </c>
      <c r="B829">
        <f>VLOOKUP(A829,'Inventario ENE 30-1-26'!$A$1:$J$10000,10,FALSE)</f>
        <v>1154</v>
      </c>
    </row>
    <row r="830" spans="1:2" x14ac:dyDescent="0.25">
      <c r="A830" s="16">
        <v>2821</v>
      </c>
      <c r="B830">
        <f>VLOOKUP(A830,'Inventario ENE 30-1-26'!$A$1:$J$10000,10,FALSE)</f>
        <v>3600</v>
      </c>
    </row>
    <row r="831" spans="1:2" x14ac:dyDescent="0.25">
      <c r="A831" s="16">
        <v>2822</v>
      </c>
      <c r="B831">
        <f>VLOOKUP(A831,'Inventario ENE 30-1-26'!$A$1:$J$10000,10,FALSE)</f>
        <v>309.5</v>
      </c>
    </row>
    <row r="832" spans="1:2" x14ac:dyDescent="0.25">
      <c r="A832" s="16">
        <v>2825</v>
      </c>
      <c r="B832">
        <f>VLOOKUP(A832,'Inventario ENE 30-1-26'!$A$1:$J$10000,10,FALSE)</f>
        <v>24</v>
      </c>
    </row>
    <row r="833" spans="1:2" x14ac:dyDescent="0.25">
      <c r="A833" s="16">
        <v>2834</v>
      </c>
      <c r="B833">
        <f>VLOOKUP(A833,'Inventario ENE 30-1-26'!$A$1:$J$10000,10,FALSE)</f>
        <v>1138.5</v>
      </c>
    </row>
    <row r="834" spans="1:2" x14ac:dyDescent="0.25">
      <c r="A834" s="16">
        <v>2836</v>
      </c>
      <c r="B834">
        <f>VLOOKUP(A834,'Inventario ENE 30-1-26'!$A$1:$J$10000,10,FALSE)</f>
        <v>591.5</v>
      </c>
    </row>
    <row r="835" spans="1:2" x14ac:dyDescent="0.25">
      <c r="A835" s="16">
        <v>2845</v>
      </c>
      <c r="B835">
        <f>VLOOKUP(A835,'Inventario ENE 30-1-26'!$A$1:$J$10000,10,FALSE)</f>
        <v>1000</v>
      </c>
    </row>
    <row r="836" spans="1:2" x14ac:dyDescent="0.25">
      <c r="A836" s="16">
        <v>2846</v>
      </c>
      <c r="B836">
        <f>VLOOKUP(A836,'Inventario ENE 30-1-26'!$A$1:$J$10000,10,FALSE)</f>
        <v>1000</v>
      </c>
    </row>
    <row r="837" spans="1:2" x14ac:dyDescent="0.25">
      <c r="A837" s="16">
        <v>2848</v>
      </c>
      <c r="B837">
        <f>VLOOKUP(A837,'Inventario ENE 30-1-26'!$A$1:$J$10000,10,FALSE)</f>
        <v>1000</v>
      </c>
    </row>
    <row r="838" spans="1:2" x14ac:dyDescent="0.25">
      <c r="A838" s="16">
        <v>2849</v>
      </c>
      <c r="B838">
        <f>VLOOKUP(A838,'Inventario ENE 30-1-26'!$A$1:$J$10000,10,FALSE)</f>
        <v>1000</v>
      </c>
    </row>
    <row r="839" spans="1:2" x14ac:dyDescent="0.25">
      <c r="A839" s="16">
        <v>2850</v>
      </c>
      <c r="B839">
        <f>VLOOKUP(A839,'Inventario ENE 30-1-26'!$A$1:$J$10000,10,FALSE)</f>
        <v>1000</v>
      </c>
    </row>
    <row r="840" spans="1:2" x14ac:dyDescent="0.25">
      <c r="A840" s="16">
        <v>2855</v>
      </c>
      <c r="B840">
        <v>0</v>
      </c>
    </row>
    <row r="841" spans="1:2" x14ac:dyDescent="0.25">
      <c r="A841" s="16">
        <v>2857</v>
      </c>
      <c r="B841">
        <f>VLOOKUP(A841,'Inventario ENE 30-1-26'!$A$1:$J$10000,10,FALSE)</f>
        <v>1000</v>
      </c>
    </row>
    <row r="842" spans="1:2" x14ac:dyDescent="0.25">
      <c r="A842" s="16">
        <v>2863</v>
      </c>
      <c r="B842">
        <f>VLOOKUP(A842,'Inventario ENE 30-1-26'!$A$1:$J$10000,10,FALSE)</f>
        <v>24</v>
      </c>
    </row>
    <row r="843" spans="1:2" x14ac:dyDescent="0.25">
      <c r="A843" s="16">
        <v>2872</v>
      </c>
      <c r="B843">
        <f>VLOOKUP(A843,'Inventario ENE 30-1-26'!$A$1:$J$10000,10,FALSE)</f>
        <v>24</v>
      </c>
    </row>
    <row r="844" spans="1:2" x14ac:dyDescent="0.25">
      <c r="A844" s="16">
        <v>2874</v>
      </c>
      <c r="B844">
        <f>VLOOKUP(A844,'Inventario ENE 30-1-26'!$A$1:$J$10000,10,FALSE)</f>
        <v>24</v>
      </c>
    </row>
    <row r="845" spans="1:2" x14ac:dyDescent="0.25">
      <c r="A845" s="16">
        <v>2875</v>
      </c>
      <c r="B845">
        <f>VLOOKUP(A845,'Inventario ENE 30-1-26'!$A$1:$J$10000,10,FALSE)</f>
        <v>24</v>
      </c>
    </row>
    <row r="846" spans="1:2" x14ac:dyDescent="0.25">
      <c r="A846" s="16">
        <v>2876</v>
      </c>
      <c r="B846">
        <f>VLOOKUP(A846,'Inventario ENE 30-1-26'!$A$1:$J$10000,10,FALSE)</f>
        <v>24</v>
      </c>
    </row>
    <row r="847" spans="1:2" x14ac:dyDescent="0.25">
      <c r="A847" s="16">
        <v>2881</v>
      </c>
      <c r="B847">
        <f>VLOOKUP(A847,'Inventario ENE 30-1-26'!$A$1:$J$10000,10,FALSE)</f>
        <v>1000</v>
      </c>
    </row>
    <row r="848" spans="1:2" x14ac:dyDescent="0.25">
      <c r="A848" s="16">
        <v>2882</v>
      </c>
      <c r="B848">
        <f>VLOOKUP(A848,'Inventario ENE 30-1-26'!$A$1:$J$10000,10,FALSE)</f>
        <v>1000</v>
      </c>
    </row>
    <row r="849" spans="1:2" x14ac:dyDescent="0.25">
      <c r="A849" s="16">
        <v>2883</v>
      </c>
      <c r="B849">
        <f>VLOOKUP(A849,'Inventario ENE 30-1-26'!$A$1:$J$10000,10,FALSE)</f>
        <v>591.5</v>
      </c>
    </row>
    <row r="850" spans="1:2" x14ac:dyDescent="0.25">
      <c r="A850" s="16">
        <v>2884</v>
      </c>
      <c r="B850">
        <f>VLOOKUP(A850,'Inventario ENE 30-1-26'!$A$1:$J$10000,10,FALSE)</f>
        <v>3600</v>
      </c>
    </row>
    <row r="851" spans="1:2" x14ac:dyDescent="0.25">
      <c r="A851" s="16">
        <v>2885</v>
      </c>
      <c r="B851">
        <f>VLOOKUP(A851,'Inventario ENE 30-1-26'!$A$1:$J$10000,10,FALSE)</f>
        <v>1200</v>
      </c>
    </row>
    <row r="852" spans="1:2" x14ac:dyDescent="0.25">
      <c r="A852" s="16">
        <v>2886</v>
      </c>
      <c r="B852">
        <f>VLOOKUP(A852,'Inventario ENE 30-1-26'!$A$1:$J$10000,10,FALSE)</f>
        <v>3400</v>
      </c>
    </row>
    <row r="853" spans="1:2" x14ac:dyDescent="0.25">
      <c r="A853" s="16">
        <v>2887</v>
      </c>
      <c r="B853">
        <f>VLOOKUP(A853,'Inventario ENE 30-1-26'!$A$1:$J$10000,10,FALSE)</f>
        <v>1200</v>
      </c>
    </row>
    <row r="854" spans="1:2" x14ac:dyDescent="0.25">
      <c r="A854" s="16">
        <v>2889</v>
      </c>
      <c r="B854">
        <f>VLOOKUP(A854,'Inventario ENE 30-1-26'!$A$1:$J$10000,10,FALSE)</f>
        <v>884</v>
      </c>
    </row>
    <row r="855" spans="1:2" x14ac:dyDescent="0.25">
      <c r="A855" s="16">
        <v>2892</v>
      </c>
      <c r="B855">
        <f>VLOOKUP(A855,'Inventario ENE 30-1-26'!$A$1:$J$10000,10,FALSE)</f>
        <v>1000</v>
      </c>
    </row>
    <row r="856" spans="1:2" x14ac:dyDescent="0.25">
      <c r="A856" s="16">
        <v>2898</v>
      </c>
      <c r="B856">
        <f>VLOOKUP(A856,'Inventario ENE 30-1-26'!$A$1:$J$10000,10,FALSE)</f>
        <v>1000</v>
      </c>
    </row>
    <row r="857" spans="1:2" x14ac:dyDescent="0.25">
      <c r="A857" s="16">
        <v>2899</v>
      </c>
      <c r="B857">
        <f>VLOOKUP(A857,'Inventario ENE 30-1-26'!$A$1:$J$10000,10,FALSE)</f>
        <v>1000</v>
      </c>
    </row>
    <row r="858" spans="1:2" x14ac:dyDescent="0.25">
      <c r="A858" s="16">
        <v>2900</v>
      </c>
      <c r="B858">
        <f>VLOOKUP(A858,'Inventario ENE 30-1-26'!$A$1:$J$10000,10,FALSE)</f>
        <v>1000</v>
      </c>
    </row>
    <row r="859" spans="1:2" x14ac:dyDescent="0.25">
      <c r="A859" s="16">
        <v>2901</v>
      </c>
      <c r="B859">
        <f>VLOOKUP(A859,'Inventario ENE 30-1-26'!$A$1:$J$10000,10,FALSE)</f>
        <v>1000</v>
      </c>
    </row>
    <row r="860" spans="1:2" x14ac:dyDescent="0.25">
      <c r="A860" s="16">
        <v>2902</v>
      </c>
      <c r="B860">
        <f>VLOOKUP(A860,'Inventario ENE 30-1-26'!$A$1:$J$10000,10,FALSE)</f>
        <v>1000</v>
      </c>
    </row>
    <row r="861" spans="1:2" x14ac:dyDescent="0.25">
      <c r="A861" s="16">
        <v>2903</v>
      </c>
      <c r="B861">
        <f>VLOOKUP(A861,'Inventario ENE 30-1-26'!$A$1:$J$10000,10,FALSE)</f>
        <v>1000</v>
      </c>
    </row>
    <row r="862" spans="1:2" x14ac:dyDescent="0.25">
      <c r="A862" s="16">
        <v>2904</v>
      </c>
      <c r="B862">
        <f>VLOOKUP(A862,'Inventario ENE 30-1-26'!$A$1:$J$10000,10,FALSE)</f>
        <v>24</v>
      </c>
    </row>
    <row r="863" spans="1:2" x14ac:dyDescent="0.25">
      <c r="A863" s="16">
        <v>2905</v>
      </c>
      <c r="B863">
        <f>VLOOKUP(A863,'Inventario ENE 30-1-26'!$A$1:$J$10000,10,FALSE)</f>
        <v>1031</v>
      </c>
    </row>
    <row r="864" spans="1:2" x14ac:dyDescent="0.25">
      <c r="A864" s="16">
        <v>2908</v>
      </c>
      <c r="B864">
        <f>VLOOKUP(A864,'Inventario ENE 30-1-26'!$A$1:$J$10000,10,FALSE)</f>
        <v>3400</v>
      </c>
    </row>
    <row r="865" spans="1:2" x14ac:dyDescent="0.25">
      <c r="A865" s="16">
        <v>2909</v>
      </c>
      <c r="B865">
        <f>VLOOKUP(A865,'Inventario ENE 30-1-26'!$A$1:$J$10000,10,FALSE)</f>
        <v>1000</v>
      </c>
    </row>
    <row r="866" spans="1:2" x14ac:dyDescent="0.25">
      <c r="A866" s="16">
        <v>2910</v>
      </c>
      <c r="B866">
        <f>VLOOKUP(A866,'Inventario ENE 30-1-26'!$A$1:$J$10000,10,FALSE)</f>
        <v>1000</v>
      </c>
    </row>
    <row r="867" spans="1:2" x14ac:dyDescent="0.25">
      <c r="A867" s="16">
        <v>2911</v>
      </c>
      <c r="B867">
        <f>VLOOKUP(A867,'Inventario ENE 30-1-26'!$A$1:$J$10000,10,FALSE)</f>
        <v>1000</v>
      </c>
    </row>
    <row r="868" spans="1:2" x14ac:dyDescent="0.25">
      <c r="A868" s="16">
        <v>2912</v>
      </c>
      <c r="B868">
        <f>VLOOKUP(A868,'Inventario ENE 30-1-26'!$A$1:$J$10000,10,FALSE)</f>
        <v>1000</v>
      </c>
    </row>
    <row r="869" spans="1:2" x14ac:dyDescent="0.25">
      <c r="A869" s="16">
        <v>2913</v>
      </c>
      <c r="B869">
        <f>VLOOKUP(A869,'Inventario ENE 30-1-26'!$A$1:$J$10000,10,FALSE)</f>
        <v>1000</v>
      </c>
    </row>
    <row r="870" spans="1:2" x14ac:dyDescent="0.25">
      <c r="A870" s="16">
        <v>2914</v>
      </c>
      <c r="B870">
        <f>VLOOKUP(A870,'Inventario ENE 30-1-26'!$A$1:$J$10000,10,FALSE)</f>
        <v>1000</v>
      </c>
    </row>
    <row r="871" spans="1:2" x14ac:dyDescent="0.25">
      <c r="A871" s="16">
        <v>2916</v>
      </c>
      <c r="B871">
        <f>VLOOKUP(A871,'Inventario ENE 30-1-26'!$A$1:$J$10000,10,FALSE)</f>
        <v>24</v>
      </c>
    </row>
    <row r="872" spans="1:2" x14ac:dyDescent="0.25">
      <c r="A872" s="16">
        <v>2922</v>
      </c>
      <c r="B872">
        <f>VLOOKUP(A872,'Inventario ENE 30-1-26'!$A$1:$J$10000,10,FALSE)</f>
        <v>24</v>
      </c>
    </row>
    <row r="873" spans="1:2" x14ac:dyDescent="0.25">
      <c r="A873" s="16">
        <v>2923</v>
      </c>
      <c r="B873">
        <f>VLOOKUP(A873,'Inventario ENE 30-1-26'!$A$1:$J$10000,10,FALSE)</f>
        <v>3400</v>
      </c>
    </row>
    <row r="874" spans="1:2" x14ac:dyDescent="0.25">
      <c r="A874" s="16">
        <v>2926</v>
      </c>
      <c r="B874">
        <f>VLOOKUP(A874,'Inventario ENE 30-1-26'!$A$1:$J$10000,10,FALSE)</f>
        <v>3600</v>
      </c>
    </row>
    <row r="875" spans="1:2" x14ac:dyDescent="0.25">
      <c r="A875" s="16">
        <v>2929</v>
      </c>
      <c r="B875">
        <f>VLOOKUP(A875,'Inventario ENE 30-1-26'!$A$1:$J$10000,10,FALSE)</f>
        <v>432</v>
      </c>
    </row>
    <row r="876" spans="1:2" x14ac:dyDescent="0.25">
      <c r="A876" s="16">
        <v>2930</v>
      </c>
      <c r="B876">
        <f>VLOOKUP(A876,'Inventario ENE 30-1-26'!$A$1:$J$10000,10,FALSE)</f>
        <v>0</v>
      </c>
    </row>
    <row r="877" spans="1:2" x14ac:dyDescent="0.25">
      <c r="A877" s="16">
        <v>2944</v>
      </c>
      <c r="B877">
        <f>VLOOKUP(A877,'Inventario ENE 30-1-26'!$A$1:$J$10000,10,FALSE)</f>
        <v>1500</v>
      </c>
    </row>
    <row r="878" spans="1:2" x14ac:dyDescent="0.25">
      <c r="A878" s="16">
        <v>2947</v>
      </c>
      <c r="B878">
        <f>VLOOKUP(A878,'Inventario ENE 30-1-26'!$A$1:$J$10000,10,FALSE)</f>
        <v>24</v>
      </c>
    </row>
    <row r="879" spans="1:2" x14ac:dyDescent="0.25">
      <c r="A879" s="16">
        <v>2952</v>
      </c>
      <c r="B879">
        <f>VLOOKUP(A879,'Inventario ENE 30-1-26'!$A$1:$J$10000,10,FALSE)</f>
        <v>1000</v>
      </c>
    </row>
    <row r="880" spans="1:2" x14ac:dyDescent="0.25">
      <c r="A880" s="16">
        <v>2953</v>
      </c>
      <c r="B880">
        <f>VLOOKUP(A880,'Inventario ENE 30-1-26'!$A$1:$J$10000,10,FALSE)</f>
        <v>1000</v>
      </c>
    </row>
    <row r="881" spans="1:2" x14ac:dyDescent="0.25">
      <c r="A881" s="16">
        <v>2954</v>
      </c>
      <c r="B881">
        <f>VLOOKUP(A881,'Inventario ENE 30-1-26'!$A$1:$J$10000,10,FALSE)</f>
        <v>1000</v>
      </c>
    </row>
    <row r="882" spans="1:2" x14ac:dyDescent="0.25">
      <c r="A882" s="16">
        <v>2955</v>
      </c>
      <c r="B882">
        <f>VLOOKUP(A882,'Inventario ENE 30-1-26'!$A$1:$J$10000,10,FALSE)</f>
        <v>1000</v>
      </c>
    </row>
    <row r="883" spans="1:2" x14ac:dyDescent="0.25">
      <c r="A883" s="16">
        <v>2959</v>
      </c>
      <c r="B883">
        <f>VLOOKUP(A883,'Inventario ENE 30-1-26'!$A$1:$J$10000,10,FALSE)</f>
        <v>2200</v>
      </c>
    </row>
    <row r="884" spans="1:2" x14ac:dyDescent="0.25">
      <c r="A884" s="16">
        <v>2965</v>
      </c>
      <c r="B884">
        <f>VLOOKUP(A884,'Inventario ENE 30-1-26'!$A$1:$J$10000,10,FALSE)</f>
        <v>36</v>
      </c>
    </row>
    <row r="885" spans="1:2" x14ac:dyDescent="0.25">
      <c r="A885" s="16">
        <v>2966</v>
      </c>
      <c r="B885">
        <f>VLOOKUP(A885,'Inventario ENE 30-1-26'!$A$1:$J$10000,10,FALSE)</f>
        <v>591.5</v>
      </c>
    </row>
    <row r="886" spans="1:2" x14ac:dyDescent="0.25">
      <c r="A886" s="16">
        <v>2969</v>
      </c>
      <c r="B886">
        <f>VLOOKUP(A886,'Inventario ENE 30-1-26'!$A$1:$J$10000,10,FALSE)</f>
        <v>2200</v>
      </c>
    </row>
    <row r="887" spans="1:2" x14ac:dyDescent="0.25">
      <c r="A887" s="16">
        <v>2970</v>
      </c>
      <c r="B887">
        <f>VLOOKUP(A887,'Inventario ENE 30-1-26'!$A$1:$J$10000,10,FALSE)</f>
        <v>3400</v>
      </c>
    </row>
    <row r="888" spans="1:2" x14ac:dyDescent="0.25">
      <c r="A888" s="16">
        <v>2975</v>
      </c>
      <c r="B888">
        <v>0</v>
      </c>
    </row>
    <row r="889" spans="1:2" x14ac:dyDescent="0.25">
      <c r="A889" s="16">
        <v>2977</v>
      </c>
      <c r="B889">
        <f>VLOOKUP(A889,'Inventario ENE 30-1-26'!$A$1:$J$10000,10,FALSE)</f>
        <v>0</v>
      </c>
    </row>
    <row r="890" spans="1:2" x14ac:dyDescent="0.25">
      <c r="A890" s="16">
        <v>2978</v>
      </c>
      <c r="B890">
        <f>VLOOKUP(A890,'Inventario ENE 30-1-26'!$A$1:$J$10000,10,FALSE)</f>
        <v>0</v>
      </c>
    </row>
    <row r="891" spans="1:2" x14ac:dyDescent="0.25">
      <c r="A891" s="16">
        <v>2979</v>
      </c>
      <c r="B891">
        <f>VLOOKUP(A891,'Inventario ENE 30-1-26'!$A$1:$J$10000,10,FALSE)</f>
        <v>36</v>
      </c>
    </row>
    <row r="892" spans="1:2" x14ac:dyDescent="0.25">
      <c r="A892" s="16">
        <v>2981</v>
      </c>
      <c r="B892">
        <f>VLOOKUP(A892,'Inventario ENE 30-1-26'!$A$1:$J$10000,10,FALSE)</f>
        <v>3400</v>
      </c>
    </row>
    <row r="893" spans="1:2" x14ac:dyDescent="0.25">
      <c r="A893" s="16">
        <v>2986</v>
      </c>
      <c r="B893">
        <f>VLOOKUP(A893,'Inventario ENE 30-1-26'!$A$1:$J$10000,10,FALSE)</f>
        <v>3600</v>
      </c>
    </row>
    <row r="894" spans="1:2" x14ac:dyDescent="0.25">
      <c r="A894" s="16">
        <v>2988</v>
      </c>
      <c r="B894">
        <f>VLOOKUP(A894,'Inventario ENE 30-1-26'!$A$1:$J$10000,10,FALSE)</f>
        <v>1000</v>
      </c>
    </row>
    <row r="895" spans="1:2" x14ac:dyDescent="0.25">
      <c r="A895" s="16">
        <v>2989</v>
      </c>
      <c r="B895">
        <f>VLOOKUP(A895,'Inventario ENE 30-1-26'!$A$1:$J$10000,10,FALSE)</f>
        <v>1000</v>
      </c>
    </row>
    <row r="896" spans="1:2" x14ac:dyDescent="0.25">
      <c r="A896" s="16">
        <v>2990</v>
      </c>
      <c r="B896">
        <f>VLOOKUP(A896,'Inventario ENE 30-1-26'!$A$1:$J$10000,10,FALSE)</f>
        <v>767</v>
      </c>
    </row>
    <row r="897" spans="1:2" x14ac:dyDescent="0.25">
      <c r="A897" s="16">
        <v>2993</v>
      </c>
      <c r="B897">
        <f>VLOOKUP(A897,'Inventario ENE 30-1-26'!$A$1:$J$10000,10,FALSE)</f>
        <v>1200</v>
      </c>
    </row>
    <row r="898" spans="1:2" x14ac:dyDescent="0.25">
      <c r="A898" s="16">
        <v>2994</v>
      </c>
      <c r="B898">
        <f>VLOOKUP(A898,'Inventario ENE 30-1-26'!$A$1:$J$10000,10,FALSE)</f>
        <v>0</v>
      </c>
    </row>
    <row r="899" spans="1:2" x14ac:dyDescent="0.25">
      <c r="A899" s="16">
        <v>3000</v>
      </c>
      <c r="B899">
        <f>VLOOKUP(A899,'Inventario ENE 30-1-26'!$A$1:$J$10000,10,FALSE)</f>
        <v>1000</v>
      </c>
    </row>
    <row r="900" spans="1:2" x14ac:dyDescent="0.25">
      <c r="A900" s="16">
        <v>3016</v>
      </c>
      <c r="B900">
        <f>VLOOKUP(A900,'Inventario ENE 30-1-26'!$A$1:$J$10000,10,FALSE)</f>
        <v>1700</v>
      </c>
    </row>
    <row r="901" spans="1:2" x14ac:dyDescent="0.25">
      <c r="A901" s="16">
        <v>3017</v>
      </c>
      <c r="B901">
        <f>VLOOKUP(A901,'Inventario ENE 30-1-26'!$A$1:$J$10000,10,FALSE)</f>
        <v>309.5</v>
      </c>
    </row>
    <row r="902" spans="1:2" x14ac:dyDescent="0.25">
      <c r="A902" s="16">
        <v>3020</v>
      </c>
      <c r="B902">
        <f>VLOOKUP(A902,'Inventario ENE 30-1-26'!$A$1:$J$10000,10,FALSE)</f>
        <v>1000</v>
      </c>
    </row>
    <row r="903" spans="1:2" x14ac:dyDescent="0.25">
      <c r="A903" s="16">
        <v>3021</v>
      </c>
      <c r="B903">
        <f>VLOOKUP(A903,'Inventario ENE 30-1-26'!$A$1:$J$10000,10,FALSE)</f>
        <v>1000</v>
      </c>
    </row>
    <row r="904" spans="1:2" x14ac:dyDescent="0.25">
      <c r="A904" s="16">
        <v>3022</v>
      </c>
      <c r="B904">
        <f>VLOOKUP(A904,'Inventario ENE 30-1-26'!$A$1:$J$10000,10,FALSE)</f>
        <v>1000</v>
      </c>
    </row>
    <row r="905" spans="1:2" x14ac:dyDescent="0.25">
      <c r="A905" s="16">
        <v>3023</v>
      </c>
      <c r="B905">
        <f>VLOOKUP(A905,'Inventario ENE 30-1-26'!$A$1:$J$10000,10,FALSE)</f>
        <v>1000</v>
      </c>
    </row>
    <row r="906" spans="1:2" x14ac:dyDescent="0.25">
      <c r="A906" s="16">
        <v>3024</v>
      </c>
      <c r="B906">
        <f>VLOOKUP(A906,'Inventario ENE 30-1-26'!$A$1:$J$10000,10,FALSE)</f>
        <v>1000</v>
      </c>
    </row>
    <row r="907" spans="1:2" x14ac:dyDescent="0.25">
      <c r="A907" s="16">
        <v>3025</v>
      </c>
      <c r="B907">
        <f>VLOOKUP(A907,'Inventario ENE 30-1-26'!$A$1:$J$10000,10,FALSE)</f>
        <v>1000</v>
      </c>
    </row>
    <row r="908" spans="1:2" x14ac:dyDescent="0.25">
      <c r="A908" s="16">
        <v>3036</v>
      </c>
      <c r="B908">
        <f>VLOOKUP(A908,'Inventario ENE 30-1-26'!$A$1:$J$10000,10,FALSE)</f>
        <v>2200</v>
      </c>
    </row>
    <row r="909" spans="1:2" x14ac:dyDescent="0.25">
      <c r="A909" s="16">
        <v>3037</v>
      </c>
      <c r="B909">
        <f>VLOOKUP(A909,'Inventario ENE 30-1-26'!$A$1:$J$10000,10,FALSE)</f>
        <v>2200</v>
      </c>
    </row>
    <row r="910" spans="1:2" x14ac:dyDescent="0.25">
      <c r="A910" s="16">
        <v>3038</v>
      </c>
      <c r="B910">
        <f>VLOOKUP(A910,'Inventario ENE 30-1-26'!$A$1:$J$10000,10,FALSE)</f>
        <v>2200</v>
      </c>
    </row>
    <row r="911" spans="1:2" x14ac:dyDescent="0.25">
      <c r="A911" s="16">
        <v>3040</v>
      </c>
      <c r="B911">
        <f>VLOOKUP(A911,'Inventario ENE 30-1-26'!$A$1:$J$10000,10,FALSE)</f>
        <v>1199.5</v>
      </c>
    </row>
    <row r="912" spans="1:2" x14ac:dyDescent="0.25">
      <c r="A912" s="16">
        <v>3041</v>
      </c>
      <c r="B912">
        <f>VLOOKUP(A912,'Inventario ENE 30-1-26'!$A$1:$J$10000,10,FALSE)</f>
        <v>1199.5</v>
      </c>
    </row>
    <row r="913" spans="1:2" x14ac:dyDescent="0.25">
      <c r="A913" s="16">
        <v>3042</v>
      </c>
      <c r="B913">
        <f>VLOOKUP(A913,'Inventario ENE 30-1-26'!$A$1:$J$10000,10,FALSE)</f>
        <v>1199.5</v>
      </c>
    </row>
    <row r="914" spans="1:2" x14ac:dyDescent="0.25">
      <c r="A914" s="16">
        <v>3043</v>
      </c>
      <c r="B914">
        <f>VLOOKUP(A914,'Inventario ENE 30-1-26'!$A$1:$J$10000,10,FALSE)</f>
        <v>1199.5</v>
      </c>
    </row>
    <row r="915" spans="1:2" x14ac:dyDescent="0.25">
      <c r="A915" s="16">
        <v>3044</v>
      </c>
      <c r="B915">
        <f>VLOOKUP(A915,'Inventario ENE 30-1-26'!$A$1:$J$10000,10,FALSE)</f>
        <v>3600</v>
      </c>
    </row>
    <row r="916" spans="1:2" x14ac:dyDescent="0.25">
      <c r="A916" s="16">
        <v>3045</v>
      </c>
      <c r="B916">
        <f>VLOOKUP(A916,'Inventario ENE 30-1-26'!$A$1:$J$10000,10,FALSE)</f>
        <v>1000</v>
      </c>
    </row>
    <row r="917" spans="1:2" x14ac:dyDescent="0.25">
      <c r="A917" s="16">
        <v>3046</v>
      </c>
      <c r="B917">
        <f>VLOOKUP(A917,'Inventario ENE 30-1-26'!$A$1:$J$10000,10,FALSE)</f>
        <v>1000</v>
      </c>
    </row>
    <row r="918" spans="1:2" x14ac:dyDescent="0.25">
      <c r="A918" s="16">
        <v>3047</v>
      </c>
      <c r="B918">
        <f>VLOOKUP(A918,'Inventario ENE 30-1-26'!$A$1:$J$10000,10,FALSE)</f>
        <v>1000</v>
      </c>
    </row>
    <row r="919" spans="1:2" x14ac:dyDescent="0.25">
      <c r="A919" s="16">
        <v>3052</v>
      </c>
      <c r="B919">
        <f>VLOOKUP(A919,'Inventario ENE 30-1-26'!$A$1:$J$10000,10,FALSE)</f>
        <v>1700</v>
      </c>
    </row>
    <row r="920" spans="1:2" x14ac:dyDescent="0.25">
      <c r="A920" s="16">
        <v>3057</v>
      </c>
      <c r="B920">
        <f>VLOOKUP(A920,'Inventario ENE 30-1-26'!$A$1:$J$10000,10,FALSE)</f>
        <v>1000</v>
      </c>
    </row>
    <row r="921" spans="1:2" x14ac:dyDescent="0.25">
      <c r="A921" s="16">
        <v>3058</v>
      </c>
      <c r="B921">
        <f>VLOOKUP(A921,'Inventario ENE 30-1-26'!$A$1:$J$10000,10,FALSE)</f>
        <v>1000</v>
      </c>
    </row>
    <row r="922" spans="1:2" x14ac:dyDescent="0.25">
      <c r="A922" s="16">
        <v>3059</v>
      </c>
      <c r="B922">
        <f>VLOOKUP(A922,'Inventario ENE 30-1-26'!$A$1:$J$10000,10,FALSE)</f>
        <v>3600</v>
      </c>
    </row>
    <row r="923" spans="1:2" x14ac:dyDescent="0.25">
      <c r="A923" s="16">
        <v>3061</v>
      </c>
      <c r="B923">
        <f>VLOOKUP(A923,'Inventario ENE 30-1-26'!$A$1:$J$10000,10,FALSE)</f>
        <v>1000</v>
      </c>
    </row>
    <row r="924" spans="1:2" x14ac:dyDescent="0.25">
      <c r="A924" s="16">
        <v>3062</v>
      </c>
      <c r="B924">
        <f>VLOOKUP(A924,'Inventario ENE 30-1-26'!$A$1:$J$10000,10,FALSE)</f>
        <v>1000</v>
      </c>
    </row>
    <row r="925" spans="1:2" x14ac:dyDescent="0.25">
      <c r="A925" s="16">
        <v>3063</v>
      </c>
      <c r="B925">
        <f>VLOOKUP(A925,'Inventario ENE 30-1-26'!$A$1:$J$10000,10,FALSE)</f>
        <v>1000</v>
      </c>
    </row>
    <row r="926" spans="1:2" x14ac:dyDescent="0.25">
      <c r="A926" s="16">
        <v>3064</v>
      </c>
      <c r="B926">
        <f>VLOOKUP(A926,'Inventario ENE 30-1-26'!$A$1:$J$10000,10,FALSE)</f>
        <v>1000</v>
      </c>
    </row>
    <row r="927" spans="1:2" x14ac:dyDescent="0.25">
      <c r="A927" s="16">
        <v>3066</v>
      </c>
      <c r="B927">
        <f>VLOOKUP(A927,'Inventario ENE 30-1-26'!$A$1:$J$10000,10,FALSE)</f>
        <v>3600</v>
      </c>
    </row>
    <row r="928" spans="1:2" x14ac:dyDescent="0.25">
      <c r="A928" s="16">
        <v>3069</v>
      </c>
      <c r="B928">
        <f>VLOOKUP(A928,'Inventario ENE 30-1-26'!$A$1:$J$10000,10,FALSE)</f>
        <v>24</v>
      </c>
    </row>
    <row r="929" spans="1:2" x14ac:dyDescent="0.25">
      <c r="A929" s="16">
        <v>3071</v>
      </c>
      <c r="B929">
        <f>VLOOKUP(A929,'Inventario ENE 30-1-26'!$A$1:$J$10000,10,FALSE)</f>
        <v>24</v>
      </c>
    </row>
    <row r="930" spans="1:2" x14ac:dyDescent="0.25">
      <c r="A930" s="16">
        <v>3075</v>
      </c>
      <c r="B930">
        <f>VLOOKUP(A930,'Inventario ENE 30-1-26'!$A$1:$J$10000,10,FALSE)</f>
        <v>1500</v>
      </c>
    </row>
    <row r="931" spans="1:2" x14ac:dyDescent="0.25">
      <c r="A931" s="16">
        <v>3076</v>
      </c>
      <c r="B931">
        <f>VLOOKUP(A931,'Inventario ENE 30-1-26'!$A$1:$J$10000,10,FALSE)</f>
        <v>2000</v>
      </c>
    </row>
    <row r="932" spans="1:2" x14ac:dyDescent="0.25">
      <c r="A932" s="16">
        <v>3083</v>
      </c>
      <c r="B932">
        <f>VLOOKUP(A932,'Inventario ENE 30-1-26'!$A$1:$J$10000,10,FALSE)</f>
        <v>24</v>
      </c>
    </row>
    <row r="933" spans="1:2" x14ac:dyDescent="0.25">
      <c r="A933" s="16">
        <v>3084</v>
      </c>
      <c r="B933">
        <f>VLOOKUP(A933,'Inventario ENE 30-1-26'!$A$1:$J$10000,10,FALSE)</f>
        <v>24</v>
      </c>
    </row>
    <row r="934" spans="1:2" x14ac:dyDescent="0.25">
      <c r="A934" s="16">
        <v>3085</v>
      </c>
      <c r="B934">
        <f>VLOOKUP(A934,'Inventario ENE 30-1-26'!$A$1:$J$10000,10,FALSE)</f>
        <v>24</v>
      </c>
    </row>
    <row r="935" spans="1:2" x14ac:dyDescent="0.25">
      <c r="A935" s="16">
        <v>3096</v>
      </c>
      <c r="B935">
        <f>VLOOKUP(A935,'Inventario ENE 30-1-26'!$A$1:$J$10000,10,FALSE)</f>
        <v>0</v>
      </c>
    </row>
    <row r="936" spans="1:2" x14ac:dyDescent="0.25">
      <c r="A936" s="16">
        <v>3097</v>
      </c>
      <c r="B936">
        <f>VLOOKUP(A936,'Inventario ENE 30-1-26'!$A$1:$J$10000,10,FALSE)</f>
        <v>0</v>
      </c>
    </row>
    <row r="937" spans="1:2" x14ac:dyDescent="0.25">
      <c r="A937" s="16">
        <v>3104</v>
      </c>
      <c r="B937">
        <f>VLOOKUP(A937,'Inventario ENE 30-1-26'!$A$1:$J$10000,10,FALSE)</f>
        <v>24</v>
      </c>
    </row>
    <row r="938" spans="1:2" x14ac:dyDescent="0.25">
      <c r="A938" s="16">
        <v>3107</v>
      </c>
      <c r="B938">
        <f>VLOOKUP(A938,'Inventario ENE 30-1-26'!$A$1:$J$10000,10,FALSE)</f>
        <v>1199.5</v>
      </c>
    </row>
    <row r="939" spans="1:2" x14ac:dyDescent="0.25">
      <c r="A939" s="16">
        <v>3108</v>
      </c>
      <c r="B939">
        <f>VLOOKUP(A939,'Inventario ENE 30-1-26'!$A$1:$J$10000,10,FALSE)</f>
        <v>24</v>
      </c>
    </row>
    <row r="940" spans="1:2" x14ac:dyDescent="0.25">
      <c r="A940" s="16">
        <v>3109</v>
      </c>
      <c r="B940">
        <f>VLOOKUP(A940,'Inventario ENE 30-1-26'!$A$1:$J$10000,10,FALSE)</f>
        <v>24</v>
      </c>
    </row>
    <row r="941" spans="1:2" x14ac:dyDescent="0.25">
      <c r="A941" s="16">
        <v>3110</v>
      </c>
      <c r="B941">
        <f>VLOOKUP(A941,'Inventario ENE 30-1-26'!$A$1:$J$10000,10,FALSE)</f>
        <v>24</v>
      </c>
    </row>
    <row r="942" spans="1:2" x14ac:dyDescent="0.25">
      <c r="A942" s="16">
        <v>3112</v>
      </c>
      <c r="B942">
        <f>VLOOKUP(A942,'Inventario ENE 30-1-26'!$A$1:$J$10000,10,FALSE)</f>
        <v>0</v>
      </c>
    </row>
    <row r="943" spans="1:2" x14ac:dyDescent="0.25">
      <c r="A943" s="16">
        <v>3123</v>
      </c>
      <c r="B943">
        <f>VLOOKUP(A943,'Inventario ENE 30-1-26'!$A$1:$J$10000,10,FALSE)</f>
        <v>24</v>
      </c>
    </row>
    <row r="944" spans="1:2" x14ac:dyDescent="0.25">
      <c r="A944" s="16">
        <v>3124</v>
      </c>
      <c r="B944">
        <f>VLOOKUP(A944,'Inventario ENE 30-1-26'!$A$1:$J$10000,10,FALSE)</f>
        <v>24</v>
      </c>
    </row>
    <row r="945" spans="1:2" x14ac:dyDescent="0.25">
      <c r="A945" s="16">
        <v>3125</v>
      </c>
      <c r="B945">
        <f>VLOOKUP(A945,'Inventario ENE 30-1-26'!$A$1:$J$10000,10,FALSE)</f>
        <v>24</v>
      </c>
    </row>
    <row r="946" spans="1:2" x14ac:dyDescent="0.25">
      <c r="A946" s="16">
        <v>3127</v>
      </c>
      <c r="B946">
        <f>VLOOKUP(A946,'Inventario ENE 30-1-26'!$A$1:$J$10000,10,FALSE)</f>
        <v>1199.5</v>
      </c>
    </row>
    <row r="947" spans="1:2" x14ac:dyDescent="0.25">
      <c r="A947" s="16">
        <v>3131</v>
      </c>
      <c r="B947">
        <f>VLOOKUP(A947,'Inventario ENE 30-1-26'!$A$1:$J$10000,10,FALSE)</f>
        <v>0</v>
      </c>
    </row>
    <row r="948" spans="1:2" x14ac:dyDescent="0.25">
      <c r="A948" s="16">
        <v>3134</v>
      </c>
      <c r="B948">
        <f>VLOOKUP(A948,'Inventario ENE 30-1-26'!$A$1:$J$10000,10,FALSE)</f>
        <v>24</v>
      </c>
    </row>
    <row r="949" spans="1:2" x14ac:dyDescent="0.25">
      <c r="A949" s="16">
        <v>3140</v>
      </c>
      <c r="B949">
        <f>VLOOKUP(A949,'Inventario ENE 30-1-26'!$A$1:$J$10000,10,FALSE)</f>
        <v>24</v>
      </c>
    </row>
    <row r="950" spans="1:2" x14ac:dyDescent="0.25">
      <c r="A950" s="16">
        <v>3148</v>
      </c>
      <c r="B950">
        <f>VLOOKUP(A950,'Inventario ENE 30-1-26'!$A$1:$J$10000,10,FALSE)</f>
        <v>24</v>
      </c>
    </row>
    <row r="951" spans="1:2" x14ac:dyDescent="0.25">
      <c r="A951" s="16">
        <v>3152</v>
      </c>
      <c r="B951">
        <f>VLOOKUP(A951,'Inventario ENE 30-1-26'!$A$1:$J$10000,10,FALSE)</f>
        <v>20</v>
      </c>
    </row>
    <row r="952" spans="1:2" x14ac:dyDescent="0.25">
      <c r="A952" s="16">
        <v>3156</v>
      </c>
      <c r="B952">
        <f>VLOOKUP(A952,'Inventario ENE 30-1-26'!$A$1:$J$10000,10,FALSE)</f>
        <v>24</v>
      </c>
    </row>
    <row r="953" spans="1:2" x14ac:dyDescent="0.25">
      <c r="A953" s="16">
        <v>3158</v>
      </c>
      <c r="B953">
        <f>VLOOKUP(A953,'Inventario ENE 30-1-26'!$A$1:$J$10000,10,FALSE)</f>
        <v>24</v>
      </c>
    </row>
    <row r="954" spans="1:2" x14ac:dyDescent="0.25">
      <c r="A954" s="16">
        <v>3159</v>
      </c>
      <c r="B954">
        <f>VLOOKUP(A954,'Inventario ENE 30-1-26'!$A$1:$J$10000,10,FALSE)</f>
        <v>1200</v>
      </c>
    </row>
    <row r="955" spans="1:2" x14ac:dyDescent="0.25">
      <c r="A955" s="16">
        <v>3160</v>
      </c>
      <c r="B955">
        <f>VLOOKUP(A955,'Inventario ENE 30-1-26'!$A$1:$J$10000,10,FALSE)</f>
        <v>1200</v>
      </c>
    </row>
    <row r="956" spans="1:2" x14ac:dyDescent="0.25">
      <c r="A956" s="16">
        <v>3161</v>
      </c>
      <c r="B956">
        <f>VLOOKUP(A956,'Inventario ENE 30-1-26'!$A$1:$J$10000,10,FALSE)</f>
        <v>1200</v>
      </c>
    </row>
    <row r="957" spans="1:2" x14ac:dyDescent="0.25">
      <c r="A957" s="16">
        <v>3163</v>
      </c>
      <c r="B957">
        <f>VLOOKUP(A957,'Inventario ENE 30-1-26'!$A$1:$J$10000,10,FALSE)</f>
        <v>24</v>
      </c>
    </row>
    <row r="958" spans="1:2" x14ac:dyDescent="0.25">
      <c r="A958" s="16">
        <v>3164</v>
      </c>
      <c r="B958">
        <f>VLOOKUP(A958,'Inventario ENE 30-1-26'!$A$1:$J$10000,10,FALSE)</f>
        <v>600</v>
      </c>
    </row>
    <row r="959" spans="1:2" x14ac:dyDescent="0.25">
      <c r="A959" s="16">
        <v>3170</v>
      </c>
      <c r="B959">
        <f>VLOOKUP(A959,'Inventario ENE 30-1-26'!$A$1:$J$10000,10,FALSE)</f>
        <v>24</v>
      </c>
    </row>
    <row r="960" spans="1:2" x14ac:dyDescent="0.25">
      <c r="A960" s="16">
        <v>3171</v>
      </c>
      <c r="B960">
        <f>VLOOKUP(A960,'Inventario ENE 30-1-26'!$A$1:$J$10000,10,FALSE)</f>
        <v>2200</v>
      </c>
    </row>
    <row r="961" spans="1:2" x14ac:dyDescent="0.25">
      <c r="A961" s="16">
        <v>3172</v>
      </c>
      <c r="B961">
        <f>VLOOKUP(A961,'Inventario ENE 30-1-26'!$A$1:$J$10000,10,FALSE)</f>
        <v>2200</v>
      </c>
    </row>
    <row r="962" spans="1:2" x14ac:dyDescent="0.25">
      <c r="A962" s="16">
        <v>3174</v>
      </c>
      <c r="B962">
        <f>VLOOKUP(A962,'Inventario ENE 30-1-26'!$A$1:$J$10000,10,FALSE)</f>
        <v>2000</v>
      </c>
    </row>
    <row r="963" spans="1:2" x14ac:dyDescent="0.25">
      <c r="A963" s="16">
        <v>3175</v>
      </c>
      <c r="B963">
        <f>VLOOKUP(A963,'Inventario ENE 30-1-26'!$A$1:$J$10000,10,FALSE)</f>
        <v>600</v>
      </c>
    </row>
    <row r="964" spans="1:2" x14ac:dyDescent="0.25">
      <c r="A964" s="16">
        <v>3177</v>
      </c>
      <c r="B964">
        <f>VLOOKUP(A964,'Inventario ENE 30-1-26'!$A$1:$J$10000,10,FALSE)</f>
        <v>3600</v>
      </c>
    </row>
    <row r="965" spans="1:2" x14ac:dyDescent="0.25">
      <c r="A965" s="16">
        <v>3178</v>
      </c>
      <c r="B965">
        <f>VLOOKUP(A965,'Inventario ENE 30-1-26'!$A$1:$J$10000,10,FALSE)</f>
        <v>3600</v>
      </c>
    </row>
    <row r="966" spans="1:2" x14ac:dyDescent="0.25">
      <c r="A966" s="16">
        <v>3179</v>
      </c>
      <c r="B966">
        <f>VLOOKUP(A966,'Inventario ENE 30-1-26'!$A$1:$J$10000,10,FALSE)</f>
        <v>3600</v>
      </c>
    </row>
    <row r="967" spans="1:2" x14ac:dyDescent="0.25">
      <c r="A967" s="16">
        <v>3183</v>
      </c>
      <c r="B967">
        <f>VLOOKUP(A967,'Inventario ENE 30-1-26'!$A$1:$J$10000,10,FALSE)</f>
        <v>24</v>
      </c>
    </row>
    <row r="968" spans="1:2" x14ac:dyDescent="0.25">
      <c r="A968" s="16">
        <v>3184</v>
      </c>
      <c r="B968">
        <f>VLOOKUP(A968,'Inventario ENE 30-1-26'!$A$1:$J$10000,10,FALSE)</f>
        <v>24</v>
      </c>
    </row>
    <row r="969" spans="1:2" x14ac:dyDescent="0.25">
      <c r="A969" s="16">
        <v>3185</v>
      </c>
      <c r="B969">
        <f>VLOOKUP(A969,'Inventario ENE 30-1-26'!$A$1:$J$10000,10,FALSE)</f>
        <v>24</v>
      </c>
    </row>
    <row r="970" spans="1:2" x14ac:dyDescent="0.25">
      <c r="A970" s="16">
        <v>3195</v>
      </c>
      <c r="B970">
        <f>VLOOKUP(A970,'Inventario ENE 30-1-26'!$A$1:$J$10000,10,FALSE)</f>
        <v>2200</v>
      </c>
    </row>
    <row r="971" spans="1:2" x14ac:dyDescent="0.25">
      <c r="A971" s="16">
        <v>3196</v>
      </c>
      <c r="B971">
        <f>VLOOKUP(A971,'Inventario ENE 30-1-26'!$A$1:$J$10000,10,FALSE)</f>
        <v>2200</v>
      </c>
    </row>
    <row r="972" spans="1:2" x14ac:dyDescent="0.25">
      <c r="A972" s="16">
        <v>3201</v>
      </c>
      <c r="B972">
        <f>VLOOKUP(A972,'Inventario ENE 30-1-26'!$A$1:$J$10000,10,FALSE)</f>
        <v>24</v>
      </c>
    </row>
    <row r="973" spans="1:2" x14ac:dyDescent="0.25">
      <c r="A973" s="16">
        <v>3207</v>
      </c>
      <c r="B973">
        <f>VLOOKUP(A973,'Inventario ENE 30-1-26'!$A$1:$J$10000,10,FALSE)</f>
        <v>24</v>
      </c>
    </row>
    <row r="974" spans="1:2" x14ac:dyDescent="0.25">
      <c r="A974" s="16">
        <v>3211</v>
      </c>
      <c r="B974">
        <f>VLOOKUP(A974,'Inventario ENE 30-1-26'!$A$1:$J$10000,10,FALSE)</f>
        <v>2200</v>
      </c>
    </row>
    <row r="975" spans="1:2" x14ac:dyDescent="0.25">
      <c r="A975" s="16">
        <v>3213</v>
      </c>
      <c r="B975">
        <f>VLOOKUP(A975,'Inventario ENE 30-1-26'!$A$1:$J$10000,10,FALSE)</f>
        <v>2200</v>
      </c>
    </row>
    <row r="976" spans="1:2" x14ac:dyDescent="0.25">
      <c r="A976" s="16">
        <v>3217</v>
      </c>
    </row>
    <row r="977" spans="1:2" x14ac:dyDescent="0.25">
      <c r="A977" s="16">
        <v>3218</v>
      </c>
      <c r="B977">
        <f>VLOOKUP(A977,'Inventario ENE 30-1-26'!$A$1:$J$10000,10,FALSE)</f>
        <v>591.5</v>
      </c>
    </row>
    <row r="978" spans="1:2" x14ac:dyDescent="0.25">
      <c r="A978" s="16">
        <v>3223</v>
      </c>
      <c r="B978">
        <f>VLOOKUP(A978,'Inventario ENE 30-1-26'!$A$1:$J$10000,10,FALSE)</f>
        <v>24</v>
      </c>
    </row>
    <row r="979" spans="1:2" x14ac:dyDescent="0.25">
      <c r="A979" s="16">
        <v>3228</v>
      </c>
      <c r="B979">
        <f>VLOOKUP(A979,'Inventario ENE 30-1-26'!$A$1:$J$10000,10,FALSE)</f>
        <v>1100</v>
      </c>
    </row>
    <row r="980" spans="1:2" x14ac:dyDescent="0.25">
      <c r="A980" s="16">
        <v>3230</v>
      </c>
      <c r="B980">
        <f>VLOOKUP(A980,'Inventario ENE 30-1-26'!$A$1:$J$10000,10,FALSE)</f>
        <v>24</v>
      </c>
    </row>
    <row r="981" spans="1:2" x14ac:dyDescent="0.25">
      <c r="A981" s="16">
        <v>3232</v>
      </c>
      <c r="B981">
        <f>VLOOKUP(A981,'Inventario ENE 30-1-26'!$A$1:$J$10000,10,FALSE)</f>
        <v>24</v>
      </c>
    </row>
    <row r="982" spans="1:2" x14ac:dyDescent="0.25">
      <c r="A982" s="16">
        <v>3234</v>
      </c>
      <c r="B982">
        <f>VLOOKUP(A982,'Inventario ENE 30-1-26'!$A$1:$J$10000,10,FALSE)</f>
        <v>1000</v>
      </c>
    </row>
    <row r="983" spans="1:2" x14ac:dyDescent="0.25">
      <c r="A983" s="16">
        <v>3238</v>
      </c>
      <c r="B983">
        <f>VLOOKUP(A983,'Inventario ENE 30-1-26'!$A$1:$J$10000,10,FALSE)</f>
        <v>24</v>
      </c>
    </row>
    <row r="984" spans="1:2" x14ac:dyDescent="0.25">
      <c r="A984" s="16">
        <v>3240</v>
      </c>
      <c r="B984">
        <f>VLOOKUP(A984,'Inventario ENE 30-1-26'!$A$1:$J$10000,10,FALSE)</f>
        <v>24</v>
      </c>
    </row>
    <row r="985" spans="1:2" x14ac:dyDescent="0.25">
      <c r="A985" s="16">
        <v>3245</v>
      </c>
      <c r="B985">
        <f>VLOOKUP(A985,'Inventario ENE 30-1-26'!$A$1:$J$10000,10,FALSE)</f>
        <v>24</v>
      </c>
    </row>
    <row r="986" spans="1:2" x14ac:dyDescent="0.25">
      <c r="A986" s="16">
        <v>3246</v>
      </c>
      <c r="B986">
        <f>VLOOKUP(A986,'Inventario ENE 30-1-26'!$A$1:$J$10000,10,FALSE)</f>
        <v>24</v>
      </c>
    </row>
    <row r="987" spans="1:2" x14ac:dyDescent="0.25">
      <c r="A987" s="16">
        <v>3255</v>
      </c>
      <c r="B987">
        <f>VLOOKUP(A987,'Inventario ENE 30-1-26'!$A$1:$J$10000,10,FALSE)</f>
        <v>24</v>
      </c>
    </row>
    <row r="988" spans="1:2" x14ac:dyDescent="0.25">
      <c r="A988" s="16">
        <v>3256</v>
      </c>
      <c r="B988">
        <f>VLOOKUP(A988,'Inventario ENE 30-1-26'!$A$1:$J$10000,10,FALSE)</f>
        <v>1000</v>
      </c>
    </row>
    <row r="989" spans="1:2" x14ac:dyDescent="0.25">
      <c r="A989" s="16">
        <v>3257</v>
      </c>
      <c r="B989">
        <f>VLOOKUP(A989,'Inventario ENE 30-1-26'!$A$1:$J$10000,10,FALSE)</f>
        <v>1000</v>
      </c>
    </row>
    <row r="990" spans="1:2" x14ac:dyDescent="0.25">
      <c r="A990" s="16">
        <v>3258</v>
      </c>
      <c r="B990">
        <f>VLOOKUP(A990,'Inventario ENE 30-1-26'!$A$1:$J$10000,10,FALSE)</f>
        <v>1000</v>
      </c>
    </row>
    <row r="991" spans="1:2" x14ac:dyDescent="0.25">
      <c r="A991" s="16">
        <v>3259</v>
      </c>
      <c r="B991">
        <f>VLOOKUP(A991,'Inventario ENE 30-1-26'!$A$1:$J$10000,10,FALSE)</f>
        <v>1000</v>
      </c>
    </row>
    <row r="992" spans="1:2" x14ac:dyDescent="0.25">
      <c r="A992" s="16">
        <v>3262</v>
      </c>
      <c r="B992">
        <f>VLOOKUP(A992,'Inventario ENE 30-1-26'!$A$1:$J$10000,10,FALSE)</f>
        <v>3950.5</v>
      </c>
    </row>
    <row r="993" spans="1:2" x14ac:dyDescent="0.25">
      <c r="A993" s="16">
        <v>3263</v>
      </c>
      <c r="B993">
        <f>VLOOKUP(A993,'Inventario ENE 30-1-26'!$A$1:$J$10000,10,FALSE)</f>
        <v>3950.5</v>
      </c>
    </row>
    <row r="994" spans="1:2" x14ac:dyDescent="0.25">
      <c r="A994" s="16">
        <v>3264</v>
      </c>
      <c r="B994">
        <f>VLOOKUP(A994,'Inventario ENE 30-1-26'!$A$1:$J$10000,10,FALSE)</f>
        <v>0</v>
      </c>
    </row>
    <row r="995" spans="1:2" x14ac:dyDescent="0.25">
      <c r="A995" s="16">
        <v>3265</v>
      </c>
      <c r="B995">
        <f>VLOOKUP(A995,'Inventario ENE 30-1-26'!$A$1:$J$10000,10,FALSE)</f>
        <v>24</v>
      </c>
    </row>
    <row r="996" spans="1:2" x14ac:dyDescent="0.25">
      <c r="A996" s="16">
        <v>3267</v>
      </c>
      <c r="B996">
        <f>VLOOKUP(A996,'Inventario ENE 30-1-26'!$A$1:$J$10000,10,FALSE)</f>
        <v>24</v>
      </c>
    </row>
    <row r="997" spans="1:2" x14ac:dyDescent="0.25">
      <c r="A997" s="16">
        <v>3268</v>
      </c>
      <c r="B997">
        <f>VLOOKUP(A997,'Inventario ENE 30-1-26'!$A$1:$J$10000,10,FALSE)</f>
        <v>1200</v>
      </c>
    </row>
    <row r="998" spans="1:2" x14ac:dyDescent="0.25">
      <c r="A998" s="16">
        <v>3269</v>
      </c>
      <c r="B998">
        <f>VLOOKUP(A998,'Inventario ENE 30-1-26'!$A$1:$J$10000,10,FALSE)</f>
        <v>1200</v>
      </c>
    </row>
    <row r="999" spans="1:2" x14ac:dyDescent="0.25">
      <c r="A999" s="16">
        <v>3270</v>
      </c>
      <c r="B999">
        <f>VLOOKUP(A999,'Inventario ENE 30-1-26'!$A$1:$J$10000,10,FALSE)</f>
        <v>3950.5</v>
      </c>
    </row>
    <row r="1000" spans="1:2" x14ac:dyDescent="0.25">
      <c r="A1000" s="16">
        <v>3271</v>
      </c>
      <c r="B1000">
        <f>VLOOKUP(A1000,'Inventario ENE 30-1-26'!$A$1:$J$10000,10,FALSE)</f>
        <v>3950.5</v>
      </c>
    </row>
    <row r="1001" spans="1:2" x14ac:dyDescent="0.25">
      <c r="A1001" s="16">
        <v>3272</v>
      </c>
      <c r="B1001">
        <f>VLOOKUP(A1001,'Inventario ENE 30-1-26'!$A$1:$J$10000,10,FALSE)</f>
        <v>1000</v>
      </c>
    </row>
    <row r="1002" spans="1:2" x14ac:dyDescent="0.25">
      <c r="A1002" s="16">
        <v>3273</v>
      </c>
      <c r="B1002">
        <f>VLOOKUP(A1002,'Inventario ENE 30-1-26'!$A$1:$J$10000,10,FALSE)</f>
        <v>1000</v>
      </c>
    </row>
    <row r="1003" spans="1:2" x14ac:dyDescent="0.25">
      <c r="A1003" s="16">
        <v>3274</v>
      </c>
      <c r="B1003">
        <f>VLOOKUP(A1003,'Inventario ENE 30-1-26'!$A$1:$J$10000,10,FALSE)</f>
        <v>1000</v>
      </c>
    </row>
    <row r="1004" spans="1:2" x14ac:dyDescent="0.25">
      <c r="A1004" s="16">
        <v>3275</v>
      </c>
      <c r="B1004">
        <f>VLOOKUP(A1004,'Inventario ENE 30-1-26'!$A$1:$J$10000,10,FALSE)</f>
        <v>2000</v>
      </c>
    </row>
    <row r="1005" spans="1:2" x14ac:dyDescent="0.25">
      <c r="A1005" s="16">
        <v>3276</v>
      </c>
      <c r="B1005">
        <f>VLOOKUP(A1005,'Inventario ENE 30-1-26'!$A$1:$J$10000,10,FALSE)</f>
        <v>3600</v>
      </c>
    </row>
    <row r="1006" spans="1:2" x14ac:dyDescent="0.25">
      <c r="A1006" s="16">
        <v>3277</v>
      </c>
      <c r="B1006">
        <f>VLOOKUP(A1006,'Inventario ENE 30-1-26'!$A$1:$J$10000,10,FALSE)</f>
        <v>3700</v>
      </c>
    </row>
    <row r="1007" spans="1:2" x14ac:dyDescent="0.25">
      <c r="A1007" s="16">
        <v>3278</v>
      </c>
      <c r="B1007">
        <f>VLOOKUP(A1007,'Inventario ENE 30-1-26'!$A$1:$J$10000,10,FALSE)</f>
        <v>24</v>
      </c>
    </row>
    <row r="1008" spans="1:2" x14ac:dyDescent="0.25">
      <c r="A1008" s="16">
        <v>3279</v>
      </c>
      <c r="B1008">
        <f>VLOOKUP(A1008,'Inventario ENE 30-1-26'!$A$1:$J$10000,10,FALSE)</f>
        <v>1000</v>
      </c>
    </row>
    <row r="1009" spans="1:2" x14ac:dyDescent="0.25">
      <c r="A1009" s="16">
        <v>3280</v>
      </c>
      <c r="B1009">
        <f>VLOOKUP(A1009,'Inventario ENE 30-1-26'!$A$1:$J$10000,10,FALSE)</f>
        <v>1000</v>
      </c>
    </row>
    <row r="1010" spans="1:2" x14ac:dyDescent="0.25">
      <c r="A1010" s="16">
        <v>3285</v>
      </c>
      <c r="B1010">
        <f>VLOOKUP(A1010,'Inventario ENE 30-1-26'!$A$1:$J$10000,10,FALSE)</f>
        <v>24</v>
      </c>
    </row>
    <row r="1011" spans="1:2" x14ac:dyDescent="0.25">
      <c r="A1011" s="16">
        <v>3286</v>
      </c>
      <c r="B1011">
        <f>VLOOKUP(A1011,'Inventario ENE 30-1-26'!$A$1:$J$10000,10,FALSE)</f>
        <v>1000</v>
      </c>
    </row>
    <row r="1012" spans="1:2" x14ac:dyDescent="0.25">
      <c r="A1012" s="16">
        <v>3287</v>
      </c>
      <c r="B1012">
        <f>VLOOKUP(A1012,'Inventario ENE 30-1-26'!$A$1:$J$10000,10,FALSE)</f>
        <v>3600</v>
      </c>
    </row>
    <row r="1013" spans="1:2" x14ac:dyDescent="0.25">
      <c r="A1013" s="16">
        <v>3288</v>
      </c>
      <c r="B1013">
        <f>VLOOKUP(A1013,'Inventario ENE 30-1-26'!$A$1:$J$10000,10,FALSE)</f>
        <v>1013</v>
      </c>
    </row>
    <row r="1014" spans="1:2" x14ac:dyDescent="0.25">
      <c r="A1014" s="16">
        <v>3289</v>
      </c>
      <c r="B1014">
        <f>VLOOKUP(A1014,'Inventario ENE 30-1-26'!$A$1:$J$10000,10,FALSE)</f>
        <v>1200</v>
      </c>
    </row>
    <row r="1015" spans="1:2" x14ac:dyDescent="0.25">
      <c r="A1015" s="16">
        <v>3290</v>
      </c>
      <c r="B1015">
        <f>VLOOKUP(A1015,'Inventario ENE 30-1-26'!$A$1:$J$10000,10,FALSE)</f>
        <v>1200</v>
      </c>
    </row>
    <row r="1016" spans="1:2" x14ac:dyDescent="0.25">
      <c r="A1016" s="16">
        <v>3292</v>
      </c>
      <c r="B1016">
        <f>VLOOKUP(A1016,'Inventario ENE 30-1-26'!$A$1:$J$10000,10,FALSE)</f>
        <v>24</v>
      </c>
    </row>
    <row r="1017" spans="1:2" x14ac:dyDescent="0.25">
      <c r="A1017" s="16">
        <v>3293</v>
      </c>
      <c r="B1017">
        <f>VLOOKUP(A1017,'Inventario ENE 30-1-26'!$A$1:$J$10000,10,FALSE)</f>
        <v>24</v>
      </c>
    </row>
    <row r="1018" spans="1:2" x14ac:dyDescent="0.25">
      <c r="A1018" s="16">
        <v>3295</v>
      </c>
      <c r="B1018">
        <f>VLOOKUP(A1018,'Inventario ENE 30-1-26'!$A$1:$J$10000,10,FALSE)</f>
        <v>24</v>
      </c>
    </row>
    <row r="1019" spans="1:2" x14ac:dyDescent="0.25">
      <c r="A1019" s="16">
        <v>3299</v>
      </c>
      <c r="B1019">
        <f>VLOOKUP(A1019,'Inventario ENE 30-1-26'!$A$1:$J$10000,10,FALSE)</f>
        <v>1000</v>
      </c>
    </row>
    <row r="1020" spans="1:2" x14ac:dyDescent="0.25">
      <c r="A1020" s="16">
        <v>3300</v>
      </c>
      <c r="B1020">
        <f>VLOOKUP(A1020,'Inventario ENE 30-1-26'!$A$1:$J$10000,10,FALSE)</f>
        <v>1000</v>
      </c>
    </row>
    <row r="1021" spans="1:2" x14ac:dyDescent="0.25">
      <c r="A1021" s="16">
        <v>3301</v>
      </c>
      <c r="B1021">
        <f>VLOOKUP(A1021,'Inventario ENE 30-1-26'!$A$1:$J$10000,10,FALSE)</f>
        <v>1000</v>
      </c>
    </row>
    <row r="1022" spans="1:2" x14ac:dyDescent="0.25">
      <c r="A1022" s="16">
        <v>3302</v>
      </c>
      <c r="B1022">
        <f>VLOOKUP(A1022,'Inventario ENE 30-1-26'!$A$1:$J$10000,10,FALSE)</f>
        <v>1000</v>
      </c>
    </row>
    <row r="1023" spans="1:2" x14ac:dyDescent="0.25">
      <c r="A1023" s="16">
        <v>3303</v>
      </c>
      <c r="B1023">
        <f>VLOOKUP(A1023,'Inventario ENE 30-1-26'!$A$1:$J$10000,10,FALSE)</f>
        <v>24</v>
      </c>
    </row>
    <row r="1024" spans="1:2" x14ac:dyDescent="0.25">
      <c r="A1024" s="16">
        <v>3304</v>
      </c>
      <c r="B1024">
        <f>VLOOKUP(A1024,'Inventario ENE 30-1-26'!$A$1:$J$10000,10,FALSE)</f>
        <v>1200</v>
      </c>
    </row>
    <row r="1025" spans="1:2" x14ac:dyDescent="0.25">
      <c r="A1025" s="16">
        <v>3305</v>
      </c>
      <c r="B1025">
        <f>VLOOKUP(A1025,'Inventario ENE 30-1-26'!$A$1:$J$10000,10,FALSE)</f>
        <v>1200</v>
      </c>
    </row>
    <row r="1026" spans="1:2" x14ac:dyDescent="0.25">
      <c r="A1026" s="16">
        <v>3308</v>
      </c>
      <c r="B1026">
        <f>VLOOKUP(A1026,'Inventario ENE 30-1-26'!$A$1:$J$10000,10,FALSE)</f>
        <v>24</v>
      </c>
    </row>
    <row r="1027" spans="1:2" x14ac:dyDescent="0.25">
      <c r="A1027" s="16">
        <v>3309</v>
      </c>
      <c r="B1027">
        <f>VLOOKUP(A1027,'Inventario ENE 30-1-26'!$A$1:$J$10000,10,FALSE)</f>
        <v>1200</v>
      </c>
    </row>
    <row r="1028" spans="1:2" x14ac:dyDescent="0.25">
      <c r="A1028" s="16">
        <v>3310</v>
      </c>
      <c r="B1028">
        <f>VLOOKUP(A1028,'Inventario ENE 30-1-26'!$A$1:$J$10000,10,FALSE)</f>
        <v>1013</v>
      </c>
    </row>
    <row r="1029" spans="1:2" x14ac:dyDescent="0.25">
      <c r="A1029" s="16">
        <v>3312</v>
      </c>
      <c r="B1029">
        <f>VLOOKUP(A1029,'Inventario ENE 30-1-26'!$A$1:$J$10000,10,FALSE)</f>
        <v>1200</v>
      </c>
    </row>
    <row r="1030" spans="1:2" x14ac:dyDescent="0.25">
      <c r="A1030" s="16">
        <v>3313</v>
      </c>
      <c r="B1030">
        <f>VLOOKUP(A1030,'Inventario ENE 30-1-26'!$A$1:$J$10000,10,FALSE)</f>
        <v>1200</v>
      </c>
    </row>
    <row r="1031" spans="1:2" x14ac:dyDescent="0.25">
      <c r="A1031" s="16">
        <v>3314</v>
      </c>
      <c r="B1031">
        <f>VLOOKUP(A1031,'Inventario ENE 30-1-26'!$A$1:$J$10000,10,FALSE)</f>
        <v>2037.55</v>
      </c>
    </row>
    <row r="1032" spans="1:2" x14ac:dyDescent="0.25">
      <c r="A1032" s="16">
        <v>3315</v>
      </c>
      <c r="B1032">
        <f>VLOOKUP(A1032,'Inventario ENE 30-1-26'!$A$1:$J$10000,10,FALSE)</f>
        <v>1200</v>
      </c>
    </row>
    <row r="1033" spans="1:2" x14ac:dyDescent="0.25">
      <c r="A1033" s="16">
        <v>3317</v>
      </c>
      <c r="B1033">
        <f>VLOOKUP(A1033,'Inventario ENE 30-1-26'!$A$1:$J$10000,10,FALSE)</f>
        <v>2456</v>
      </c>
    </row>
    <row r="1034" spans="1:2" x14ac:dyDescent="0.25">
      <c r="A1034" s="16">
        <v>3319</v>
      </c>
      <c r="B1034">
        <f>VLOOKUP(A1034,'Inventario ENE 30-1-26'!$A$1:$J$10000,10,FALSE)</f>
        <v>859</v>
      </c>
    </row>
    <row r="1035" spans="1:2" x14ac:dyDescent="0.25">
      <c r="A1035" s="16">
        <v>3320</v>
      </c>
      <c r="B1035">
        <f>VLOOKUP(A1035,'Inventario ENE 30-1-26'!$A$1:$J$10000,10,FALSE)</f>
        <v>1200</v>
      </c>
    </row>
    <row r="1036" spans="1:2" x14ac:dyDescent="0.25">
      <c r="A1036" s="16">
        <v>3321</v>
      </c>
      <c r="B1036">
        <f>VLOOKUP(A1036,'Inventario ENE 30-1-26'!$A$1:$J$10000,10,FALSE)</f>
        <v>2900</v>
      </c>
    </row>
    <row r="1037" spans="1:2" x14ac:dyDescent="0.25">
      <c r="A1037" s="16">
        <v>3325</v>
      </c>
      <c r="B1037">
        <f>VLOOKUP(A1037,'Inventario ENE 30-1-26'!$A$1:$J$10000,10,FALSE)</f>
        <v>12</v>
      </c>
    </row>
    <row r="1038" spans="1:2" x14ac:dyDescent="0.25">
      <c r="A1038" s="16">
        <v>3327</v>
      </c>
      <c r="B1038">
        <f>VLOOKUP(A1038,'Inventario ENE 30-1-26'!$A$1:$J$10000,10,FALSE)</f>
        <v>24</v>
      </c>
    </row>
    <row r="1039" spans="1:2" x14ac:dyDescent="0.25">
      <c r="A1039" s="16">
        <v>3329</v>
      </c>
      <c r="B1039">
        <f>VLOOKUP(A1039,'Inventario ENE 30-1-26'!$A$1:$J$10000,10,FALSE)</f>
        <v>24</v>
      </c>
    </row>
    <row r="1040" spans="1:2" x14ac:dyDescent="0.25">
      <c r="A1040" s="16">
        <v>3330</v>
      </c>
      <c r="B1040">
        <f>VLOOKUP(A1040,'Inventario ENE 30-1-26'!$A$1:$J$10000,10,FALSE)</f>
        <v>8000</v>
      </c>
    </row>
    <row r="1041" spans="1:2" x14ac:dyDescent="0.25">
      <c r="A1041" s="16">
        <v>3343</v>
      </c>
      <c r="B1041">
        <f>VLOOKUP(A1041,'Inventario ENE 30-1-26'!$A$1:$J$10000,10,FALSE)</f>
        <v>1200</v>
      </c>
    </row>
    <row r="1042" spans="1:2" x14ac:dyDescent="0.25">
      <c r="A1042" s="16">
        <v>3344</v>
      </c>
      <c r="B1042">
        <f>VLOOKUP(A1042,'Inventario ENE 30-1-26'!$A$1:$J$10000,10,FALSE)</f>
        <v>1500</v>
      </c>
    </row>
    <row r="1043" spans="1:2" x14ac:dyDescent="0.25">
      <c r="A1043" s="16">
        <v>3345</v>
      </c>
      <c r="B1043">
        <f>VLOOKUP(A1043,'Inventario ENE 30-1-26'!$A$1:$J$10000,10,FALSE)</f>
        <v>24</v>
      </c>
    </row>
    <row r="1044" spans="1:2" x14ac:dyDescent="0.25">
      <c r="A1044" s="16">
        <v>3350</v>
      </c>
      <c r="B1044">
        <f>VLOOKUP(A1044,'Inventario ENE 30-1-26'!$A$1:$J$10000,10,FALSE)</f>
        <v>996.5</v>
      </c>
    </row>
    <row r="1045" spans="1:2" x14ac:dyDescent="0.25">
      <c r="A1045" s="16">
        <v>3352</v>
      </c>
      <c r="B1045">
        <f>VLOOKUP(A1045,'Inventario ENE 30-1-26'!$A$1:$J$10000,10,FALSE)</f>
        <v>24</v>
      </c>
    </row>
    <row r="1046" spans="1:2" x14ac:dyDescent="0.25">
      <c r="A1046" s="16">
        <v>3354</v>
      </c>
      <c r="B1046">
        <f>VLOOKUP(A1046,'Inventario ENE 30-1-26'!$A$1:$J$10000,10,FALSE)</f>
        <v>1200</v>
      </c>
    </row>
    <row r="1047" spans="1:2" x14ac:dyDescent="0.25">
      <c r="A1047" s="16">
        <v>3355</v>
      </c>
      <c r="B1047">
        <f>VLOOKUP(A1047,'Inventario ENE 30-1-26'!$A$1:$J$10000,10,FALSE)</f>
        <v>3950.5</v>
      </c>
    </row>
    <row r="1048" spans="1:2" x14ac:dyDescent="0.25">
      <c r="A1048" s="16">
        <v>3357</v>
      </c>
      <c r="B1048">
        <f>VLOOKUP(A1048,'Inventario ENE 30-1-26'!$A$1:$J$10000,10,FALSE)</f>
        <v>24</v>
      </c>
    </row>
    <row r="1049" spans="1:2" x14ac:dyDescent="0.25">
      <c r="A1049" s="16">
        <v>3359</v>
      </c>
      <c r="B1049">
        <f>VLOOKUP(A1049,'Inventario ENE 30-1-26'!$A$1:$J$10000,10,FALSE)</f>
        <v>24</v>
      </c>
    </row>
    <row r="1050" spans="1:2" x14ac:dyDescent="0.25">
      <c r="A1050" s="16">
        <v>3362</v>
      </c>
      <c r="B1050">
        <f>VLOOKUP(A1050,'Inventario ENE 30-1-26'!$A$1:$J$10000,10,FALSE)</f>
        <v>24</v>
      </c>
    </row>
    <row r="1051" spans="1:2" x14ac:dyDescent="0.25">
      <c r="A1051" s="16">
        <v>3364</v>
      </c>
      <c r="B1051">
        <f>VLOOKUP(A1051,'Inventario ENE 30-1-26'!$A$1:$J$10000,10,FALSE)</f>
        <v>1000</v>
      </c>
    </row>
    <row r="1052" spans="1:2" x14ac:dyDescent="0.25">
      <c r="A1052" s="16">
        <v>3365</v>
      </c>
      <c r="B1052">
        <f>VLOOKUP(A1052,'Inventario ENE 30-1-26'!$A$1:$J$10000,10,FALSE)</f>
        <v>1198.5</v>
      </c>
    </row>
    <row r="1053" spans="1:2" x14ac:dyDescent="0.25">
      <c r="A1053" s="16">
        <v>3368</v>
      </c>
      <c r="B1053">
        <f>VLOOKUP(A1053,'Inventario ENE 30-1-26'!$A$1:$J$10000,10,FALSE)</f>
        <v>24</v>
      </c>
    </row>
    <row r="1054" spans="1:2" x14ac:dyDescent="0.25">
      <c r="A1054" s="16">
        <v>3369</v>
      </c>
      <c r="B1054">
        <f>VLOOKUP(A1054,'Inventario ENE 30-1-26'!$A$1:$J$10000,10,FALSE)</f>
        <v>1300</v>
      </c>
    </row>
    <row r="1055" spans="1:2" x14ac:dyDescent="0.25">
      <c r="A1055" s="16">
        <v>3370</v>
      </c>
      <c r="B1055">
        <f>VLOOKUP(A1055,'Inventario ENE 30-1-26'!$A$1:$J$10000,10,FALSE)</f>
        <v>24</v>
      </c>
    </row>
    <row r="1056" spans="1:2" x14ac:dyDescent="0.25">
      <c r="A1056" s="16">
        <v>3378</v>
      </c>
      <c r="B1056">
        <f>VLOOKUP(A1056,'Inventario ENE 30-1-26'!$A$1:$J$10000,10,FALSE)</f>
        <v>24</v>
      </c>
    </row>
    <row r="1057" spans="1:2" x14ac:dyDescent="0.25">
      <c r="A1057" s="16">
        <v>3382</v>
      </c>
      <c r="B1057">
        <f>VLOOKUP(A1057,'Inventario ENE 30-1-26'!$A$1:$J$10000,10,FALSE)</f>
        <v>24</v>
      </c>
    </row>
    <row r="1058" spans="1:2" x14ac:dyDescent="0.25">
      <c r="A1058" s="16">
        <v>3383</v>
      </c>
      <c r="B1058">
        <f>VLOOKUP(A1058,'Inventario ENE 30-1-26'!$A$1:$J$10000,10,FALSE)</f>
        <v>1000</v>
      </c>
    </row>
    <row r="1059" spans="1:2" x14ac:dyDescent="0.25">
      <c r="A1059" s="16">
        <v>3384</v>
      </c>
      <c r="B1059">
        <f>VLOOKUP(A1059,'Inventario ENE 30-1-26'!$A$1:$J$10000,10,FALSE)</f>
        <v>1000</v>
      </c>
    </row>
    <row r="1060" spans="1:2" x14ac:dyDescent="0.25">
      <c r="A1060" s="16">
        <v>3385</v>
      </c>
      <c r="B1060">
        <f>VLOOKUP(A1060,'Inventario ENE 30-1-26'!$A$1:$J$10000,10,FALSE)</f>
        <v>1000</v>
      </c>
    </row>
    <row r="1061" spans="1:2" x14ac:dyDescent="0.25">
      <c r="A1061" s="16">
        <v>3386</v>
      </c>
      <c r="B1061">
        <f>VLOOKUP(A1061,'Inventario ENE 30-1-26'!$A$1:$J$10000,10,FALSE)</f>
        <v>1000</v>
      </c>
    </row>
    <row r="1062" spans="1:2" x14ac:dyDescent="0.25">
      <c r="A1062" s="16">
        <v>3388</v>
      </c>
      <c r="B1062">
        <f>VLOOKUP(A1062,'Inventario ENE 30-1-26'!$A$1:$J$10000,10,FALSE)</f>
        <v>24</v>
      </c>
    </row>
    <row r="1063" spans="1:2" x14ac:dyDescent="0.25">
      <c r="A1063" s="16">
        <v>3390</v>
      </c>
      <c r="B1063">
        <f>VLOOKUP(A1063,'Inventario ENE 30-1-26'!$A$1:$J$10000,10,FALSE)</f>
        <v>24</v>
      </c>
    </row>
    <row r="1064" spans="1:2" x14ac:dyDescent="0.25">
      <c r="A1064" s="16">
        <v>3394</v>
      </c>
      <c r="B1064">
        <f>VLOOKUP(A1064,'Inventario ENE 30-1-26'!$A$1:$J$10000,10,FALSE)</f>
        <v>883.5</v>
      </c>
    </row>
    <row r="1065" spans="1:2" x14ac:dyDescent="0.25">
      <c r="A1065" s="16">
        <v>3396</v>
      </c>
      <c r="B1065">
        <f>VLOOKUP(A1065,'Inventario ENE 30-1-26'!$A$1:$J$10000,10,FALSE)</f>
        <v>1000</v>
      </c>
    </row>
    <row r="1066" spans="1:2" x14ac:dyDescent="0.25">
      <c r="A1066" s="16">
        <v>3398</v>
      </c>
      <c r="B1066">
        <f>VLOOKUP(A1066,'Inventario ENE 30-1-26'!$A$1:$J$10000,10,FALSE)</f>
        <v>0</v>
      </c>
    </row>
    <row r="1067" spans="1:2" x14ac:dyDescent="0.25">
      <c r="A1067" s="16">
        <v>3401</v>
      </c>
      <c r="B1067">
        <f>VLOOKUP(A1067,'Inventario ENE 30-1-26'!$A$1:$J$10000,10,FALSE)</f>
        <v>24</v>
      </c>
    </row>
    <row r="1068" spans="1:2" x14ac:dyDescent="0.25">
      <c r="A1068" s="16">
        <v>3402</v>
      </c>
      <c r="B1068">
        <f>VLOOKUP(A1068,'Inventario ENE 30-1-26'!$A$1:$J$10000,10,FALSE)</f>
        <v>309.5</v>
      </c>
    </row>
    <row r="1069" spans="1:2" x14ac:dyDescent="0.25">
      <c r="A1069" s="16">
        <v>3405</v>
      </c>
      <c r="B1069">
        <f>VLOOKUP(A1069,'Inventario ENE 30-1-26'!$A$1:$J$10000,10,FALSE)</f>
        <v>309.5</v>
      </c>
    </row>
    <row r="1070" spans="1:2" x14ac:dyDescent="0.25">
      <c r="A1070" s="16">
        <v>3406</v>
      </c>
      <c r="B1070">
        <f>VLOOKUP(A1070,'Inventario ENE 30-1-26'!$A$1:$J$10000,10,FALSE)</f>
        <v>1125</v>
      </c>
    </row>
    <row r="1071" spans="1:2" x14ac:dyDescent="0.25">
      <c r="A1071" s="16">
        <v>3409</v>
      </c>
      <c r="B1071">
        <f>VLOOKUP(A1071,'Inventario ENE 30-1-26'!$A$1:$J$10000,10,FALSE)</f>
        <v>24</v>
      </c>
    </row>
    <row r="1072" spans="1:2" x14ac:dyDescent="0.25">
      <c r="A1072" s="16">
        <v>3410</v>
      </c>
      <c r="B1072">
        <f>VLOOKUP(A1072,'Inventario ENE 30-1-26'!$A$1:$J$10000,10,FALSE)</f>
        <v>24</v>
      </c>
    </row>
    <row r="1073" spans="1:2" x14ac:dyDescent="0.25">
      <c r="A1073" s="16">
        <v>3412</v>
      </c>
      <c r="B1073">
        <f>VLOOKUP(A1073,'Inventario ENE 30-1-26'!$A$1:$J$10000,10,FALSE)</f>
        <v>24</v>
      </c>
    </row>
    <row r="1074" spans="1:2" x14ac:dyDescent="0.25">
      <c r="A1074" s="16">
        <v>3413</v>
      </c>
      <c r="B1074">
        <f>VLOOKUP(A1074,'Inventario ENE 30-1-26'!$A$1:$J$10000,10,FALSE)</f>
        <v>24</v>
      </c>
    </row>
    <row r="1075" spans="1:2" x14ac:dyDescent="0.25">
      <c r="A1075" s="16">
        <v>3416</v>
      </c>
      <c r="B1075">
        <f>VLOOKUP(A1075,'Inventario ENE 30-1-26'!$A$1:$J$10000,10,FALSE)</f>
        <v>745.7</v>
      </c>
    </row>
    <row r="1076" spans="1:2" x14ac:dyDescent="0.25">
      <c r="A1076" s="16">
        <v>3418</v>
      </c>
      <c r="B1076">
        <f>VLOOKUP(A1076,'Inventario ENE 30-1-26'!$A$1:$J$10000,10,FALSE)</f>
        <v>0</v>
      </c>
    </row>
    <row r="1077" spans="1:2" x14ac:dyDescent="0.25">
      <c r="A1077" s="16">
        <v>3421</v>
      </c>
      <c r="B1077">
        <f>VLOOKUP(A1077,'Inventario ENE 30-1-26'!$A$1:$J$10000,10,FALSE)</f>
        <v>24</v>
      </c>
    </row>
    <row r="1078" spans="1:2" x14ac:dyDescent="0.25">
      <c r="A1078" s="16">
        <v>3422</v>
      </c>
      <c r="B1078">
        <f>VLOOKUP(A1078,'Inventario ENE 30-1-26'!$A$1:$J$10000,10,FALSE)</f>
        <v>24</v>
      </c>
    </row>
    <row r="1079" spans="1:2" x14ac:dyDescent="0.25">
      <c r="A1079" s="16">
        <v>3423</v>
      </c>
      <c r="B1079">
        <f>VLOOKUP(A1079,'Inventario ENE 30-1-26'!$A$1:$J$10000,10,FALSE)</f>
        <v>24</v>
      </c>
    </row>
    <row r="1080" spans="1:2" x14ac:dyDescent="0.25">
      <c r="A1080" s="16">
        <v>3424</v>
      </c>
      <c r="B1080">
        <f>VLOOKUP(A1080,'Inventario ENE 30-1-26'!$A$1:$J$10000,10,FALSE)</f>
        <v>1000</v>
      </c>
    </row>
    <row r="1081" spans="1:2" x14ac:dyDescent="0.25">
      <c r="A1081" s="62">
        <v>3425</v>
      </c>
      <c r="B1081">
        <f>VLOOKUP(A1081,'Inventario ENE 30-1-26'!$A$1:$J$10000,10,FALSE)</f>
        <v>3600</v>
      </c>
    </row>
    <row r="1082" spans="1:2" x14ac:dyDescent="0.25">
      <c r="A1082" s="16">
        <v>3430</v>
      </c>
      <c r="B1082">
        <f>VLOOKUP(A1082,'Inventario ENE 30-1-26'!$A$1:$J$10000,10,FALSE)</f>
        <v>24</v>
      </c>
    </row>
    <row r="1083" spans="1:2" x14ac:dyDescent="0.25">
      <c r="A1083" s="16">
        <v>3438</v>
      </c>
      <c r="B1083">
        <f>VLOOKUP(A1083,'Inventario ENE 30-1-26'!$A$1:$J$10000,10,FALSE)</f>
        <v>3400</v>
      </c>
    </row>
    <row r="1084" spans="1:2" x14ac:dyDescent="0.25">
      <c r="A1084" s="16">
        <v>3441</v>
      </c>
      <c r="B1084">
        <f>VLOOKUP(A1084,'Inventario ENE 30-1-26'!$A$1:$J$10000,10,FALSE)</f>
        <v>24</v>
      </c>
    </row>
    <row r="1085" spans="1:2" x14ac:dyDescent="0.25">
      <c r="A1085" s="16">
        <v>3449</v>
      </c>
      <c r="B1085">
        <f>VLOOKUP(A1085,'Inventario ENE 30-1-26'!$A$1:$J$10000,10,FALSE)</f>
        <v>24</v>
      </c>
    </row>
    <row r="1086" spans="1:2" x14ac:dyDescent="0.25">
      <c r="A1086" s="16">
        <v>3450</v>
      </c>
      <c r="B1086">
        <f>VLOOKUP(A1086,'Inventario ENE 30-1-26'!$A$1:$J$10000,10,FALSE)</f>
        <v>24</v>
      </c>
    </row>
    <row r="1087" spans="1:2" x14ac:dyDescent="0.25">
      <c r="A1087" s="16">
        <v>3451</v>
      </c>
      <c r="B1087">
        <f>VLOOKUP(A1087,'Inventario ENE 30-1-26'!$A$1:$J$10000,10,FALSE)</f>
        <v>24</v>
      </c>
    </row>
    <row r="1088" spans="1:2" x14ac:dyDescent="0.25">
      <c r="A1088" s="16">
        <v>3452</v>
      </c>
      <c r="B1088">
        <f>VLOOKUP(A1088,'Inventario ENE 30-1-26'!$A$1:$J$10000,10,FALSE)</f>
        <v>24</v>
      </c>
    </row>
    <row r="1089" spans="1:2" x14ac:dyDescent="0.25">
      <c r="A1089" s="16">
        <v>3455</v>
      </c>
      <c r="B1089">
        <f>VLOOKUP(A1089,'Inventario ENE 30-1-26'!$A$1:$J$10000,10,FALSE)</f>
        <v>24</v>
      </c>
    </row>
    <row r="1090" spans="1:2" x14ac:dyDescent="0.25">
      <c r="A1090" s="16">
        <v>3457</v>
      </c>
      <c r="B1090">
        <f>VLOOKUP(A1090,'Inventario ENE 30-1-26'!$A$1:$J$10000,10,FALSE)</f>
        <v>24</v>
      </c>
    </row>
    <row r="1091" spans="1:2" x14ac:dyDescent="0.25">
      <c r="A1091" s="16">
        <v>3459</v>
      </c>
      <c r="B1091">
        <f>VLOOKUP(A1091,'Inventario ENE 30-1-26'!$A$1:$J$10000,10,FALSE)</f>
        <v>24</v>
      </c>
    </row>
    <row r="1092" spans="1:2" x14ac:dyDescent="0.25">
      <c r="A1092" s="16">
        <v>3461</v>
      </c>
      <c r="B1092">
        <f>VLOOKUP(A1092,'Inventario ENE 30-1-26'!$A$1:$J$10000,10,FALSE)</f>
        <v>24</v>
      </c>
    </row>
    <row r="1093" spans="1:2" x14ac:dyDescent="0.25">
      <c r="A1093" s="16">
        <v>3467</v>
      </c>
      <c r="B1093">
        <f>VLOOKUP(A1093,'Inventario ENE 30-1-26'!$A$1:$J$10000,10,FALSE)</f>
        <v>24</v>
      </c>
    </row>
    <row r="1094" spans="1:2" x14ac:dyDescent="0.25">
      <c r="A1094" s="16">
        <v>3469</v>
      </c>
      <c r="B1094">
        <f>VLOOKUP(A1094,'Inventario ENE 30-1-26'!$A$1:$J$10000,10,FALSE)</f>
        <v>24</v>
      </c>
    </row>
    <row r="1095" spans="1:2" x14ac:dyDescent="0.25">
      <c r="A1095" s="16">
        <v>3476</v>
      </c>
      <c r="B1095">
        <f>VLOOKUP(A1095,'Inventario ENE 30-1-26'!$A$1:$J$10000,10,FALSE)</f>
        <v>24</v>
      </c>
    </row>
    <row r="1096" spans="1:2" x14ac:dyDescent="0.25">
      <c r="A1096" s="16">
        <v>3477</v>
      </c>
      <c r="B1096">
        <f>VLOOKUP(A1096,'Inventario ENE 30-1-26'!$A$1:$J$10000,10,FALSE)</f>
        <v>20</v>
      </c>
    </row>
    <row r="1097" spans="1:2" x14ac:dyDescent="0.25">
      <c r="A1097" s="16">
        <v>3478</v>
      </c>
      <c r="B1097">
        <f>VLOOKUP(A1097,'Inventario ENE 30-1-26'!$A$1:$J$10000,10,FALSE)</f>
        <v>20</v>
      </c>
    </row>
    <row r="1098" spans="1:2" x14ac:dyDescent="0.25">
      <c r="A1098" s="16">
        <v>3479</v>
      </c>
      <c r="B1098">
        <f>VLOOKUP(A1098,'Inventario ENE 30-1-26'!$A$1:$J$10000,10,FALSE)</f>
        <v>3600</v>
      </c>
    </row>
    <row r="1099" spans="1:2" x14ac:dyDescent="0.25">
      <c r="A1099" s="16">
        <v>3495</v>
      </c>
      <c r="B1099">
        <f>VLOOKUP(A1099,'Inventario ENE 30-1-26'!$A$1:$J$10000,10,FALSE)</f>
        <v>24</v>
      </c>
    </row>
    <row r="1100" spans="1:2" x14ac:dyDescent="0.25">
      <c r="A1100" s="16">
        <v>3500</v>
      </c>
      <c r="B1100">
        <f>VLOOKUP(A1100,'Inventario ENE 30-1-26'!$A$1:$J$10000,10,FALSE)</f>
        <v>0</v>
      </c>
    </row>
    <row r="1101" spans="1:2" x14ac:dyDescent="0.25">
      <c r="A1101" s="16">
        <v>3501</v>
      </c>
      <c r="B1101">
        <v>0</v>
      </c>
    </row>
    <row r="1102" spans="1:2" x14ac:dyDescent="0.25">
      <c r="A1102" s="16">
        <v>3504</v>
      </c>
      <c r="B1102">
        <f>VLOOKUP(A1102,'Inventario ENE 30-1-26'!$A$1:$J$10000,10,FALSE)</f>
        <v>48</v>
      </c>
    </row>
    <row r="1103" spans="1:2" x14ac:dyDescent="0.25">
      <c r="A1103" s="16">
        <v>3505</v>
      </c>
      <c r="B1103">
        <f>VLOOKUP(A1103,'Inventario ENE 30-1-26'!$A$1:$J$10000,10,FALSE)</f>
        <v>2200</v>
      </c>
    </row>
    <row r="1104" spans="1:2" x14ac:dyDescent="0.25">
      <c r="A1104" s="16">
        <v>3506</v>
      </c>
      <c r="B1104">
        <f>VLOOKUP(A1104,'Inventario ENE 30-1-26'!$A$1:$J$10000,10,FALSE)</f>
        <v>2200</v>
      </c>
    </row>
    <row r="1105" spans="1:2" x14ac:dyDescent="0.25">
      <c r="A1105" s="16">
        <v>3507</v>
      </c>
      <c r="B1105">
        <f>VLOOKUP(A1105,'Inventario ENE 30-1-26'!$A$1:$J$10000,10,FALSE)</f>
        <v>24</v>
      </c>
    </row>
    <row r="1106" spans="1:2" x14ac:dyDescent="0.25">
      <c r="A1106" s="16">
        <v>3509</v>
      </c>
      <c r="B1106">
        <f>VLOOKUP(A1106,'Inventario ENE 30-1-26'!$A$1:$J$10000,10,FALSE)</f>
        <v>24</v>
      </c>
    </row>
    <row r="1107" spans="1:2" x14ac:dyDescent="0.25">
      <c r="A1107" s="16">
        <v>3515</v>
      </c>
      <c r="B1107">
        <f>VLOOKUP(A1107,'Inventario ENE 30-1-26'!$A$1:$J$10000,10,FALSE)</f>
        <v>0</v>
      </c>
    </row>
    <row r="1108" spans="1:2" x14ac:dyDescent="0.25">
      <c r="A1108" s="16">
        <v>3516</v>
      </c>
      <c r="B1108">
        <f>VLOOKUP(A1108,'Inventario ENE 30-1-26'!$A$1:$J$10000,10,FALSE)</f>
        <v>1000</v>
      </c>
    </row>
    <row r="1109" spans="1:2" x14ac:dyDescent="0.25">
      <c r="A1109" s="16">
        <v>3517</v>
      </c>
      <c r="B1109">
        <f>VLOOKUP(A1109,'Inventario ENE 30-1-26'!$A$1:$J$10000,10,FALSE)</f>
        <v>1000</v>
      </c>
    </row>
    <row r="1110" spans="1:2" x14ac:dyDescent="0.25">
      <c r="A1110" s="16">
        <v>3519</v>
      </c>
      <c r="B1110">
        <f>VLOOKUP(A1110,'Inventario ENE 30-1-26'!$A$1:$J$10000,10,FALSE)</f>
        <v>24</v>
      </c>
    </row>
    <row r="1111" spans="1:2" x14ac:dyDescent="0.25">
      <c r="A1111" s="16">
        <v>3522</v>
      </c>
      <c r="B1111">
        <f>VLOOKUP(A1111,'Inventario ENE 30-1-26'!$A$1:$J$10000,10,FALSE)</f>
        <v>24</v>
      </c>
    </row>
    <row r="1112" spans="1:2" x14ac:dyDescent="0.25">
      <c r="A1112" s="16">
        <v>3523</v>
      </c>
      <c r="B1112">
        <v>2200</v>
      </c>
    </row>
    <row r="1113" spans="1:2" x14ac:dyDescent="0.25">
      <c r="A1113" s="16">
        <v>3529</v>
      </c>
    </row>
    <row r="1114" spans="1:2" x14ac:dyDescent="0.25">
      <c r="A1114" s="16">
        <v>10000</v>
      </c>
      <c r="B1114">
        <f>VLOOKUP(A1114,'Inventario ENE 30-1-26'!$A$1:$J$10000,10,FALSE)</f>
        <v>0</v>
      </c>
    </row>
    <row r="1115" spans="1:2" x14ac:dyDescent="0.25">
      <c r="A1115" s="16">
        <v>20001</v>
      </c>
    </row>
    <row r="1116" spans="1:2" x14ac:dyDescent="0.25">
      <c r="A1116" s="16">
        <v>20002</v>
      </c>
      <c r="B1116">
        <v>20</v>
      </c>
    </row>
    <row r="1117" spans="1:2" x14ac:dyDescent="0.25">
      <c r="A1117" s="16">
        <v>20004</v>
      </c>
    </row>
    <row r="1118" spans="1:2" x14ac:dyDescent="0.25">
      <c r="A1118" s="16">
        <v>20005</v>
      </c>
      <c r="B1118">
        <v>20</v>
      </c>
    </row>
    <row r="1119" spans="1:2" x14ac:dyDescent="0.25">
      <c r="A1119" s="16">
        <v>20007</v>
      </c>
    </row>
    <row r="1120" spans="1:2" x14ac:dyDescent="0.25">
      <c r="A1120" s="16">
        <v>20008</v>
      </c>
      <c r="B1120">
        <v>20</v>
      </c>
    </row>
    <row r="1121" spans="1:2" x14ac:dyDescent="0.25">
      <c r="A1121" s="16">
        <v>20010</v>
      </c>
    </row>
    <row r="1122" spans="1:2" x14ac:dyDescent="0.25">
      <c r="A1122" s="16">
        <v>20011</v>
      </c>
      <c r="B1122">
        <v>20</v>
      </c>
    </row>
    <row r="1123" spans="1:2" x14ac:dyDescent="0.25">
      <c r="A1123" s="16">
        <v>20013</v>
      </c>
    </row>
    <row r="1124" spans="1:2" x14ac:dyDescent="0.25">
      <c r="A1124" s="16">
        <v>20014</v>
      </c>
      <c r="B1124">
        <v>43</v>
      </c>
    </row>
    <row r="1125" spans="1:2" x14ac:dyDescent="0.25">
      <c r="A1125" s="16">
        <v>20016</v>
      </c>
    </row>
    <row r="1126" spans="1:2" x14ac:dyDescent="0.25">
      <c r="A1126" s="16">
        <v>20017</v>
      </c>
      <c r="B1126">
        <v>43</v>
      </c>
    </row>
    <row r="1127" spans="1:2" x14ac:dyDescent="0.25">
      <c r="A1127" s="16">
        <v>20019</v>
      </c>
    </row>
    <row r="1128" spans="1:2" x14ac:dyDescent="0.25">
      <c r="A1128" s="16">
        <v>20020</v>
      </c>
      <c r="B1128">
        <v>43</v>
      </c>
    </row>
    <row r="1129" spans="1:2" x14ac:dyDescent="0.25">
      <c r="A1129" s="16">
        <v>3244001000</v>
      </c>
      <c r="B1129">
        <f>VLOOKUP(A1129,'Inventario ENE 30-1-26'!$A$1:$J$10000,10,FALSE)</f>
        <v>1212</v>
      </c>
    </row>
  </sheetData>
  <autoFilter ref="A1:B1129" xr:uid="{4124B7B7-4304-4E0D-9253-71FFDE2A44B4}">
    <sortState xmlns:xlrd2="http://schemas.microsoft.com/office/spreadsheetml/2017/richdata2" ref="A2:B1129">
      <sortCondition ref="A2:A1129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384499-6772-4313-ae8f-2d1143638ba0">
      <Terms xmlns="http://schemas.microsoft.com/office/infopath/2007/PartnerControls"/>
    </lcf76f155ced4ddcb4097134ff3c332f>
    <TaxCatchAll xmlns="c5be7662-c91c-4034-9f32-6ea20118eb9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7D65041E8ED4584DA28C16A4927B6" ma:contentTypeVersion="17" ma:contentTypeDescription="Crear nuevo documento." ma:contentTypeScope="" ma:versionID="e4ccadbacc0716b3b5321683b5360436">
  <xsd:schema xmlns:xsd="http://www.w3.org/2001/XMLSchema" xmlns:xs="http://www.w3.org/2001/XMLSchema" xmlns:p="http://schemas.microsoft.com/office/2006/metadata/properties" xmlns:ns2="2c384499-6772-4313-ae8f-2d1143638ba0" xmlns:ns3="c5be7662-c91c-4034-9f32-6ea20118eb9e" targetNamespace="http://schemas.microsoft.com/office/2006/metadata/properties" ma:root="true" ma:fieldsID="125bb9dac04b723b6d4bd9d405926887" ns2:_="" ns3:_="">
    <xsd:import namespace="2c384499-6772-4313-ae8f-2d1143638ba0"/>
    <xsd:import namespace="c5be7662-c91c-4034-9f32-6ea20118eb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384499-6772-4313-ae8f-2d1143638b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71830f8f-f4c4-4b24-9ffb-9f11dfbed7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e7662-c91c-4034-9f32-6ea20118eb9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4dd1939-84be-48ab-8b34-8ac969b855cd}" ma:internalName="TaxCatchAll" ma:showField="CatchAllData" ma:web="c5be7662-c91c-4034-9f32-6ea20118eb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678AD8-784E-46F3-8189-78ED809039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56C0BD-24D8-4C86-9FB1-3653DB3EE7D6}">
  <ds:schemaRefs>
    <ds:schemaRef ds:uri="http://schemas.microsoft.com/office/2006/metadata/properties"/>
    <ds:schemaRef ds:uri="http://schemas.microsoft.com/office/infopath/2007/PartnerControls"/>
    <ds:schemaRef ds:uri="2c384499-6772-4313-ae8f-2d1143638ba0"/>
    <ds:schemaRef ds:uri="c5be7662-c91c-4034-9f32-6ea20118eb9e"/>
  </ds:schemaRefs>
</ds:datastoreItem>
</file>

<file path=customXml/itemProps3.xml><?xml version="1.0" encoding="utf-8"?>
<ds:datastoreItem xmlns:ds="http://schemas.openxmlformats.org/officeDocument/2006/customXml" ds:itemID="{AC7E1C22-4BCD-4768-BF4C-C5E2A8AC66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384499-6772-4313-ae8f-2d1143638ba0"/>
    <ds:schemaRef ds:uri="c5be7662-c91c-4034-9f32-6ea20118eb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Faltantes febrero</vt:lpstr>
      <vt:lpstr>Inventario ENE 30-1-26</vt:lpstr>
      <vt:lpstr>Inventario FEB 4-3-26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Schwint</dc:creator>
  <cp:lastModifiedBy>Carlos Ayala</cp:lastModifiedBy>
  <cp:lastPrinted>2026-01-15T18:23:59Z</cp:lastPrinted>
  <dcterms:created xsi:type="dcterms:W3CDTF">2015-06-05T18:19:34Z</dcterms:created>
  <dcterms:modified xsi:type="dcterms:W3CDTF">2026-07-13T13:47:03Z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0x010100E037D65041E8ED4584DA28C16A4927B6</vt:lpwstr>
  </property>
  <property fmtid="{D5CDD505-2E9C-101B-9397-08002B2CF9AE}" pid="3" name="MediaServiceImageTags">
    <vt:lpwstr/>
  </property>
</Properties>
</file>