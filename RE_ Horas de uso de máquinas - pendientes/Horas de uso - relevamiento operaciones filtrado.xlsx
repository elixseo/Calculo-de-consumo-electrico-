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Nuevo Calculo de Consumo electrico\RE_ Horas de uso de máquinas - pendientes\"/>
    </mc:Choice>
  </mc:AlternateContent>
  <xr:revisionPtr revIDLastSave="0" documentId="8_{F1F5DD2F-2639-40BA-AD12-ACE999E5F1EE}" xr6:coauthVersionLast="47" xr6:coauthVersionMax="47" xr10:uidLastSave="{00000000-0000-0000-0000-000000000000}"/>
  <bookViews>
    <workbookView xWindow="20370" yWindow="-120" windowWidth="20730" windowHeight="11040" firstSheet="1" activeTab="1" xr2:uid="{00000000-000D-0000-FFFF-FFFF00000000}"/>
  </bookViews>
  <sheets>
    <sheet name="Faltantes febrero" sheetId="5" state="hidden" r:id="rId1"/>
    <sheet name="Horas de uso" sheetId="1" r:id="rId2"/>
    <sheet name="% relevado" sheetId="2" r:id="rId3"/>
  </sheets>
  <definedNames>
    <definedName name="_xlnm._FilterDatabase" localSheetId="1" hidden="1">'Horas de uso'!$A$1:$M$1494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/>
  <c r="L143" i="1"/>
  <c r="L1292" i="1"/>
  <c r="L1277" i="1"/>
  <c r="L1268" i="1"/>
  <c r="L1252" i="1"/>
  <c r="L1244" i="1"/>
  <c r="L1220" i="1"/>
  <c r="L1193" i="1"/>
  <c r="L1194" i="1"/>
  <c r="L1192" i="1"/>
  <c r="L1181" i="1"/>
  <c r="L1179" i="1"/>
  <c r="L1177" i="1"/>
  <c r="L1176" i="1"/>
  <c r="L1155" i="1"/>
  <c r="L1146" i="1"/>
  <c r="L1145" i="1"/>
  <c r="L1142" i="1"/>
  <c r="L1140" i="1"/>
  <c r="L1139" i="1"/>
  <c r="L1138" i="1"/>
  <c r="L1137" i="1"/>
  <c r="L1128" i="1"/>
  <c r="L1127" i="1"/>
  <c r="L1124" i="1"/>
  <c r="L1118" i="1"/>
  <c r="L1103" i="1"/>
  <c r="L1093" i="1"/>
  <c r="L1091" i="1"/>
  <c r="L1090" i="1"/>
  <c r="L1086" i="1"/>
  <c r="L1065" i="1"/>
  <c r="L1055" i="1"/>
  <c r="L1053" i="1"/>
  <c r="L1052" i="1"/>
  <c r="L1051" i="1"/>
  <c r="L1050" i="1"/>
  <c r="L1049" i="1"/>
  <c r="L1048" i="1"/>
  <c r="L1044" i="1"/>
  <c r="L1039" i="1"/>
  <c r="L1033" i="1"/>
  <c r="L1031" i="1"/>
  <c r="L1030" i="1"/>
  <c r="L1028" i="1"/>
  <c r="L1014" i="1"/>
  <c r="L1008" i="1"/>
  <c r="L980" i="1"/>
  <c r="L974" i="1"/>
  <c r="L969" i="1"/>
  <c r="L968" i="1"/>
  <c r="L967" i="1"/>
  <c r="L963" i="1"/>
  <c r="L960" i="1"/>
  <c r="L947" i="1"/>
  <c r="L945" i="1"/>
  <c r="L943" i="1"/>
  <c r="L940" i="1"/>
  <c r="L925" i="1"/>
  <c r="L923" i="1"/>
  <c r="L915" i="1"/>
  <c r="L914" i="1"/>
  <c r="L908" i="1"/>
  <c r="L906" i="1"/>
  <c r="L905" i="1"/>
  <c r="L898" i="1"/>
  <c r="L895" i="1"/>
  <c r="L889" i="1"/>
  <c r="L887" i="1"/>
  <c r="L883" i="1"/>
  <c r="L840" i="1"/>
  <c r="L832" i="1"/>
  <c r="L831" i="1"/>
  <c r="L816" i="1"/>
  <c r="L806" i="1"/>
  <c r="L800" i="1"/>
  <c r="L785" i="1"/>
  <c r="L783" i="1"/>
  <c r="L767" i="1"/>
  <c r="L764" i="1"/>
  <c r="L763" i="1"/>
  <c r="L759" i="1"/>
  <c r="L756" i="1"/>
  <c r="L731" i="1"/>
  <c r="L725" i="1"/>
  <c r="L718" i="1"/>
  <c r="L712" i="1"/>
  <c r="L699" i="1"/>
  <c r="L698" i="1"/>
  <c r="L689" i="1"/>
  <c r="L666" i="1"/>
  <c r="L660" i="1"/>
  <c r="L652" i="1"/>
  <c r="L640" i="1"/>
  <c r="L632" i="1"/>
  <c r="L628" i="1"/>
  <c r="L623" i="1"/>
  <c r="L615" i="1"/>
  <c r="L594" i="1"/>
  <c r="L523" i="1"/>
  <c r="L520" i="1"/>
  <c r="L503" i="1"/>
  <c r="L475" i="1"/>
  <c r="L473" i="1"/>
  <c r="L444" i="1"/>
  <c r="L432" i="1"/>
  <c r="L421" i="1"/>
  <c r="L364" i="1"/>
  <c r="L357" i="1"/>
  <c r="L326" i="1"/>
  <c r="L312" i="1"/>
  <c r="L302" i="1"/>
  <c r="L267" i="1"/>
  <c r="L258" i="1"/>
  <c r="C3" i="2"/>
  <c r="M350" i="1"/>
  <c r="M248" i="1" l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362" i="1" l="1"/>
  <c r="M407" i="1"/>
  <c r="M408" i="1"/>
  <c r="M417" i="1"/>
  <c r="M422" i="1"/>
  <c r="M434" i="1"/>
  <c r="M438" i="1"/>
  <c r="M458" i="1"/>
  <c r="K500" i="1"/>
  <c r="M531" i="1"/>
  <c r="M549" i="1"/>
  <c r="M555" i="1"/>
  <c r="M567" i="1"/>
  <c r="M575" i="1"/>
  <c r="M592" i="1"/>
  <c r="M595" i="1"/>
  <c r="M598" i="1"/>
  <c r="M617" i="1"/>
  <c r="M649" i="1"/>
  <c r="M661" i="1"/>
  <c r="M668" i="1"/>
  <c r="M670" i="1"/>
  <c r="M691" i="1"/>
  <c r="M700" i="1"/>
  <c r="M711" i="1"/>
  <c r="M714" i="1"/>
  <c r="M723" i="1"/>
  <c r="K732" i="1"/>
  <c r="M740" i="1"/>
  <c r="M741" i="1"/>
  <c r="M751" i="1"/>
  <c r="M752" i="1"/>
  <c r="M766" i="1"/>
  <c r="M774" i="1"/>
  <c r="M779" i="1"/>
  <c r="M789" i="1"/>
  <c r="M812" i="1"/>
  <c r="M813" i="1"/>
  <c r="M817" i="1"/>
  <c r="M821" i="1"/>
  <c r="M828" i="1"/>
  <c r="K836" i="1"/>
  <c r="M852" i="1"/>
  <c r="M857" i="1"/>
  <c r="M866" i="1"/>
  <c r="M953" i="1"/>
  <c r="M957" i="1"/>
  <c r="M962" i="1"/>
  <c r="M972" i="1"/>
  <c r="M1013" i="1"/>
  <c r="M1016" i="1"/>
  <c r="M1041" i="1"/>
  <c r="M1101" i="1"/>
  <c r="M1104" i="1"/>
  <c r="M1117" i="1"/>
  <c r="K1161" i="1"/>
  <c r="M1162" i="1"/>
  <c r="K1163" i="1"/>
  <c r="M1172" i="1"/>
  <c r="M1203" i="1"/>
  <c r="M1263" i="1"/>
  <c r="M1280" i="1"/>
  <c r="M1279" i="1"/>
  <c r="M1163" i="1" l="1"/>
  <c r="M1161" i="1"/>
  <c r="M500" i="1"/>
  <c r="M836" i="1"/>
  <c r="M732" i="1"/>
  <c r="K294" i="1"/>
  <c r="M289" i="1"/>
  <c r="M264" i="1"/>
  <c r="M255" i="1"/>
  <c r="M294" i="1" l="1"/>
  <c r="M320" i="1"/>
  <c r="M299" i="1"/>
  <c r="M270" i="1"/>
  <c r="M263" i="1"/>
  <c r="M1219" i="1"/>
  <c r="M1214" i="1"/>
  <c r="M1213" i="1"/>
  <c r="M1212" i="1"/>
  <c r="M1211" i="1"/>
  <c r="M1210" i="1"/>
  <c r="M1178" i="1"/>
  <c r="M1276" i="1"/>
  <c r="M1250" i="1"/>
  <c r="M1240" i="1"/>
  <c r="M1190" i="1"/>
  <c r="M1168" i="1"/>
  <c r="M1164" i="1"/>
  <c r="M1160" i="1"/>
  <c r="M1150" i="1"/>
  <c r="M1111" i="1"/>
  <c r="M1077" i="1"/>
  <c r="M1075" i="1"/>
  <c r="M1067" i="1"/>
  <c r="M1012" i="1"/>
  <c r="M995" i="1"/>
  <c r="M977" i="1"/>
  <c r="M973" i="1"/>
  <c r="M964" i="1"/>
  <c r="M955" i="1"/>
  <c r="M951" i="1"/>
  <c r="M950" i="1"/>
  <c r="M917" i="1"/>
  <c r="M909" i="1"/>
  <c r="M901" i="1"/>
  <c r="M877" i="1"/>
  <c r="M802" i="1"/>
  <c r="M799" i="1"/>
  <c r="M609" i="1"/>
  <c r="M596" i="1"/>
  <c r="M582" i="1"/>
  <c r="M565" i="1"/>
  <c r="M502" i="1"/>
  <c r="M494" i="1"/>
  <c r="M478" i="1"/>
  <c r="M474" i="1"/>
  <c r="M428" i="1"/>
  <c r="M396" i="1"/>
  <c r="M376" i="1"/>
  <c r="M367" i="1"/>
  <c r="M361" i="1"/>
  <c r="M356" i="1"/>
  <c r="M352" i="1"/>
  <c r="M1152" i="1"/>
  <c r="M403" i="1"/>
  <c r="M1278" i="1"/>
  <c r="M1275" i="1"/>
  <c r="M1151" i="1"/>
  <c r="M928" i="1"/>
  <c r="M847" i="1"/>
  <c r="M842" i="1"/>
  <c r="M589" i="1"/>
  <c r="M525" i="1"/>
  <c r="M505" i="1"/>
  <c r="M453" i="1"/>
  <c r="M426" i="1"/>
  <c r="M1270" i="1"/>
  <c r="K1191" i="1"/>
  <c r="K401" i="1"/>
  <c r="M1000" i="1"/>
  <c r="M552" i="1"/>
  <c r="M261" i="1"/>
  <c r="M772" i="1"/>
  <c r="M1245" i="1"/>
  <c r="M1223" i="1"/>
  <c r="M1209" i="1"/>
  <c r="M1207" i="1"/>
  <c r="M1206" i="1"/>
  <c r="M1136" i="1"/>
  <c r="M1134" i="1"/>
  <c r="M1125" i="1"/>
  <c r="M1098" i="1"/>
  <c r="M1096" i="1"/>
  <c r="M1085" i="1"/>
  <c r="M1083" i="1"/>
  <c r="M999" i="1"/>
  <c r="M998" i="1"/>
  <c r="M984" i="1"/>
  <c r="M401" i="1" l="1"/>
  <c r="M1191" i="1"/>
  <c r="M894" i="1"/>
  <c r="M830" i="1"/>
  <c r="M825" i="1"/>
  <c r="M794" i="1"/>
  <c r="M781" i="1"/>
  <c r="M730" i="1"/>
  <c r="M721" i="1"/>
  <c r="M716" i="1"/>
  <c r="M704" i="1"/>
  <c r="M697" i="1"/>
  <c r="M641" i="1"/>
  <c r="M634" i="1"/>
  <c r="M604" i="1"/>
  <c r="M591" i="1"/>
  <c r="M533" i="1"/>
  <c r="M487" i="1"/>
  <c r="M456" i="1"/>
  <c r="M439" i="1"/>
  <c r="M418" i="1"/>
  <c r="M389" i="1"/>
  <c r="M370" i="1"/>
  <c r="M368" i="1"/>
  <c r="M338" i="1"/>
  <c r="M333" i="1"/>
  <c r="M297" i="1"/>
  <c r="M295" i="1"/>
  <c r="M1042" i="1"/>
  <c r="M944" i="1"/>
  <c r="M896" i="1"/>
  <c r="M871" i="1"/>
  <c r="M843" i="1"/>
  <c r="M820" i="1"/>
  <c r="M784" i="1"/>
  <c r="M729" i="1"/>
  <c r="M608" i="1"/>
  <c r="M566" i="1"/>
  <c r="M397" i="1"/>
  <c r="M388" i="1"/>
  <c r="M342" i="1"/>
  <c r="M340" i="1"/>
  <c r="M967" i="1"/>
  <c r="M1014" i="1"/>
  <c r="M1028" i="1"/>
  <c r="M1118" i="1"/>
  <c r="M914" i="1"/>
  <c r="M689" i="1"/>
  <c r="M1090" i="1"/>
  <c r="M1029" i="1"/>
  <c r="M1222" i="1"/>
  <c r="M405" i="1"/>
  <c r="M1109" i="1"/>
  <c r="M415" i="1"/>
  <c r="M1261" i="1"/>
  <c r="M1119" i="1"/>
  <c r="M1121" i="1"/>
  <c r="M1122" i="1"/>
  <c r="M1079" i="1"/>
  <c r="M1032" i="1"/>
  <c r="M1004" i="1"/>
  <c r="M941" i="1"/>
  <c r="M948" i="1"/>
  <c r="M845" i="1"/>
  <c r="M777" i="1"/>
  <c r="M639" i="1"/>
  <c r="M588" i="1"/>
  <c r="M579" i="1"/>
  <c r="M440" i="1"/>
  <c r="M1271" i="1"/>
  <c r="M1247" i="1"/>
  <c r="M1071" i="1"/>
  <c r="M1066" i="1"/>
  <c r="M988" i="1"/>
  <c r="M992" i="1"/>
  <c r="M897" i="1"/>
  <c r="M869" i="1"/>
  <c r="M933" i="1"/>
  <c r="M1031" i="1"/>
  <c r="M1033" i="1"/>
  <c r="M1052" i="1"/>
  <c r="M1086" i="1"/>
  <c r="M1116" i="1"/>
  <c r="M1124" i="1"/>
  <c r="M1268" i="1"/>
  <c r="M354" i="1"/>
  <c r="M504" i="1"/>
  <c r="M553" i="1"/>
  <c r="M768" i="1"/>
  <c r="M838" i="1"/>
  <c r="M851" i="1"/>
  <c r="M841" i="1"/>
  <c r="M850" i="1"/>
  <c r="M421" i="1"/>
  <c r="M574" i="1"/>
  <c r="M660" i="1"/>
  <c r="M725" i="1"/>
  <c r="M756" i="1"/>
  <c r="M615" i="1"/>
  <c r="M365" i="1"/>
  <c r="M468" i="1"/>
  <c r="M488" i="1"/>
  <c r="M547" i="1"/>
  <c r="M584" i="1"/>
  <c r="M599" i="1"/>
  <c r="M761" i="1"/>
  <c r="M316" i="1"/>
  <c r="M266" i="1"/>
  <c r="M258" i="1"/>
  <c r="M1267" i="1"/>
  <c r="M675" i="1"/>
  <c r="M548" i="1"/>
  <c r="M1254" i="1"/>
  <c r="M657" i="1"/>
  <c r="M538" i="1"/>
  <c r="M496" i="1"/>
  <c r="M311" i="1"/>
  <c r="M861" i="1"/>
  <c r="M899" i="1"/>
  <c r="M758" i="1"/>
  <c r="M597" i="1"/>
  <c r="M534" i="1"/>
  <c r="M481" i="1"/>
  <c r="M484" i="1"/>
  <c r="M335" i="1"/>
  <c r="M319" i="1"/>
  <c r="M858" i="1"/>
  <c r="M413" i="1"/>
  <c r="K416" i="1" l="1"/>
  <c r="K427" i="1"/>
  <c r="K450" i="1"/>
  <c r="K612" i="1"/>
  <c r="K684" i="1"/>
  <c r="K687" i="1"/>
  <c r="K720" i="1"/>
  <c r="K736" i="1"/>
  <c r="K739" i="1"/>
  <c r="K780" i="1"/>
  <c r="K795" i="1"/>
  <c r="K815" i="1"/>
  <c r="K823" i="1"/>
  <c r="K834" i="1"/>
  <c r="K935" i="1"/>
  <c r="K1076" i="1"/>
  <c r="K1132" i="1"/>
  <c r="K1180" i="1"/>
  <c r="K276" i="1"/>
  <c r="K277" i="1"/>
  <c r="K304" i="1"/>
  <c r="K339" i="1"/>
  <c r="K373" i="1"/>
  <c r="K271" i="1"/>
  <c r="M612" i="1" l="1"/>
  <c r="M373" i="1"/>
  <c r="M834" i="1"/>
  <c r="M684" i="1"/>
  <c r="M795" i="1"/>
  <c r="M450" i="1"/>
  <c r="M935" i="1"/>
  <c r="M339" i="1"/>
  <c r="M823" i="1"/>
  <c r="M815" i="1"/>
  <c r="M276" i="1"/>
  <c r="M1180" i="1"/>
  <c r="M780" i="1"/>
  <c r="M427" i="1"/>
  <c r="M720" i="1"/>
  <c r="M304" i="1"/>
  <c r="M416" i="1"/>
  <c r="M687" i="1"/>
  <c r="M277" i="1"/>
  <c r="M1132" i="1"/>
  <c r="M739" i="1"/>
  <c r="M271" i="1"/>
  <c r="M1076" i="1"/>
  <c r="M736" i="1"/>
  <c r="M1141" i="1"/>
  <c r="M375" i="1"/>
  <c r="M1073" i="1"/>
  <c r="M1170" i="1"/>
  <c r="M363" i="1"/>
  <c r="M1165" i="1"/>
  <c r="M872" i="1"/>
  <c r="M1232" i="1"/>
  <c r="M1173" i="1"/>
  <c r="M1153" i="1"/>
  <c r="M1102" i="1"/>
  <c r="M1095" i="1"/>
  <c r="M527" i="1"/>
  <c r="M622" i="1"/>
  <c r="M398" i="1"/>
  <c r="M677" i="1"/>
  <c r="M1113" i="1"/>
  <c r="M762" i="1"/>
  <c r="M888" i="1"/>
  <c r="M833" i="1"/>
  <c r="M1166" i="1"/>
  <c r="M934" i="1"/>
  <c r="M982" i="1"/>
  <c r="M479" i="1"/>
  <c r="M508" i="1"/>
  <c r="M330" i="1"/>
  <c r="M254" i="1"/>
  <c r="M1156" i="1"/>
  <c r="M381" i="1"/>
  <c r="M1159" i="1"/>
  <c r="M498" i="1"/>
  <c r="M445" i="1"/>
  <c r="M753" i="1"/>
  <c r="M1106" i="1"/>
  <c r="M737" i="1"/>
  <c r="M798" i="1"/>
  <c r="M880" i="1"/>
  <c r="M561" i="1"/>
  <c r="M929" i="1"/>
  <c r="M540" i="1"/>
  <c r="M1002" i="1"/>
  <c r="M702" i="1"/>
  <c r="M457" i="1"/>
  <c r="M449" i="1"/>
  <c r="M321" i="1"/>
  <c r="M993" i="1"/>
  <c r="M787" i="1"/>
  <c r="M1157" i="1"/>
  <c r="M273" i="1"/>
  <c r="M334" i="1"/>
  <c r="M754" i="1"/>
  <c r="M257" i="1"/>
  <c r="M446" i="1"/>
  <c r="M746" i="1"/>
  <c r="M644" i="1"/>
  <c r="M345" i="1"/>
  <c r="M67" i="1"/>
  <c r="M1120" i="1"/>
  <c r="M829" i="1"/>
  <c r="M976" i="1"/>
  <c r="M792" i="1"/>
  <c r="M308" i="1"/>
  <c r="M1169" i="1"/>
  <c r="M916" i="1"/>
  <c r="M1241" i="1"/>
  <c r="M391" i="1"/>
  <c r="M1230" i="1"/>
  <c r="M558" i="1"/>
  <c r="M811" i="1"/>
  <c r="M862" i="1"/>
  <c r="M662" i="1"/>
  <c r="M745" i="1"/>
  <c r="M530" i="1"/>
  <c r="M56" i="1"/>
  <c r="M84" i="1"/>
  <c r="M965" i="1"/>
  <c r="M1045" i="1"/>
  <c r="M637" i="1"/>
  <c r="M39" i="1"/>
  <c r="M20" i="1"/>
  <c r="M72" i="1"/>
  <c r="M1082" i="1"/>
  <c r="M491" i="1"/>
  <c r="M1135" i="1"/>
  <c r="M1171" i="1"/>
  <c r="M563" i="1"/>
  <c r="M318" i="1"/>
  <c r="M519" i="1"/>
  <c r="M581" i="1"/>
  <c r="M826" i="1"/>
  <c r="M296" i="1"/>
  <c r="M1248" i="1"/>
  <c r="M927" i="1"/>
  <c r="M680" i="1"/>
  <c r="M979" i="1"/>
  <c r="M895" i="1"/>
  <c r="M1112" i="1"/>
  <c r="M285" i="1"/>
  <c r="M920" i="1"/>
  <c r="M1108" i="1"/>
  <c r="M712" i="1"/>
  <c r="M709" i="1"/>
  <c r="M695" i="1"/>
  <c r="M523" i="1"/>
  <c r="M326" i="1"/>
  <c r="M543" i="1"/>
  <c r="M305" i="1"/>
  <c r="M1023" i="1"/>
  <c r="M686" i="1"/>
  <c r="M652" i="1"/>
  <c r="M267" i="1"/>
  <c r="M818" i="1"/>
  <c r="M710" i="1"/>
  <c r="M455" i="1"/>
  <c r="M769" i="1"/>
  <c r="M348" i="1"/>
  <c r="M1027" i="1"/>
  <c r="K1017" i="1"/>
  <c r="K1003" i="1"/>
  <c r="K1040" i="1"/>
  <c r="K469" i="1"/>
  <c r="K1182" i="1"/>
  <c r="K765" i="1"/>
  <c r="K564" i="1"/>
  <c r="K1011" i="1"/>
  <c r="K393" i="1"/>
  <c r="K268" i="1"/>
  <c r="K890" i="1"/>
  <c r="K382" i="1"/>
  <c r="K516" i="1"/>
  <c r="K642" i="1"/>
  <c r="K717" i="1"/>
  <c r="K593" i="1"/>
  <c r="K328" i="1"/>
  <c r="M949" i="1"/>
  <c r="M1078" i="1"/>
  <c r="M1025" i="1"/>
  <c r="M1204" i="1"/>
  <c r="M441" i="1"/>
  <c r="M1188" i="1"/>
  <c r="M985" i="1"/>
  <c r="M402" i="1"/>
  <c r="M693" i="1"/>
  <c r="M259" i="1"/>
  <c r="M620" i="1"/>
  <c r="M879" i="1"/>
  <c r="M1187" i="1"/>
  <c r="M545" i="1"/>
  <c r="M307" i="1"/>
  <c r="M986" i="1"/>
  <c r="M1265" i="1"/>
  <c r="M1273" i="1"/>
  <c r="M837" i="1"/>
  <c r="M903" i="1"/>
  <c r="M303" i="1"/>
  <c r="M1087" i="1"/>
  <c r="M997" i="1"/>
  <c r="M1205" i="1"/>
  <c r="M692" i="1"/>
  <c r="M485" i="1"/>
  <c r="M846" i="1"/>
  <c r="M733" i="1"/>
  <c r="M864" i="1"/>
  <c r="M1201" i="1"/>
  <c r="M942" i="1"/>
  <c r="M713" i="1"/>
  <c r="M705" i="1"/>
  <c r="M648" i="1"/>
  <c r="M337" i="1"/>
  <c r="M991" i="1"/>
  <c r="M738" i="1"/>
  <c r="M493" i="1"/>
  <c r="M399" i="1"/>
  <c r="M1237" i="1"/>
  <c r="M1235" i="1"/>
  <c r="M1234" i="1"/>
  <c r="M394" i="1"/>
  <c r="M269" i="1"/>
  <c r="M344" i="1"/>
  <c r="M535" i="1"/>
  <c r="M379" i="1"/>
  <c r="M347" i="1"/>
  <c r="M412" i="1"/>
  <c r="M1123" i="1"/>
  <c r="M1105" i="1"/>
  <c r="M1100" i="1"/>
  <c r="M1099" i="1"/>
  <c r="M1001" i="1"/>
  <c r="M919" i="1"/>
  <c r="M827" i="1"/>
  <c r="M463" i="1"/>
  <c r="M443" i="1"/>
  <c r="M791" i="1"/>
  <c r="M435" i="1"/>
  <c r="M1143" i="1"/>
  <c r="M274" i="1"/>
  <c r="M891" i="1"/>
  <c r="M849" i="1"/>
  <c r="M788" i="1"/>
  <c r="M395" i="1"/>
  <c r="M978" i="1"/>
  <c r="M460" i="1"/>
  <c r="M390" i="1"/>
  <c r="M288" i="1"/>
  <c r="M322" i="1"/>
  <c r="M1264" i="1"/>
  <c r="M1036" i="1"/>
  <c r="M748" i="1"/>
  <c r="M650" i="1"/>
  <c r="M614" i="1"/>
  <c r="M517" i="1"/>
  <c r="M1174" i="1"/>
  <c r="M1026" i="1"/>
  <c r="M907" i="1"/>
  <c r="M664" i="1"/>
  <c r="M630" i="1"/>
  <c r="M306" i="1"/>
  <c r="M300" i="1"/>
  <c r="M281" i="1"/>
  <c r="M291" i="1"/>
  <c r="M987" i="1"/>
  <c r="M775" i="1"/>
  <c r="M865" i="1"/>
  <c r="M892" i="1"/>
  <c r="M325" i="1"/>
  <c r="M734" i="1"/>
  <c r="M1034" i="1"/>
  <c r="M331" i="1"/>
  <c r="M690" i="1"/>
  <c r="M663" i="1"/>
  <c r="M653" i="1"/>
  <c r="M771" i="1"/>
  <c r="M1092" i="1"/>
  <c r="M619" i="1"/>
  <c r="M1070" i="1"/>
  <c r="M292" i="1"/>
  <c r="M1021" i="1"/>
  <c r="M1020" i="1"/>
  <c r="M1131" i="1"/>
  <c r="M989" i="1"/>
  <c r="M577" i="1"/>
  <c r="M1195" i="1"/>
  <c r="M1158" i="1"/>
  <c r="M1154" i="1"/>
  <c r="M749" i="1"/>
  <c r="M719" i="1"/>
  <c r="M624" i="1"/>
  <c r="M606" i="1"/>
  <c r="M580" i="1"/>
  <c r="M576" i="1"/>
  <c r="M556" i="1"/>
  <c r="M544" i="1"/>
  <c r="M436" i="1"/>
  <c r="M327" i="1"/>
  <c r="M1269" i="1"/>
  <c r="M1258" i="1"/>
  <c r="M1257" i="1"/>
  <c r="M1256" i="1"/>
  <c r="M1094" i="1"/>
  <c r="M1072" i="1"/>
  <c r="M1057" i="1"/>
  <c r="M1056" i="1"/>
  <c r="M1035" i="1"/>
  <c r="M1018" i="1"/>
  <c r="M975" i="1"/>
  <c r="M937" i="1"/>
  <c r="M918" i="1"/>
  <c r="M886" i="1"/>
  <c r="M882" i="1"/>
  <c r="M856" i="1"/>
  <c r="M424" i="1"/>
  <c r="M926" i="1"/>
  <c r="M159" i="1"/>
  <c r="M848" i="1"/>
  <c r="M726" i="1"/>
  <c r="M1390" i="1"/>
  <c r="M465" i="1"/>
  <c r="M1253" i="1"/>
  <c r="M1186" i="1"/>
  <c r="M1185" i="1"/>
  <c r="M1184" i="1"/>
  <c r="M1149" i="1"/>
  <c r="M1144" i="1"/>
  <c r="M1043" i="1"/>
  <c r="M1019" i="1"/>
  <c r="M1007" i="1"/>
  <c r="M932" i="1"/>
  <c r="M921" i="1"/>
  <c r="M902" i="1"/>
  <c r="M537" i="1"/>
  <c r="M482" i="1"/>
  <c r="M461" i="1"/>
  <c r="M1081" i="1"/>
  <c r="M1130" i="1"/>
  <c r="M1198" i="1"/>
  <c r="M952" i="1"/>
  <c r="M1199" i="1"/>
  <c r="M1047" i="1"/>
  <c r="M1046" i="1"/>
  <c r="M1037" i="1"/>
  <c r="M824" i="1"/>
  <c r="M803" i="1"/>
  <c r="M793" i="1"/>
  <c r="M790" i="1"/>
  <c r="M786" i="1"/>
  <c r="M743" i="1"/>
  <c r="M706" i="1"/>
  <c r="M688" i="1"/>
  <c r="M659" i="1"/>
  <c r="M626" i="1"/>
  <c r="M578" i="1"/>
  <c r="M562" i="1"/>
  <c r="M554" i="1"/>
  <c r="M541" i="1"/>
  <c r="M464" i="1"/>
  <c r="M419" i="1"/>
  <c r="M351" i="1"/>
  <c r="M315" i="1"/>
  <c r="M279" i="1"/>
  <c r="M265" i="1"/>
  <c r="M423" i="1"/>
  <c r="M470" i="1"/>
  <c r="M451" i="1"/>
  <c r="M782" i="1"/>
  <c r="M371" i="1"/>
  <c r="M931" i="1"/>
  <c r="M654" i="1"/>
  <c r="M384" i="1"/>
  <c r="M808" i="1"/>
  <c r="M1231" i="1"/>
  <c r="M1189" i="1"/>
  <c r="M1148" i="1"/>
  <c r="M1107" i="1"/>
  <c r="M1038" i="1"/>
  <c r="M1022" i="1"/>
  <c r="M885" i="1"/>
  <c r="M878" i="1"/>
  <c r="M873" i="1"/>
  <c r="M744" i="1"/>
  <c r="M703" i="1"/>
  <c r="M679" i="1"/>
  <c r="M676" i="1"/>
  <c r="M665" i="1"/>
  <c r="M636" i="1"/>
  <c r="M635" i="1"/>
  <c r="M590" i="1"/>
  <c r="M550" i="1"/>
  <c r="M499" i="1"/>
  <c r="M497" i="1"/>
  <c r="M492" i="1"/>
  <c r="M490" i="1"/>
  <c r="M409" i="1"/>
  <c r="M404" i="1"/>
  <c r="M374" i="1"/>
  <c r="M360" i="1"/>
  <c r="M317" i="1"/>
  <c r="M298" i="1"/>
  <c r="M275" i="1"/>
  <c r="M290" i="1"/>
  <c r="M513" i="1"/>
  <c r="M323" i="1"/>
  <c r="M425" i="1"/>
  <c r="M807" i="1"/>
  <c r="M613" i="1"/>
  <c r="M651" i="1"/>
  <c r="M1114" i="1"/>
  <c r="M355" i="1"/>
  <c r="M332" i="1"/>
  <c r="M466" i="1"/>
  <c r="M773" i="1"/>
  <c r="M810" i="1"/>
  <c r="M760" i="1"/>
  <c r="M431" i="1"/>
  <c r="M1068" i="1"/>
  <c r="M1005" i="1"/>
  <c r="M1249" i="1"/>
  <c r="M860" i="1"/>
  <c r="M400" i="1"/>
  <c r="M646" i="1"/>
  <c r="M611" i="1"/>
  <c r="M411" i="1"/>
  <c r="M260" i="1"/>
  <c r="M447" i="1"/>
  <c r="M448" i="1"/>
  <c r="M859" i="1"/>
  <c r="M770" i="1"/>
  <c r="M536" i="1"/>
  <c r="M867" i="1"/>
  <c r="M585" i="1"/>
  <c r="M1133" i="1"/>
  <c r="M922" i="1"/>
  <c r="M868" i="1"/>
  <c r="M656" i="1"/>
  <c r="M874" i="1"/>
  <c r="M893" i="1"/>
  <c r="M1259" i="1"/>
  <c r="M669" i="1"/>
  <c r="M512" i="1"/>
  <c r="M1060" i="1"/>
  <c r="M1202" i="1"/>
  <c r="M1064" i="1"/>
  <c r="M1063" i="1"/>
  <c r="M801" i="1"/>
  <c r="M385" i="1"/>
  <c r="M1229" i="1"/>
  <c r="M1228" i="1"/>
  <c r="M1274" i="1"/>
  <c r="M1224" i="1"/>
  <c r="M1243" i="1"/>
  <c r="M1226" i="1"/>
  <c r="M1227" i="1"/>
  <c r="M1225" i="1"/>
  <c r="M1242" i="1"/>
  <c r="M1238" i="1"/>
  <c r="M685" i="1"/>
  <c r="M262" i="1"/>
  <c r="M472" i="1"/>
  <c r="M353" i="1"/>
  <c r="M1147" i="1"/>
  <c r="M822" i="1"/>
  <c r="M814" i="1"/>
  <c r="M930" i="1"/>
  <c r="M1097" i="1"/>
  <c r="M805" i="1"/>
  <c r="M870" i="1"/>
  <c r="M796" i="1"/>
  <c r="M1197" i="1"/>
  <c r="M1089" i="1"/>
  <c r="M343" i="1"/>
  <c r="M272" i="1"/>
  <c r="M437" i="1"/>
  <c r="M638" i="1"/>
  <c r="M881" i="1"/>
  <c r="M912" i="1"/>
  <c r="M959" i="1"/>
  <c r="M1260" i="1"/>
  <c r="M994" i="1"/>
  <c r="M853" i="1"/>
  <c r="M1183" i="1"/>
  <c r="M509" i="1"/>
  <c r="M778" i="1"/>
  <c r="M1221" i="1"/>
  <c r="M1088" i="1"/>
  <c r="M383" i="1"/>
  <c r="M1062" i="1"/>
  <c r="M1061" i="1"/>
  <c r="M1208" i="1"/>
  <c r="M924" i="1"/>
  <c r="M876" i="1"/>
  <c r="M819" i="1"/>
  <c r="M757" i="1"/>
  <c r="M755" i="1"/>
  <c r="M616" i="1"/>
  <c r="M559" i="1"/>
  <c r="M515" i="1"/>
  <c r="M510" i="1"/>
  <c r="M477" i="1"/>
  <c r="M476" i="1"/>
  <c r="M454" i="1"/>
  <c r="M430" i="1"/>
  <c r="M420" i="1"/>
  <c r="M406" i="1"/>
  <c r="M349" i="1"/>
  <c r="M1126" i="1"/>
  <c r="K682" i="1"/>
  <c r="K314" i="1"/>
  <c r="K809" i="1"/>
  <c r="K839" i="1"/>
  <c r="K414" i="1"/>
  <c r="M890" i="1" l="1"/>
  <c r="M1040" i="1"/>
  <c r="M268" i="1"/>
  <c r="M1003" i="1"/>
  <c r="M328" i="1"/>
  <c r="M393" i="1"/>
  <c r="M1017" i="1"/>
  <c r="M593" i="1"/>
  <c r="M1011" i="1"/>
  <c r="M414" i="1"/>
  <c r="M717" i="1"/>
  <c r="M564" i="1"/>
  <c r="M314" i="1"/>
  <c r="M642" i="1"/>
  <c r="M765" i="1"/>
  <c r="M839" i="1"/>
  <c r="M682" i="1"/>
  <c r="M516" i="1"/>
  <c r="M1182" i="1"/>
  <c r="M809" i="1"/>
  <c r="M382" i="1"/>
  <c r="M4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tc={23094430-6CA4-4DAD-BB5C-E3D8C41DE1F4}</author>
    <author>tc={50FC73DC-3786-4B8A-BA91-F126CFACA5D8}</author>
    <author>tc={B15DB4E0-803C-43C6-8681-8DD5316455AB}</author>
    <author>tc={EABFD712-2DD7-4608-8C82-C21085DEC37A}</author>
    <author>tc={D69FFC8F-93E7-4BE4-A390-3B21DA882DE2}</author>
    <author>tc={FDFBFBCB-D4F7-400B-BCCD-80F988380FE2}</author>
    <author>tc={DE33E11B-E310-4EC7-A083-B8EE69D74F69}</author>
    <author>tc={CD14031E-CCBA-4F23-AA5F-5E338786961B}</author>
    <author>tc={B04C12DE-DF14-4D79-BC1D-A21A6155084C}</author>
    <author>tc={893621D8-1956-457F-9673-711568F5B0F9}</author>
    <author>tc={A0A66A37-1343-4E95-A074-C1860FD398F8}</author>
    <author>tc={5E9F26E1-5938-413B-93BC-1CC59CD226BE}</author>
    <author>tc={1A7B4B1A-9262-4120-BAE1-2CC983034684}</author>
    <author>tc={1965D015-702E-4CA3-9E1B-88C1CAC89608}</author>
    <author>tc={9ED1457A-D426-4F70-916C-96F831F68B0F}</author>
    <author>tc={BEAF35EA-4F58-46D6-8EEA-67CA099AB6F9}</author>
    <author>tc={0D400B48-CE98-4E18-9011-BCED48A456BB}</author>
    <author>tc={EBFD5A42-87A9-4D60-A7CF-7399EE6C5031}</author>
  </authors>
  <commentList>
    <comment ref="J2" authorId="0" shapeId="0" xr:uid="{23094430-6CA4-4DAD-BB5C-E3D8C41DE1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J6" authorId="1" shapeId="0" xr:uid="{50FC73DC-3786-4B8A-BA91-F126CFACA5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14" authorId="2" shapeId="0" xr:uid="{B15DB4E0-803C-43C6-8681-8DD5316455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18" authorId="3" shapeId="0" xr:uid="{EABFD712-2DD7-4608-8C82-C21085DEC3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20" authorId="4" shapeId="0" xr:uid="{D69FFC8F-93E7-4BE4-A390-3B21DA882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servicio esta dado de baja, en inventario sigue figurando la máquina ahí</t>
      </text>
    </comment>
    <comment ref="J22" authorId="5" shapeId="0" xr:uid="{FDFBFBCB-D4F7-400B-BCCD-80F988380F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G23" authorId="6" shapeId="0" xr:uid="{DE33E11B-E310-4EC7-A083-B8EE69D74F6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Inventario figura en LOMASER, leo dice que no es´ta
</t>
      </text>
    </comment>
    <comment ref="J23" authorId="7" shapeId="0" xr:uid="{CD14031E-CCBA-4F23-AA5F-5E33878696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27" authorId="8" shapeId="0" xr:uid="{B04C12DE-DF14-4D79-BC1D-A21A615508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28" authorId="9" shapeId="0" xr:uid="{893621D8-1956-457F-9673-711568F5B0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30" authorId="10" shapeId="0" xr:uid="{A0A66A37-1343-4E95-A074-C1860FD398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31" authorId="11" shapeId="0" xr:uid="{5E9F26E1-5938-413B-93BC-1CC59CD226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36" authorId="12" shapeId="0" xr:uid="{1A7B4B1A-9262-4120-BAE1-2CC9830346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39" authorId="13" shapeId="0" xr:uid="{1965D015-702E-4CA3-9E1B-88C1CAC896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40" authorId="14" shapeId="0" xr:uid="{9ED1457A-D426-4F70-916C-96F831F68B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reparación</t>
      </text>
    </comment>
    <comment ref="J41" authorId="15" shapeId="0" xr:uid="{BEAF35EA-4F58-46D6-8EEA-67CA099AB6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43" authorId="16" shapeId="0" xr:uid="{0D400B48-CE98-4E18-9011-BCED48A456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G48" authorId="17" shapeId="0" xr:uid="{EBFD5A42-87A9-4D60-A7CF-7399EE6C50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servicio está dado de baja y sigue figurando allí en el inventario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tc={51732F5A-605A-48A0-9170-9FF909E8D43D}</author>
    <author>tc={4090E66A-7021-4F86-AA48-F8664DA9371F}</author>
    <author>tc={3018A8E2-95B1-480B-A2AE-85210131F95F}</author>
    <author>tc={30E2C0A2-B95A-4EBC-881D-263B1137803B}</author>
    <author>tc={37DF70A0-01BF-4CCE-8E7C-278C7FC75584}</author>
    <author>tc={42412737-BC7D-46CA-B6F1-08D81B080299}</author>
    <author>tc={66C6B76F-6596-4B22-BCE6-2E05769EB5F1}</author>
    <author>tc={347908AB-1F5C-4D1E-8EFF-443008C63718}</author>
    <author>tc={A06CFAE1-FBAD-43CB-AA86-C60CE4DBF9F2}</author>
    <author>tc={38ABA6E0-A1DE-44C1-A94D-861C99C84FBA}</author>
    <author>tc={ACF2AC66-53A6-40BF-81B8-FBA01F2A0742}</author>
    <author>tc={14FBE674-9D8A-4D9F-B98C-552A6D02115B}</author>
    <author>tc={2B05E2A9-6C5C-4A80-B551-71174C8EE0C6}</author>
    <author>tc={E6E09A35-0F54-4FE3-81BF-17F554542A18}</author>
    <author>tc={127BEC1B-F062-420F-B49B-0A5B7D11E481}</author>
    <author>tc={2C1740C7-8245-45FF-BF64-08175DF51C31}</author>
    <author>tc={75BB5152-1942-4D21-AEA7-5FCEA17911A6}</author>
    <author>tc={02B4D287-C647-45A1-93F9-74998AED0733}</author>
    <author>tc={F5DA606D-C147-4823-AB5C-F863F4BD4967}</author>
    <author>tc={9E7381AC-4464-4E70-A54F-DF0AC63888DD}</author>
    <author>tc={BA46D8A6-586D-441C-BEA5-66277AD40B08}</author>
  </authors>
  <commentList>
    <comment ref="J280" authorId="0" shapeId="0" xr:uid="{51732F5A-605A-48A0-9170-9FF909E8D4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J341" authorId="1" shapeId="0" xr:uid="{4090E66A-7021-4F86-AA48-F8664DA937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362" authorId="2" shapeId="0" xr:uid="{3018A8E2-95B1-480B-A2AE-85210131F95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encuentra en STYLUS </t>
      </text>
    </comment>
    <comment ref="G371" authorId="3" shapeId="0" xr:uid="{30E2C0A2-B95A-4EBC-881D-263B113780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servicio esta dado de baja, en inventario sigue figurando la máquina ahí</t>
      </text>
    </comment>
    <comment ref="J526" authorId="4" shapeId="0" xr:uid="{37DF70A0-01BF-4CCE-8E7C-278C7FC755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583" authorId="5" shapeId="0" xr:uid="{42412737-BC7D-46CA-B6F1-08D81B0802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610" authorId="6" shapeId="0" xr:uid="{66C6B76F-6596-4B22-BCE6-2E05769EB5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servicio esta dado de baja, en inventario sigue figurando la máquina ahí</t>
      </text>
    </comment>
    <comment ref="J678" authorId="7" shapeId="0" xr:uid="{347908AB-1F5C-4D1E-8EFF-443008C637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G681" authorId="8" shapeId="0" xr:uid="{A06CFAE1-FBAD-43CB-AA86-C60CE4DBF9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Inventario figura en LOMASER, leo dice que no es´ta
</t>
      </text>
    </comment>
    <comment ref="J681" authorId="9" shapeId="0" xr:uid="{38ABA6E0-A1DE-44C1-A94D-861C99C84F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835" authorId="10" shapeId="0" xr:uid="{ACF2AC66-53A6-40BF-81B8-FBA01F2A07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854" authorId="11" shapeId="0" xr:uid="{14FBE674-9D8A-4D9F-B98C-552A6D0211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863" authorId="12" shapeId="0" xr:uid="{2B05E2A9-6C5C-4A80-B551-71174C8EE0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875" authorId="13" shapeId="0" xr:uid="{E6E09A35-0F54-4FE3-81BF-17F554542A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938" authorId="14" shapeId="0" xr:uid="{127BEC1B-F062-420F-B49B-0A5B7D11E4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966" authorId="15" shapeId="0" xr:uid="{2C1740C7-8245-45FF-BF64-08175DF51C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990" authorId="16" shapeId="0" xr:uid="{75BB5152-1942-4D21-AEA7-5FCEA17911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reparación</t>
      </text>
    </comment>
    <comment ref="J996" authorId="17" shapeId="0" xr:uid="{02B4D287-C647-45A1-93F9-74998AED07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1015" authorId="18" shapeId="0" xr:uid="{F5DA606D-C147-4823-AB5C-F863F4BD49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G1176" authorId="19" shapeId="0" xr:uid="{9E7381AC-4464-4E70-A54F-DF0AC63888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casa de stock cba a allianz cordoba</t>
      </text>
    </comment>
    <comment ref="G1262" authorId="20" shapeId="0" xr:uid="{BA46D8A6-586D-441C-BEA5-66277AD40B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servicio está dado de baja y sigue figurando allí en el inventario</t>
      </text>
    </comment>
  </commentList>
</comments>
</file>

<file path=xl/sharedStrings.xml><?xml version="1.0" encoding="utf-8"?>
<sst xmlns="http://schemas.openxmlformats.org/spreadsheetml/2006/main" count="10986" uniqueCount="1069">
  <si>
    <t>Nro Inventario</t>
  </si>
  <si>
    <t>Inventario de Maquinarias por Nro.Descripción</t>
  </si>
  <si>
    <t>Marcas.Descripción</t>
  </si>
  <si>
    <t>Modelos.Descripción</t>
  </si>
  <si>
    <t>Fuente de energía</t>
  </si>
  <si>
    <t>Casa</t>
  </si>
  <si>
    <t>Nombre de casa</t>
  </si>
  <si>
    <t xml:space="preserve">ZONA </t>
  </si>
  <si>
    <t>Horas de uso</t>
  </si>
  <si>
    <t>Por día/semana/mes/año</t>
  </si>
  <si>
    <t>ASPIRADORA</t>
  </si>
  <si>
    <t>SUPER SPEED</t>
  </si>
  <si>
    <t>101-P/A</t>
  </si>
  <si>
    <t>ELECTRICA</t>
  </si>
  <si>
    <t>Adidas La Plata</t>
  </si>
  <si>
    <t>30'</t>
  </si>
  <si>
    <t>Semanal</t>
  </si>
  <si>
    <t>SEMANAL</t>
  </si>
  <si>
    <t>LUSTRADORA</t>
  </si>
  <si>
    <t>P-39</t>
  </si>
  <si>
    <t>Mensual</t>
  </si>
  <si>
    <t>MENSUAL</t>
  </si>
  <si>
    <t>CLARKE</t>
  </si>
  <si>
    <t>600 A</t>
  </si>
  <si>
    <t>Adidas Lomas de Zamora</t>
  </si>
  <si>
    <t>40'</t>
  </si>
  <si>
    <t>101-P</t>
  </si>
  <si>
    <t>Algodonera Aconcagua Edif. Wilde</t>
  </si>
  <si>
    <t xml:space="preserve">120' </t>
  </si>
  <si>
    <t>24hs</t>
  </si>
  <si>
    <t xml:space="preserve">24hs </t>
  </si>
  <si>
    <t>HIDROLAVADORA A.FRIA ELECTRICA</t>
  </si>
  <si>
    <t>KARCHER</t>
  </si>
  <si>
    <t>HD 5/11C</t>
  </si>
  <si>
    <t>Bago Edif. La Plata</t>
  </si>
  <si>
    <t>2hs</t>
  </si>
  <si>
    <t xml:space="preserve">Por dia </t>
  </si>
  <si>
    <t>DIARIO</t>
  </si>
  <si>
    <t>3hs</t>
  </si>
  <si>
    <t>DIXTER</t>
  </si>
  <si>
    <t>Sin Modelo</t>
  </si>
  <si>
    <t>P-28</t>
  </si>
  <si>
    <t>S.T.V. 20</t>
  </si>
  <si>
    <t>LUSTRADORA A.VELOC.ELECTRICA</t>
  </si>
  <si>
    <t>US-2000</t>
  </si>
  <si>
    <t>HD 5/11 P</t>
  </si>
  <si>
    <t>VIPER</t>
  </si>
  <si>
    <t>Lanxess Edif Burzaco</t>
  </si>
  <si>
    <t>20'</t>
  </si>
  <si>
    <t>S.KLINER</t>
  </si>
  <si>
    <t>Metalurgicasiam Cordoba 2156</t>
  </si>
  <si>
    <t xml:space="preserve">20' </t>
  </si>
  <si>
    <t>Nike Edif. Camino Centenario</t>
  </si>
  <si>
    <t>60'</t>
  </si>
  <si>
    <t>A.18</t>
  </si>
  <si>
    <t>Southbay Alto Avellaneda</t>
  </si>
  <si>
    <t xml:space="preserve">30' </t>
  </si>
  <si>
    <t>Telecentro Berazategui</t>
  </si>
  <si>
    <t>Telecentro L de Zamora</t>
  </si>
  <si>
    <t>FORZA</t>
  </si>
  <si>
    <t>303 WD</t>
  </si>
  <si>
    <t>Telecentro Lanus</t>
  </si>
  <si>
    <t>Telecentro Luis Guillon</t>
  </si>
  <si>
    <t>Abbot Centro</t>
  </si>
  <si>
    <t>MITOLO</t>
  </si>
  <si>
    <t>40hs mensual</t>
  </si>
  <si>
    <t>electrica</t>
  </si>
  <si>
    <t>8hs mensuales</t>
  </si>
  <si>
    <t>SIRIO</t>
  </si>
  <si>
    <t>YES 215</t>
  </si>
  <si>
    <t>LAVADORA DE ALFOMBRA ROTATIVA</t>
  </si>
  <si>
    <t>ABBVIE Ofic. Ing. Butty</t>
  </si>
  <si>
    <t>24hs mensuales</t>
  </si>
  <si>
    <t>FORZA 304</t>
  </si>
  <si>
    <t>48hs mensuales</t>
  </si>
  <si>
    <t>20hs mensuales</t>
  </si>
  <si>
    <t>TURBION</t>
  </si>
  <si>
    <t>T/66</t>
  </si>
  <si>
    <t>MP-18</t>
  </si>
  <si>
    <t>12hs mensuales</t>
  </si>
  <si>
    <t>12 hs mensuales</t>
  </si>
  <si>
    <t>P-30</t>
  </si>
  <si>
    <t>POWR FLYTE</t>
  </si>
  <si>
    <t>M2000</t>
  </si>
  <si>
    <t>LSU 275-ARG</t>
  </si>
  <si>
    <t>CabanellasEtchebarne Kelly</t>
  </si>
  <si>
    <t>8hs mensules</t>
  </si>
  <si>
    <t>T/67</t>
  </si>
  <si>
    <t>15hs mensuales</t>
  </si>
  <si>
    <t>Casa de Moneda Retiro</t>
  </si>
  <si>
    <t>40hs mensuales</t>
  </si>
  <si>
    <t>60hs mensuales</t>
  </si>
  <si>
    <t>Hidrolimp</t>
  </si>
  <si>
    <t>50hs mensuales</t>
  </si>
  <si>
    <t>Fideisalud B. Mitre 1375</t>
  </si>
  <si>
    <t>10hs mensulaes</t>
  </si>
  <si>
    <t>Gire Av. Caseros</t>
  </si>
  <si>
    <t>25HS MENSUALES</t>
  </si>
  <si>
    <t>60HS MENSUALES</t>
  </si>
  <si>
    <t>15HS MENSUALES</t>
  </si>
  <si>
    <t>LAVADORA DE aLFOMBRA ROTATIVA</t>
  </si>
  <si>
    <t>STIHL</t>
  </si>
  <si>
    <t>RE 109</t>
  </si>
  <si>
    <t>10HS MENSUALES</t>
  </si>
  <si>
    <t>HITACHI Barracas</t>
  </si>
  <si>
    <t>16hs mensuales</t>
  </si>
  <si>
    <t>Imagen Satelital Edif Defensa 599</t>
  </si>
  <si>
    <t>SAMP 202</t>
  </si>
  <si>
    <t>30hs mensuales</t>
  </si>
  <si>
    <t>e series</t>
  </si>
  <si>
    <t>HD 585</t>
  </si>
  <si>
    <t xml:space="preserve">10hs al mensuales </t>
  </si>
  <si>
    <t>Inteligencia y Tecnologia Montevideo 770</t>
  </si>
  <si>
    <t>102-P/A</t>
  </si>
  <si>
    <t>Jones Lang Dell</t>
  </si>
  <si>
    <t>10hs mensuales</t>
  </si>
  <si>
    <t>Limpiolux Of. Peluso Bolsa Comercio</t>
  </si>
  <si>
    <t>LX</t>
  </si>
  <si>
    <t>6HS MENSUALES</t>
  </si>
  <si>
    <t>LAVADORA INYECCION-EXTRACCION</t>
  </si>
  <si>
    <t>ELSEA</t>
  </si>
  <si>
    <t>PHILCO</t>
  </si>
  <si>
    <t>PHAST 1833</t>
  </si>
  <si>
    <t>Ministerio de Haciendo Edif. Pto. Nuevo</t>
  </si>
  <si>
    <t>Mitsubishi Edif Della Paolera 265</t>
  </si>
  <si>
    <t>30HS MENSUALES</t>
  </si>
  <si>
    <t>Panalpína San Nicolas</t>
  </si>
  <si>
    <t>24HS MENSUALES</t>
  </si>
  <si>
    <t>8HS MENSUALES</t>
  </si>
  <si>
    <t>Richard, Cardinal, Tutzer, Zabala &amp; Zae.</t>
  </si>
  <si>
    <t>60 HS MENSUALES</t>
  </si>
  <si>
    <t>Wintershall Energia</t>
  </si>
  <si>
    <t>30 HS MENSUALES</t>
  </si>
  <si>
    <t>AIRFORCE</t>
  </si>
  <si>
    <t>ABBOTT (Cerrito)</t>
  </si>
  <si>
    <t>20HS MENSUALES</t>
  </si>
  <si>
    <t>HIDROLIMP</t>
  </si>
  <si>
    <t>AGCO Haedo</t>
  </si>
  <si>
    <t>2 HS</t>
  </si>
  <si>
    <t>1 DIA A LA SEMANA</t>
  </si>
  <si>
    <t>CARGADOR</t>
  </si>
  <si>
    <t>24 VOLT</t>
  </si>
  <si>
    <t>4 HS</t>
  </si>
  <si>
    <t>TODOS LOS DIAS</t>
  </si>
  <si>
    <t>1 HS</t>
  </si>
  <si>
    <t>2 DIAS A LA SEMANA</t>
  </si>
  <si>
    <t>LSU 135</t>
  </si>
  <si>
    <t>AGCO Rodriguez</t>
  </si>
  <si>
    <t>HIDROLAVADORA</t>
  </si>
  <si>
    <t>NILFISK</t>
  </si>
  <si>
    <t>HIDRO JET</t>
  </si>
  <si>
    <t>180 BAR</t>
  </si>
  <si>
    <t>6 HS</t>
  </si>
  <si>
    <t>NT 38/1</t>
  </si>
  <si>
    <t xml:space="preserve">LUNES A VIERNES </t>
  </si>
  <si>
    <t>RPE</t>
  </si>
  <si>
    <t>Ceiling Las Margaritas</t>
  </si>
  <si>
    <t>PFX1350</t>
  </si>
  <si>
    <t>Diversey V. Bosch</t>
  </si>
  <si>
    <t>CADA 2 MESES</t>
  </si>
  <si>
    <t>BIMESTRAL</t>
  </si>
  <si>
    <t>Vento</t>
  </si>
  <si>
    <t>ERGODISC</t>
  </si>
  <si>
    <t>COMPRESOR</t>
  </si>
  <si>
    <t>BLACK &amp; DECKER</t>
  </si>
  <si>
    <t>Gerencia San Diego</t>
  </si>
  <si>
    <t xml:space="preserve"> 2 DIAS A LA SEMANA</t>
  </si>
  <si>
    <t>Haras Limpiolux</t>
  </si>
  <si>
    <t>Inti Hurligham</t>
  </si>
  <si>
    <t>CADA 15 DIAS</t>
  </si>
  <si>
    <t>AL MES</t>
  </si>
  <si>
    <t>Planta Panificadora</t>
  </si>
  <si>
    <t>3 DIAS A LA SEMANA</t>
  </si>
  <si>
    <t>FORZA 303 WD</t>
  </si>
  <si>
    <t>Southbay  Shopping Plaza Oeste</t>
  </si>
  <si>
    <t>Southbay Shopping Plaza Oeste</t>
  </si>
  <si>
    <t>Telecentro Ituzaingo</t>
  </si>
  <si>
    <t>Telecentro Laferrere</t>
  </si>
  <si>
    <t>Telecentro Moreno</t>
  </si>
  <si>
    <t>Telecentro San Justo J.M.Rosas 2860</t>
  </si>
  <si>
    <t>Telecentro Taller</t>
  </si>
  <si>
    <t xml:space="preserve"> 1 DIA A LA SEMANA</t>
  </si>
  <si>
    <t>Telecentro San Justo Rincon 3470</t>
  </si>
  <si>
    <t>CLARKER</t>
  </si>
  <si>
    <t>FREGADORA</t>
  </si>
  <si>
    <t>SUPER SCRUBBER 20</t>
  </si>
  <si>
    <t>HOOVER</t>
  </si>
  <si>
    <t>S/M</t>
  </si>
  <si>
    <t>Telecentro Sarmiento</t>
  </si>
  <si>
    <t>UNIONPEL S.A. Planta 1</t>
  </si>
  <si>
    <t>Vialidad Region 1 Caba</t>
  </si>
  <si>
    <t>BORDEADOEA</t>
  </si>
  <si>
    <t>STHIL Fse60</t>
  </si>
  <si>
    <t>Vicente Tamart S.A.</t>
  </si>
  <si>
    <t>LIMKIT</t>
  </si>
  <si>
    <t>2H HS</t>
  </si>
  <si>
    <t>BOMBA SUMERGIBLE</t>
  </si>
  <si>
    <t>RW (ROWA)</t>
  </si>
  <si>
    <t>DRAIN M 750 INQX F</t>
  </si>
  <si>
    <t>TABLERO</t>
  </si>
  <si>
    <t>Sin Marca</t>
  </si>
  <si>
    <t>Yamaha Planta 3 Gral Rodiguez</t>
  </si>
  <si>
    <t>P.T.V. 10</t>
  </si>
  <si>
    <t>3 HS</t>
  </si>
  <si>
    <t>1 VEZ AL MES</t>
  </si>
  <si>
    <t>Frigorifico Riosma</t>
  </si>
  <si>
    <t>LAVA ALFOMBRAS</t>
  </si>
  <si>
    <t>2HS</t>
  </si>
  <si>
    <t>KLINER</t>
  </si>
  <si>
    <t>OSPIL</t>
  </si>
  <si>
    <t>Ceiling Ricardo Nini Moreno</t>
  </si>
  <si>
    <t xml:space="preserve">MELANY </t>
  </si>
  <si>
    <t xml:space="preserve">3 HS   </t>
  </si>
  <si>
    <t>HD 6/15 C</t>
  </si>
  <si>
    <t>Banco Santa Fe Agencia Ovidio Lagos</t>
  </si>
  <si>
    <t xml:space="preserve">LUCIO RAMOS </t>
  </si>
  <si>
    <t>Banco Santa Fe Casa Central Rosario</t>
  </si>
  <si>
    <t>Banco Santa Fe Edif. Sta Fe 940</t>
  </si>
  <si>
    <t>Banco Santa Fe Agencia Ayacucho</t>
  </si>
  <si>
    <t>LAVADORA DE ALF.TRANSVERSAL</t>
  </si>
  <si>
    <t>CM-12</t>
  </si>
  <si>
    <t xml:space="preserve">NO ESTA EN EL SERVICIO </t>
  </si>
  <si>
    <t>ASPIRADORA MOCHILA</t>
  </si>
  <si>
    <t>NAPSAC 420</t>
  </si>
  <si>
    <t>FM 1500</t>
  </si>
  <si>
    <t>ALTO POSEIDON 3</t>
  </si>
  <si>
    <t>Ceiling Consorcio Lambaré</t>
  </si>
  <si>
    <t xml:space="preserve">ALE GAONA </t>
  </si>
  <si>
    <t xml:space="preserve">SEMANAL </t>
  </si>
  <si>
    <t>MC 2C-120/520</t>
  </si>
  <si>
    <t>Embajada EE UU</t>
  </si>
  <si>
    <t>back up</t>
  </si>
  <si>
    <t xml:space="preserve">1hs </t>
  </si>
  <si>
    <t>Famar Fueguina Rodney</t>
  </si>
  <si>
    <t>40min</t>
  </si>
  <si>
    <t xml:space="preserve">2 veces por semana </t>
  </si>
  <si>
    <t>FM 1700</t>
  </si>
  <si>
    <t>Telecentro Figueroa 254</t>
  </si>
  <si>
    <t>Telecentro Tinogasta</t>
  </si>
  <si>
    <t>1h</t>
  </si>
  <si>
    <t xml:space="preserve">ASPIRADORA </t>
  </si>
  <si>
    <t xml:space="preserve">CONSORCIO 3 DE FEBRERO </t>
  </si>
  <si>
    <t xml:space="preserve">1h </t>
  </si>
  <si>
    <t xml:space="preserve">DIXTER </t>
  </si>
  <si>
    <t xml:space="preserve">CIRIO </t>
  </si>
  <si>
    <t xml:space="preserve"> TUV RHEINLAND</t>
  </si>
  <si>
    <t>1H</t>
  </si>
  <si>
    <t xml:space="preserve">DIARIO </t>
  </si>
  <si>
    <t>Ceiling Brouwer Paternal</t>
  </si>
  <si>
    <t>3HS</t>
  </si>
  <si>
    <t>5 VECES  POR SEMANA</t>
  </si>
  <si>
    <t>La nación Edfi. Zepita</t>
  </si>
  <si>
    <t>1HS</t>
  </si>
  <si>
    <t>2 VECES POR SEMANA</t>
  </si>
  <si>
    <t>1 VEZ POR DIA</t>
  </si>
  <si>
    <t>TM 65</t>
  </si>
  <si>
    <t>1 VEZ POR SEMANA</t>
  </si>
  <si>
    <t>Nike Edif. California</t>
  </si>
  <si>
    <t>300-P</t>
  </si>
  <si>
    <t>Segufer Edif. Toll</t>
  </si>
  <si>
    <t>1 VEZ AL DIA</t>
  </si>
  <si>
    <t>DIARIAMENTE</t>
  </si>
  <si>
    <t>Stylus Olavarria</t>
  </si>
  <si>
    <t>4HS</t>
  </si>
  <si>
    <t>Ministerio de Haciendo Casa Central</t>
  </si>
  <si>
    <t>HERNAN</t>
  </si>
  <si>
    <t>6 hs</t>
  </si>
  <si>
    <t>2 veces x semana</t>
  </si>
  <si>
    <t>E-39</t>
  </si>
  <si>
    <t>3 veces x semana</t>
  </si>
  <si>
    <t>4 veces x semana</t>
  </si>
  <si>
    <t>5 veces x semana</t>
  </si>
  <si>
    <t>6 veces x semana</t>
  </si>
  <si>
    <t>7 veces x semana</t>
  </si>
  <si>
    <t xml:space="preserve">1 vez por semana </t>
  </si>
  <si>
    <t>1 h</t>
  </si>
  <si>
    <t>D-43 HD</t>
  </si>
  <si>
    <t>2000 PV</t>
  </si>
  <si>
    <t xml:space="preserve"> 2 veces x semana </t>
  </si>
  <si>
    <t>NAPSAC</t>
  </si>
  <si>
    <t>2 hs</t>
  </si>
  <si>
    <t>TMB</t>
  </si>
  <si>
    <t>RAINDROP M.</t>
  </si>
  <si>
    <t>K2 GARDEN</t>
  </si>
  <si>
    <t>FREGADORA ELECTRICA</t>
  </si>
  <si>
    <t xml:space="preserve">S. SCRUBBER </t>
  </si>
  <si>
    <t>101-9</t>
  </si>
  <si>
    <t>101-9 P/A</t>
  </si>
  <si>
    <t>AXIS 2016</t>
  </si>
  <si>
    <t>HD 6/15 - 4M</t>
  </si>
  <si>
    <t>1 hs</t>
  </si>
  <si>
    <t>miercoles</t>
  </si>
  <si>
    <t>Comision Nacional De Actividades Espe.</t>
  </si>
  <si>
    <t>1 vez x semana</t>
  </si>
  <si>
    <t>media hs</t>
  </si>
  <si>
    <t>1 vez al mes</t>
  </si>
  <si>
    <t>40 minutos</t>
  </si>
  <si>
    <t>1 veces x semana</t>
  </si>
  <si>
    <t>45 minutos</t>
  </si>
  <si>
    <t>DSU 15-ARG</t>
  </si>
  <si>
    <t>1 x mes</t>
  </si>
  <si>
    <t>aspiradora Super speed SPE</t>
  </si>
  <si>
    <t>P39</t>
  </si>
  <si>
    <t>Finning Córdoba</t>
  </si>
  <si>
    <t>3 hs</t>
  </si>
  <si>
    <t>3 vez x semana</t>
  </si>
  <si>
    <t>Inti Cordoba</t>
  </si>
  <si>
    <t>Limpiolux Córdoba (Operarios Volantes)</t>
  </si>
  <si>
    <t>backup</t>
  </si>
  <si>
    <t>Limpiolux Maq. Córdoba</t>
  </si>
  <si>
    <t>AIR FORCE X 1</t>
  </si>
  <si>
    <t>Limpiolux Suc. Córdoba</t>
  </si>
  <si>
    <t xml:space="preserve">LUSTRADORA </t>
  </si>
  <si>
    <t>SUPER SPEED 39</t>
  </si>
  <si>
    <t>BORDEADORA ELECTRICA</t>
  </si>
  <si>
    <t>Prisma Medios de pagos</t>
  </si>
  <si>
    <t>todos los dias</t>
  </si>
  <si>
    <t>Crane Worldwide Edif. Zarate</t>
  </si>
  <si>
    <t>10/12 horas</t>
  </si>
  <si>
    <t>Toyota Planta Zarate</t>
  </si>
  <si>
    <t>24/26 horas</t>
  </si>
  <si>
    <t>8/10 horas</t>
  </si>
  <si>
    <t>P-33</t>
  </si>
  <si>
    <t>NO ESTA EN EL SERVICIO</t>
  </si>
  <si>
    <t>16/18 horas</t>
  </si>
  <si>
    <t>FORZA 403 WD</t>
  </si>
  <si>
    <t>GENERICA</t>
  </si>
  <si>
    <t>P.T.V. 15</t>
  </si>
  <si>
    <t>CATANESE</t>
  </si>
  <si>
    <t>NC3M</t>
  </si>
  <si>
    <t>PASAC</t>
  </si>
  <si>
    <t>FC 100</t>
  </si>
  <si>
    <t>16/24 HORAS</t>
  </si>
  <si>
    <t>16/20 HORAS</t>
  </si>
  <si>
    <t xml:space="preserve">HIDROLAVADORA  </t>
  </si>
  <si>
    <t>20/24 horas</t>
  </si>
  <si>
    <t>20/26 horas</t>
  </si>
  <si>
    <t>NIEVA</t>
  </si>
  <si>
    <t>JEREMIAS</t>
  </si>
  <si>
    <t>BANEGA</t>
  </si>
  <si>
    <t>HS/DÍA</t>
  </si>
  <si>
    <t>Mabxience Edif Munro</t>
  </si>
  <si>
    <t>BEGA</t>
  </si>
  <si>
    <t>por semana</t>
  </si>
  <si>
    <t>Mabxience Garin</t>
  </si>
  <si>
    <t xml:space="preserve">por dia </t>
  </si>
  <si>
    <t>Sinergium Biotech Garin</t>
  </si>
  <si>
    <t>quincenal</t>
  </si>
  <si>
    <t>por dia</t>
  </si>
  <si>
    <t>Atlas Copco</t>
  </si>
  <si>
    <t>GONZALEZ</t>
  </si>
  <si>
    <t>2  por semana</t>
  </si>
  <si>
    <t>1 por semana</t>
  </si>
  <si>
    <t>2 por semana</t>
  </si>
  <si>
    <t>Casa de Moneda Panam. Km 25,8</t>
  </si>
  <si>
    <t>1 por dia</t>
  </si>
  <si>
    <t>2 por sema</t>
  </si>
  <si>
    <t>por sema</t>
  </si>
  <si>
    <t>30 minutos</t>
  </si>
  <si>
    <t>ASPIRADORA INDUSTRIAL TRIFASICA</t>
  </si>
  <si>
    <t>TX 5</t>
  </si>
  <si>
    <t>Dosam Planta Garin</t>
  </si>
  <si>
    <t>50 minutos</t>
  </si>
  <si>
    <t>Elhymec Sacif Gral Pacheco</t>
  </si>
  <si>
    <t>Igarreta Maq. Pana 28500D. Torcuato</t>
  </si>
  <si>
    <t>1 semana</t>
  </si>
  <si>
    <t>Igarreta Maq. Pana 28800D. Torcuato</t>
  </si>
  <si>
    <t>Metagal Villa de Mayo</t>
  </si>
  <si>
    <t>Telecentro Malvinas</t>
  </si>
  <si>
    <t>20 minutos</t>
  </si>
  <si>
    <t>1 por  15 dias</t>
  </si>
  <si>
    <t>Texameri Don Torcuato</t>
  </si>
  <si>
    <t>Ceiling Lindal Argentina</t>
  </si>
  <si>
    <t>ASPIRADORA  20 VOLT</t>
  </si>
  <si>
    <t>TOTAL</t>
  </si>
  <si>
    <t>LITHIUM-ION VACUUM CLEANER</t>
  </si>
  <si>
    <t>WINNER MACHINES</t>
  </si>
  <si>
    <t>Beéma 429</t>
  </si>
  <si>
    <t>Ceiling Ulma Andamios</t>
  </si>
  <si>
    <t>ABBVIE</t>
  </si>
  <si>
    <t>FARIAS</t>
  </si>
  <si>
    <t>todos los días</t>
  </si>
  <si>
    <t>ADIDAS CUYO</t>
  </si>
  <si>
    <t>SUPER SCRUBBER</t>
  </si>
  <si>
    <t>NIKE TOM</t>
  </si>
  <si>
    <t>MANSERU</t>
  </si>
  <si>
    <t>Nike Edif. Libertador</t>
  </si>
  <si>
    <t>CELSUR TORTUGUITAS</t>
  </si>
  <si>
    <t>NT 35/1 Eco</t>
  </si>
  <si>
    <t>FINNING RENTAL</t>
  </si>
  <si>
    <t>2 hr</t>
  </si>
  <si>
    <t>S-10</t>
  </si>
  <si>
    <t>FINNING TORTUGUITAS</t>
  </si>
  <si>
    <t>3 por semana</t>
  </si>
  <si>
    <t>SCRUBBER</t>
  </si>
  <si>
    <t>TASKI</t>
  </si>
  <si>
    <t>4 hs</t>
  </si>
  <si>
    <t>NAPSAC 424</t>
  </si>
  <si>
    <t>GMRA/ MIRGOR</t>
  </si>
  <si>
    <t>AIR FORCE X 2</t>
  </si>
  <si>
    <t>Fratelli Branca Edif Costa Rica 4451</t>
  </si>
  <si>
    <t xml:space="preserve">quincena </t>
  </si>
  <si>
    <t>HIDROLAVADORA AF/AC</t>
  </si>
  <si>
    <t>LAVA FREGADORA</t>
  </si>
  <si>
    <t>BR 40</t>
  </si>
  <si>
    <t>Motomecanica</t>
  </si>
  <si>
    <t>Akzo Nobel V. Martelli</t>
  </si>
  <si>
    <t>VARGAS</t>
  </si>
  <si>
    <t>1 por mes</t>
  </si>
  <si>
    <t>Ceiling Bosch Rexroth Saic</t>
  </si>
  <si>
    <t>Celsur  Pilar 3</t>
  </si>
  <si>
    <t>LSU 35</t>
  </si>
  <si>
    <t>Celsur Pilar 3</t>
  </si>
  <si>
    <t>DVS V. Lynch</t>
  </si>
  <si>
    <t>Ferrero Planta Los Cardales</t>
  </si>
  <si>
    <t>GHIBLI</t>
  </si>
  <si>
    <t>KT200/15</t>
  </si>
  <si>
    <t>Flint Ink San Martin</t>
  </si>
  <si>
    <t>710-R</t>
  </si>
  <si>
    <t>BATERIA</t>
  </si>
  <si>
    <t>Limpiolux Equip. Vidrieros (Z. Norte)</t>
  </si>
  <si>
    <t>S-32</t>
  </si>
  <si>
    <t>Pepsico Munro</t>
  </si>
  <si>
    <t>Techmob</t>
  </si>
  <si>
    <t>Telecentro Constituyentes 2000</t>
  </si>
  <si>
    <t>Telecentro San Martin</t>
  </si>
  <si>
    <t>Toyota Of Martinez</t>
  </si>
  <si>
    <t>Adidas Solei Factory</t>
  </si>
  <si>
    <t>CACERES</t>
  </si>
  <si>
    <t>Al Rio Sport Club</t>
  </si>
  <si>
    <t>Cazenave</t>
  </si>
  <si>
    <t>Firmenich Edif. Panamericana</t>
  </si>
  <si>
    <t>1,30 hs</t>
  </si>
  <si>
    <t>Havanna</t>
  </si>
  <si>
    <t>Jockey Club Hospiltal Veterinario S. Isidro</t>
  </si>
  <si>
    <t>Jockey Club S. Isidro</t>
  </si>
  <si>
    <t>ERGODISC 2000-01449</t>
  </si>
  <si>
    <t>Nike Solei</t>
  </si>
  <si>
    <t>Toyota Material Handling</t>
  </si>
  <si>
    <t>1 hr</t>
  </si>
  <si>
    <t>Unicenter</t>
  </si>
  <si>
    <t>IMAGE 16IX</t>
  </si>
  <si>
    <t>DULEVO</t>
  </si>
  <si>
    <t>SOPLADORA ELECTRICA</t>
  </si>
  <si>
    <t>LAVADORA A VAPOR</t>
  </si>
  <si>
    <t>HD 10/21 4S</t>
  </si>
  <si>
    <t>400 W IPX4</t>
  </si>
  <si>
    <t>HD 5/11 C</t>
  </si>
  <si>
    <t>Southbay Unicenter</t>
  </si>
  <si>
    <t>MÁQUINAS</t>
  </si>
  <si>
    <t>Vialidad Region 16 Santa Cruz Errazurriz</t>
  </si>
  <si>
    <t xml:space="preserve">ANDRADA </t>
  </si>
  <si>
    <t>Vialidad Region 12 Bahia Blanca</t>
  </si>
  <si>
    <t>Banco de la Pampa Suc. Reconquista</t>
  </si>
  <si>
    <t>Jones Lang LaSalle Uspallata</t>
  </si>
  <si>
    <t>Unidad de Info. Financiera</t>
  </si>
  <si>
    <t>MARIO DIDONE</t>
  </si>
  <si>
    <t>Pepsico Gral. Salvio</t>
  </si>
  <si>
    <t>Vialidad Region 3 Mendoza</t>
  </si>
  <si>
    <t>MENDOZA</t>
  </si>
  <si>
    <t>Centro Dist. Mendoza</t>
  </si>
  <si>
    <t>P-45</t>
  </si>
  <si>
    <t>Celsur Gral Rodriguez</t>
  </si>
  <si>
    <t>PALACIOS</t>
  </si>
  <si>
    <t>PULVERIZADOR ELECTRICO</t>
  </si>
  <si>
    <t>SONIK TECH</t>
  </si>
  <si>
    <t>Jones Lang Google Ali</t>
  </si>
  <si>
    <t>SABINA LEIVA</t>
  </si>
  <si>
    <t>Ministerio de Haciendo Edif. Alsina 470</t>
  </si>
  <si>
    <t>ERGODISC 165</t>
  </si>
  <si>
    <t>Ministerio de Haciendo Edif. Paseo Colon</t>
  </si>
  <si>
    <t>AIR FORCE S 202</t>
  </si>
  <si>
    <t>Tuteur Planta Eva Peron</t>
  </si>
  <si>
    <t>Gamma</t>
  </si>
  <si>
    <t>Loma Negra Planta San Juan</t>
  </si>
  <si>
    <t>SAN JUAN</t>
  </si>
  <si>
    <t xml:space="preserve">SANTA CRUZ </t>
  </si>
  <si>
    <t>Inti Tucuman</t>
  </si>
  <si>
    <t>TUCUMAN</t>
  </si>
  <si>
    <t>CIM</t>
  </si>
  <si>
    <t>Scania Tucuman</t>
  </si>
  <si>
    <t>FORZA 402</t>
  </si>
  <si>
    <t xml:space="preserve">TUCUMAN </t>
  </si>
  <si>
    <t xml:space="preserve">2/3hs </t>
  </si>
  <si>
    <t>los dias sabados</t>
  </si>
  <si>
    <t>1hs</t>
  </si>
  <si>
    <t>20min</t>
  </si>
  <si>
    <t>semanal</t>
  </si>
  <si>
    <t>1:40hs</t>
  </si>
  <si>
    <t>3/4hs</t>
  </si>
  <si>
    <t xml:space="preserve">1 o 2 veces por semana </t>
  </si>
  <si>
    <t xml:space="preserve">6hs </t>
  </si>
  <si>
    <t xml:space="preserve">diario </t>
  </si>
  <si>
    <t xml:space="preserve">2hs </t>
  </si>
  <si>
    <t xml:space="preserve">4hs </t>
  </si>
  <si>
    <t xml:space="preserve">las maquinas se las quedo el cliente. Estan vendidas </t>
  </si>
  <si>
    <t xml:space="preserve">diaria </t>
  </si>
  <si>
    <t>Abbot Planta</t>
  </si>
  <si>
    <t xml:space="preserve">Leo Baez </t>
  </si>
  <si>
    <t>Celsur Cañelas</t>
  </si>
  <si>
    <t>Centro Dist. Ezeiza</t>
  </si>
  <si>
    <t>Loma Negra Vicente Casares</t>
  </si>
  <si>
    <t>SAMBA</t>
  </si>
  <si>
    <t>Planta Carnes Ezeiza</t>
  </si>
  <si>
    <t>ANDRADA</t>
  </si>
  <si>
    <t>Galileo Tech Vicente Lopez</t>
  </si>
  <si>
    <t>Galileo Tech Saenz Peña</t>
  </si>
  <si>
    <t>Galileo Tech San Martin</t>
  </si>
  <si>
    <t>Stilo WG</t>
  </si>
  <si>
    <t>TUV RHEINLAND</t>
  </si>
  <si>
    <t>Nike Los Arcos</t>
  </si>
  <si>
    <t>LAB. LOVE SUDAMERICANA - MATADEROS</t>
  </si>
  <si>
    <t>ANAC - Balcarce 290 CABA</t>
  </si>
  <si>
    <t>diario</t>
  </si>
  <si>
    <t>DALFILM S. A</t>
  </si>
  <si>
    <t>ANAC -Aeropuerto de Morón</t>
  </si>
  <si>
    <t>ANAC - Aeroparque Newbery</t>
  </si>
  <si>
    <t>ANAC - Aeropuerto de Moron</t>
  </si>
  <si>
    <t>OCSA QUINTANA CABA</t>
  </si>
  <si>
    <t>ORTIZ</t>
  </si>
  <si>
    <t>Motomecanica Munro</t>
  </si>
  <si>
    <t>PAULA GALVEZ</t>
  </si>
  <si>
    <t>Operativos</t>
  </si>
  <si>
    <t xml:space="preserve">semanal </t>
  </si>
  <si>
    <t>bimestral</t>
  </si>
  <si>
    <t>ALE GAONA</t>
  </si>
  <si>
    <t>BACO VALORES EDIF SALGUERO</t>
  </si>
  <si>
    <t>A pedido</t>
  </si>
  <si>
    <t>no esta en uso porque se quitaron las alfombras del servicio</t>
  </si>
  <si>
    <t>no está en el servicio</t>
  </si>
  <si>
    <t>Telecentro HUB Ituzaingo</t>
  </si>
  <si>
    <t>Aerolineas Argentinas Aeroparque</t>
  </si>
  <si>
    <t>mensual</t>
  </si>
  <si>
    <t>trimestral</t>
  </si>
  <si>
    <t>tres veces por semana</t>
  </si>
  <si>
    <t xml:space="preserve">3 veces por semana </t>
  </si>
  <si>
    <t>INSTITUTO MASSONE S. A. Parque Inst. Pilar</t>
  </si>
  <si>
    <t>QUINCENAL</t>
  </si>
  <si>
    <t>TRIMESTRAL</t>
  </si>
  <si>
    <t>Donada a cliente (Eduardo Souza año 2003)</t>
  </si>
  <si>
    <t>General Motors</t>
  </si>
  <si>
    <t>ANAC - Aeropuerto Ezeiza</t>
  </si>
  <si>
    <t>en reparación</t>
  </si>
  <si>
    <t>LIMPIOLUX S. A. - C. I. M. STOCK</t>
  </si>
  <si>
    <t>DE BAJA</t>
  </si>
  <si>
    <t>MÁQUINAS ELÉCTRICAS</t>
  </si>
  <si>
    <t>Distribuidora Cañon</t>
  </si>
  <si>
    <t>16hs</t>
  </si>
  <si>
    <t>CENCOSUD S.A., - UNICENTER SHOPPING</t>
  </si>
  <si>
    <t>EVELYN</t>
  </si>
  <si>
    <t>DADA DE BAJA</t>
  </si>
  <si>
    <t>CELSUR - GRAL RODRIGUEZ</t>
  </si>
  <si>
    <t>ANAC - EZEIZA  Centro de Instrucción, perfeccionamiento y experimentación CIPE Aerop. M. Pistarini</t>
  </si>
  <si>
    <t>QUIMICA MONTPELLIER S.A, - EDIF VIRREY LINIERS 667</t>
  </si>
  <si>
    <t>A.T.I.L.R.A. - EDIFICIO BOATTI 140 - MORON</t>
  </si>
  <si>
    <t>QUIMICA MONTPELLIER S.A, - POLO FARMACEUTICO</t>
  </si>
  <si>
    <t>CRANE WORLDWIDE LOGISTICS ARGENTINA S.A. - OF. ESTADOS UNIDOS 20 - Piso 3°</t>
  </si>
  <si>
    <t>MINISTERIO DE HACIENDA - CASA CENTRAL -  YRIGOYEN 250</t>
  </si>
  <si>
    <t>LX ARGENTINA</t>
  </si>
  <si>
    <t>NUEVO BANCO DE SANTA FE S.A. - CASA CENTRAL ROSARIO</t>
  </si>
  <si>
    <t>CENCOSUD S.A., - CENTRO DE DISTRIBUCION EZEIZA</t>
  </si>
  <si>
    <t xml:space="preserve">CEILING SOLUTIONS S.A. - FRIGORIFICO RIOSMA SOCIEDAD ANONIMA - EDIF. MATADEROS </t>
  </si>
  <si>
    <t>ABBOTT LABORATORIES ARGENTINA S.A.. - ABBOTT PLANTA</t>
  </si>
  <si>
    <t>CENCOSUD S.A., - PLANTA DE CARNES - EZEIZA</t>
  </si>
  <si>
    <t>LIMPIOLUX S. A. - C. I. M. REPARACIONES</t>
  </si>
  <si>
    <t>CUSHMAN &amp; WAKEFIELD ARGENTINA SRL - ADIDAS CUYO - SAN ISIDRO</t>
  </si>
  <si>
    <t>BOLSA DE COMERCIO DE BUENOS AIRES - EDIF SARMIENTO 299</t>
  </si>
  <si>
    <t>METAGAL ARGENTINA S.A. - EDIFICIO VILLA DE MAYO</t>
  </si>
  <si>
    <t>AGROFARM S.A. - EDIF MORENO 957 - PISO 10º</t>
  </si>
  <si>
    <t>TOYOTA ARGENTINA S.A.. - PLANTA ZARATE</t>
  </si>
  <si>
    <t>LIMPIOLUX S. A. - LIMPIOLUX S. A. - GERENCIA (PEÑA)</t>
  </si>
  <si>
    <t>LABORATORIOS BAGO S.A.. - EDIF LA PLATA - CALLE 4</t>
  </si>
  <si>
    <t>BANCO DE VALORES. - SUC 25 DE MAYO 311</t>
  </si>
  <si>
    <t>NIKE ARGENTINA S.A. - EDIF LIBERTADOR 2442</t>
  </si>
  <si>
    <t>TOYOTA ARGENTINA S.A.. - AGENCIA LEXUS - LIBERTADOR 860</t>
  </si>
  <si>
    <t>SUPERSONIC</t>
  </si>
  <si>
    <t>LIMPIOLUX S. A. - GERENCIA (EL CAPRICHO)</t>
  </si>
  <si>
    <t>CEILING SOLUTIONS S.A. - JOFRE &amp; CIA S.A COMERCIO EXTERIOR Y LOGISTICA</t>
  </si>
  <si>
    <t>ATLAS COPCO ARGENTINA S.A.C.I. - EDIF. ESTADOS UNIDOS 5335</t>
  </si>
  <si>
    <t>C-15</t>
  </si>
  <si>
    <t>ELHYMEC SACIF - ELHYMEC- GENERAL PACHECO</t>
  </si>
  <si>
    <t>FINNING ARGENTINA S.A. - VENEZUELA 4021 - TORTUGUITAS</t>
  </si>
  <si>
    <t>DALFILM S.A.</t>
  </si>
  <si>
    <t>JOCKEY CLUB A.C. - HOSPITAL VETERINARIO HIPODROMO DE SAN ISODRO</t>
  </si>
  <si>
    <t>EGGER ARGENTINA S.A. - 25 DE MAYO 359- PISO 15°</t>
  </si>
  <si>
    <t>CASA DE MONEDA - Ruta Panamericana KM. 25,800</t>
  </si>
  <si>
    <t>CEILING SOLUTIONS S.A. - CEILING - Ricardo Nini   (Gral Rodriguez)</t>
  </si>
  <si>
    <t>BANCO DE LA PROVINCIA DE BUENOS AIRES-BANCO PROVINCIA-SAN MARTIN 108</t>
  </si>
  <si>
    <t>INSTITUTO MASSONE S.A. - Pilar</t>
  </si>
  <si>
    <t>MINISTERIO DE HACIENDA - EDIF. AGAN  EDISON Y R. OBLIGADO</t>
  </si>
  <si>
    <t>MOTOMECANICA ARG. S.A.. - MOTOMECANICA ARG. S.A.</t>
  </si>
  <si>
    <t>LIMPIOLUX S. A. - LIMPIOLUX - FRERS 1</t>
  </si>
  <si>
    <t xml:space="preserve">NUEVO BANCO DE SANTA FE S.A. - AGENCIA LISANDRO DE LA TORRE </t>
  </si>
  <si>
    <t>TUTEUR S.A.C.I.F.I.A. - ENCARNACIÓN EZCURRA 365 - C.A.B.A.</t>
  </si>
  <si>
    <t>NIKE ARGENTINA S.A. - LOCAL AV. RIVADAVIA 8961 - C.A.B.A.</t>
  </si>
  <si>
    <t>LIMPIOLUX S. A. - SUC. CÓRDOBA</t>
  </si>
  <si>
    <t>MS SYNTHON BAGO S.A. - LIMA 369 PISO 5 - C.A.B.A.</t>
  </si>
  <si>
    <t>CENCOSUD S.A., - CENTRO DE DISTRIBUCIÓN - MENDOZA</t>
  </si>
  <si>
    <t>NUEVO BANCO DE SANTA FE S.A. - AGENCIA TRIBUNALES ROSARIO</t>
  </si>
  <si>
    <t>IRSA Inversiones y Representaciones S.A - ABASTO SHOPPING</t>
  </si>
  <si>
    <t>CAUTELA S.A. - EDIF. PTE. PERON 537</t>
  </si>
  <si>
    <t>CEILING SOLUTIONS S.A. - BROUWER PATERNAL</t>
  </si>
  <si>
    <t>LIMPIOLUX S. A. - GERENCIA (HARAS)</t>
  </si>
  <si>
    <t>LOMA NEGRA CIASA - PLANTA SAN JUAN - LIMPIEZA INDUSTRIAL</t>
  </si>
  <si>
    <t>NUEVO BANCO DE SANTA FE S.A. - AGENCIA SAN MARTÍN</t>
  </si>
  <si>
    <t>CUSHMAN &amp; WAKEFIELD ARGENTINA SRL-CUSHMAN- ViILLA URQUIZA</t>
  </si>
  <si>
    <t>NUEVO BANCO DE SANTA FE S.A. - AGENCIA CAFERATTA</t>
  </si>
  <si>
    <t>CEILING SOLUTIONS S.A. - BOSCH REXROTH SAIC</t>
  </si>
  <si>
    <t>NIKE ARGENTINA S.A. - LOCAL LOS ARCOS - PARAGUAY 4979 - C.A.B.A.</t>
  </si>
  <si>
    <t>VICENTE TAMARIT SOCIEDAD ANONIMA-CABILDO 1451 - VILLA MADERO</t>
  </si>
  <si>
    <t>CEILING SOLUTIONS S.A. -- CONSORCIO 3 DE FEBRERO</t>
  </si>
  <si>
    <t>NIKE ARGENTINA S.A. - LOCAL SANTA FE 3253 - CABA</t>
  </si>
  <si>
    <t>PARKER HANNIFIN ARGENTINA SAIC - EDIF. STEPHENSON 2711 - TORTUGUITAS</t>
  </si>
  <si>
    <t>PANALPINA - EZEIZA</t>
  </si>
  <si>
    <t>BANCO DE LA PAMPA - SUC RECONQUISTA 319/327</t>
  </si>
  <si>
    <t>JONES LANG LASALLE S.R.L. - USPALLATA</t>
  </si>
  <si>
    <t>NIKE ARGENTINA S.A. - EDIF. CALIFORNIA 2098</t>
  </si>
  <si>
    <t>CRANE WORLDWIDE LOGISTICS ARGENTINA S.A. - EDIFICIO ZARATE</t>
  </si>
  <si>
    <t>TEXAMERI S.A. - EDIF. Marcelo T de Alvear 1787 (ruta 202)-Don Torcuato</t>
  </si>
  <si>
    <t>YAMAHA MOTOR ARGENTINA S.A. - PLANTA III - GRAL RODRIGUEZ - RUTA 24 KM 20,500</t>
  </si>
  <si>
    <t>AHITACHI BARRACAS</t>
  </si>
  <si>
    <t>UNIDAD DE INFORMACION FINANCIERA - EDIF. AV. DE MAYO 761</t>
  </si>
  <si>
    <t>MINISTERIO DE HACIENDA - EDIF. GRAL. M. DE GUEMES Y EL PAYADOR</t>
  </si>
  <si>
    <t>JOCKEY CLUB A.C. - HIPODROMO DE SAN ISIDRO</t>
  </si>
  <si>
    <t>LOMA NEGRA CIASA - PLANTA VICENTE CASARES - LIMPIEZA INDUSTRIAL</t>
  </si>
  <si>
    <t>S. A. LA NACION - EDIF ZEPITA - PLANTA</t>
  </si>
  <si>
    <t>BANCO DE VALORES S.A. - DEPOSITO POMPEYA</t>
  </si>
  <si>
    <t>TUTEUR S.A.C.I.F.I.A. - EDIF. JUAN DE GARAY</t>
  </si>
  <si>
    <t>CEILING SOLUTIONS S.A. - Unibroker</t>
  </si>
  <si>
    <t>TM 50</t>
  </si>
  <si>
    <t>HAVANNA S.A,. - SALTA 368 - MAR DEL PLATA</t>
  </si>
  <si>
    <t>ELECTROLUX</t>
  </si>
  <si>
    <t>FAMILIAR</t>
  </si>
  <si>
    <t>FIRMENICH SAIC Y F - EDIF PANAMERICANA KM 24.5</t>
  </si>
  <si>
    <t>CLEANFIX</t>
  </si>
  <si>
    <t>CELSUR LOGISTICA S.A. - TORTUGUITAS</t>
  </si>
  <si>
    <t>INTI - PLANTA - MAR DEL PLATA</t>
  </si>
  <si>
    <t>GALILEO TECH - Saenz Peña</t>
  </si>
  <si>
    <t>IRAM - CABA</t>
  </si>
  <si>
    <t>FAMAR FUEGUINA S.A. - RODNEY</t>
  </si>
  <si>
    <t>QUIMICA MONTPELLIER S.A, - EDIF PUAN 715</t>
  </si>
  <si>
    <t>TM 25</t>
  </si>
  <si>
    <t>TELECENTRO S.A. - J. M. DE ROSAS 2860 - PLANTA TELECENTRO - SAN JUSTO</t>
  </si>
  <si>
    <t>LIMPIOLUX S. A. - SUC. MAR DEL PLATA</t>
  </si>
  <si>
    <t>IGARRETA MAQUINAS S.A. - PANAMERICANA 28500 - DON TORCUATO</t>
  </si>
  <si>
    <t>TELECENTRO S.A. - TINOGASTA 4851 CABA</t>
  </si>
  <si>
    <t>NUEVO BANCO DE SANTA FE S.A. - EDIF SARGENTO CABRAL 156</t>
  </si>
  <si>
    <t>FRATELLI BRANCA DESTILERIAS SOCIEDAD ANONIMA - EDIFICIOS COSTA RICA 4451 - TORTUGUITAS</t>
  </si>
  <si>
    <t>PULLMAN HOLT</t>
  </si>
  <si>
    <t>FM 2000</t>
  </si>
  <si>
    <t>TOYOTA MATERIAL HANDLING MERCOSUR COM.DE EQUIP. LTDA. - EDIF. PARIS 165 - DON TORCUATO</t>
  </si>
  <si>
    <t>ADMINISTRACION NACIONAL DE AVIACION CIVIL (ANAC) -caba</t>
  </si>
  <si>
    <t>OIL  TANKING EBYTEM - OFICINAS SAN ISIDRO</t>
  </si>
  <si>
    <t>LIMPIOLUX S. A. - GERENCIA (ROSITA)</t>
  </si>
  <si>
    <t>CEILING SOLUTIONS S.A. - CEILING - LINDAL ARGENTINA SA</t>
  </si>
  <si>
    <t>VUTEQ ARGENTINA S.R.L. - VUTEQ ZARATE</t>
  </si>
  <si>
    <t>CURCIJA SOCIEDAD ANONIMA - EDIF AV. LEANDRO N. ALEM 1050 PISO 8º "B"</t>
  </si>
  <si>
    <t>INTI - RETIRO</t>
  </si>
  <si>
    <t>NUEVO BANCO DE SANTA FE S.A. - AGENCIA ECHESORTU</t>
  </si>
  <si>
    <t>ADVANCE</t>
  </si>
  <si>
    <t>MINISTERIO DE HACIENDA - EDIF. AV. PASEO COLON 275 O. 4º Y 12</t>
  </si>
  <si>
    <t>SMS S.A. - B. DE IRIGOYEN 972 - 6° Y 7° PISO - C.A.B.A.</t>
  </si>
  <si>
    <t>QBOX SOCIEDAD ANONIMA - EDIF. CAMPANA</t>
  </si>
  <si>
    <t>LIMPIOLUX S. A. - GERENCIA (CASA MAR DEL PLATA)</t>
  </si>
  <si>
    <t>CLICOH EXPRESS S.A.S - ALEJANDRO M.  CERVANTES 1433</t>
  </si>
  <si>
    <t>PEPSICO DE ARGENTINA S.R.L. - CALLE 3 Y 8 - PQUE. IND. GRAL. SAVIO</t>
  </si>
  <si>
    <t>DOSAM S.R.L. - PLANTA GARÍN</t>
  </si>
  <si>
    <t>TX 3</t>
  </si>
  <si>
    <t>MABXIENCE SAU - ZABALA 1040 GARIN</t>
  </si>
  <si>
    <t>ALGODONERA ACONCAGUA S.A. - EDIFICIO WILDE</t>
  </si>
  <si>
    <t>CORTADORA DE CESPED ELECTRICA</t>
  </si>
  <si>
    <t>SOUTHBAY SRL - ABASTO</t>
  </si>
  <si>
    <t>CENCOSUD S.A., - PLANTA PANIFICADORA - ITUZAINGO</t>
  </si>
  <si>
    <t>CELSUR LOGISTICA S.A. - CAÑUELAS</t>
  </si>
  <si>
    <t>SKUVA</t>
  </si>
  <si>
    <t>QUIMICA MONTPELLIER S.A, - EDIF MAZA 578</t>
  </si>
  <si>
    <t>SOUTHBAY SRL</t>
  </si>
  <si>
    <t>BATEADORA-ASPIRADORA</t>
  </si>
  <si>
    <t>CV-618</t>
  </si>
  <si>
    <t>LIMPIOLUX S. A. - GERENCIA (OTROS PARTICULARES)</t>
  </si>
  <si>
    <t>FS 280</t>
  </si>
  <si>
    <t>ANDREANI LOGISTICA S.A. - DEPOSITO RUTA 88 KM. 2,5  MAR DEL PLATA</t>
  </si>
  <si>
    <t>CORVER</t>
  </si>
  <si>
    <t>FINNING ARGENTINA S.A. - AV. JAPON 832 - CORDOBA</t>
  </si>
  <si>
    <t>103-P/A</t>
  </si>
  <si>
    <t>CIA. GENERAL DE TRANSACCIONES - EDIF. PARQUE PATRICIOS - COLONIA 25 - C.A.B.A.</t>
  </si>
  <si>
    <t>ADMINISTRACION NACIONAL DE AVIACIÓN CIVIL (ANAC) - Aerop. Tandil</t>
  </si>
  <si>
    <t>CASA DE MONEDA - RETIRO</t>
  </si>
  <si>
    <t>CARGADOR DE BATERIA 36V</t>
  </si>
  <si>
    <t>CARGADOR DE BATERIA 24V</t>
  </si>
  <si>
    <t>ADMINISTRACION NACIONAL DE AVIACIÓN CIVIL (ANAC) - Aerop. Internacional Neuquén</t>
  </si>
  <si>
    <t>ADMINISTRACION NACIONAL DE AVIACIÓN CIVIL (ANAC) - Com. Rivadavia</t>
  </si>
  <si>
    <t>ALLIANZ ARGENTINA CIA DE SEGUROS S.A. - AV COLON ESQ. GUEMES - MAR DEL PLATA</t>
  </si>
  <si>
    <t>ELABORADORA ARGENTINA DE CEREALES SRL - PLANTA BARRACAS</t>
  </si>
  <si>
    <t>FERRERO ARGENTINA S.A. - PLANTA  LOS CARDALES</t>
  </si>
  <si>
    <t>HIDROLAVADORA A.CALIENTE ELEC.</t>
  </si>
  <si>
    <t>TORO 200</t>
  </si>
  <si>
    <t>LANXESS S.A. - EDIF BURZACO</t>
  </si>
  <si>
    <t>N.R.G. S.A. - EDIF. SUIPACHA 414</t>
  </si>
  <si>
    <t>A.T.I.L.R.A. - EDIF. AV. INDEPENDENCIA 3332</t>
  </si>
  <si>
    <t>STYLUS S.A. - EDIF. OLAVARRIA 1964 -C.A.B.A.</t>
  </si>
  <si>
    <t>FUNDACION MUSEO DE LOS NIÑOS - FUNDACION MUSEO DE LOS NIÑOS</t>
  </si>
  <si>
    <t>MOLINOS BENVENUTO S.A - EDIFICIO CATAMARCA 1053</t>
  </si>
  <si>
    <t>IMA MAI S.A. - OF MAR DEL PLATA - DIV MAQUINAS</t>
  </si>
  <si>
    <t>HFC 1405 CGB</t>
  </si>
  <si>
    <t>NUEVO BANCO DE SANTA FE S.A. - CALL CENTER RIOJA 920 - ROSARIO</t>
  </si>
  <si>
    <t>LOMA NEGRA CIASA - PLANTA SAN JUAN - LIMPIEZA EDILICIA</t>
  </si>
  <si>
    <t>EXTERNAL MARKET S.R.L. - SARGENTO CABRAL 4235 - MUNRO</t>
  </si>
  <si>
    <t>APA</t>
  </si>
  <si>
    <t>CLEAN MATIC</t>
  </si>
  <si>
    <t>CL 22</t>
  </si>
  <si>
    <t>CARGADOR DE BATERIA DE 12V</t>
  </si>
  <si>
    <t>AMERICAN LINCOLN</t>
  </si>
  <si>
    <t>CELSUR LOGISTICA S.A. - PILAR 3</t>
  </si>
  <si>
    <t xml:space="preserve">SOUTHBAY SRL, TOM SHOPPING TORTUGAS OPEN MALL </t>
  </si>
  <si>
    <t>CAMARA DEL COMERCIO AUTOMOTOR. - EDIFICIO  SOLER 3909</t>
  </si>
  <si>
    <t>DIVERSEY DE ARGENTINA S.A. - EX DIVERSILEVER V. BOSCH</t>
  </si>
  <si>
    <t>S20 E</t>
  </si>
  <si>
    <t>UNION TRAB GASTR REP ARG SECC AVELLANEDADELEGACION TEMPERLEY-CASA PARTICULAR –Dorrego 539</t>
  </si>
  <si>
    <t>SS-20</t>
  </si>
  <si>
    <t>TURBO 4000</t>
  </si>
  <si>
    <t>LOMA NEGRA CIASA - PLANTA RAMALLO LZA. INDUSTRIAL (AOMA)</t>
  </si>
  <si>
    <t>MDA</t>
  </si>
  <si>
    <t>Super Scrubber</t>
  </si>
  <si>
    <t>VERBAT</t>
  </si>
  <si>
    <t>T I 2440/2</t>
  </si>
  <si>
    <t>Soteco</t>
  </si>
  <si>
    <t>Genius 650</t>
  </si>
  <si>
    <t>24V 30 A/h</t>
  </si>
  <si>
    <t>ROBUST</t>
  </si>
  <si>
    <t>LIMPIOLUX S. A. - OPERACIONES - RAIMONDO</t>
  </si>
  <si>
    <t>Swingo 450E</t>
  </si>
  <si>
    <t>GENERAL MOTORS - GENERAL MOTORS - SANTA FE</t>
  </si>
  <si>
    <t>FMT</t>
  </si>
  <si>
    <t>Sutter Argentina</t>
  </si>
  <si>
    <t>MORI L. RADDRIZZATORI</t>
  </si>
  <si>
    <t>36V</t>
  </si>
  <si>
    <t>TELECENTRO S.A. - FLORES - BOYACA 80</t>
  </si>
  <si>
    <t>DESTAPACAÑERIAS ELECTRICO</t>
  </si>
  <si>
    <t>ALDRE</t>
  </si>
  <si>
    <t>K-60</t>
  </si>
  <si>
    <t>AXIS</t>
  </si>
  <si>
    <t>HDS 6/14</t>
  </si>
  <si>
    <t>HD 1040 B</t>
  </si>
  <si>
    <t>SIDERCA SAIC - SIDERCA EL TALAR</t>
  </si>
  <si>
    <t>ROEMMERS-SAICF</t>
  </si>
  <si>
    <t>24 V</t>
  </si>
  <si>
    <t>ADMINISTRACION NACIONAL DE AVIACIÓN CIVIL (ANAC) - Cabecera DRNOC</t>
  </si>
  <si>
    <t>DÓLAR</t>
  </si>
  <si>
    <t>AT 24</t>
  </si>
  <si>
    <t>PURA POTENCIA</t>
  </si>
  <si>
    <t>CARJET</t>
  </si>
  <si>
    <t>SIMPLOT ARGENTINA S.R.L. - Simplot Mendoza</t>
  </si>
  <si>
    <t>LUSTRADORA  ALTA VELOCIDAD H A BORDO</t>
  </si>
  <si>
    <t>COMAC</t>
  </si>
  <si>
    <t>COMAC CM 70HS PLUS</t>
  </si>
  <si>
    <t>NSS E Force Burn</t>
  </si>
  <si>
    <t>MICROPOWER</t>
  </si>
  <si>
    <t>924330-5152</t>
  </si>
  <si>
    <t>SOUTHBAY SRL - CORDOBA CAPITAL</t>
  </si>
  <si>
    <t>IRSA Inversiones y Representaciones S.A - MUSEO DE LOS NIÑOS</t>
  </si>
  <si>
    <t>ZONIK</t>
  </si>
  <si>
    <t>ALLIANZ ARGENTINA CIA DE SEGUROS S.A. - LOCAL CORDOBA</t>
  </si>
  <si>
    <t>YEMY</t>
  </si>
  <si>
    <t>UY1200Z</t>
  </si>
  <si>
    <t>Fang 28T</t>
  </si>
  <si>
    <t>CEILING SOLUTIONS S.A. - RICARDO NINI S.A. - LA PLATA</t>
  </si>
  <si>
    <t>MARTILLO ELECTRICO</t>
  </si>
  <si>
    <t>PF-0120</t>
  </si>
  <si>
    <t>DESMALEZADORA ELECTRICA</t>
  </si>
  <si>
    <t>FSE60</t>
  </si>
  <si>
    <t>LSU275-ARG</t>
  </si>
  <si>
    <t>CARGADOR DE BATERIA 12v-24v</t>
  </si>
  <si>
    <t>AS7690T-US</t>
  </si>
  <si>
    <t>S.P.E.</t>
  </si>
  <si>
    <t>CBHF2,36-25</t>
  </si>
  <si>
    <t>YEWI</t>
  </si>
  <si>
    <t>TENNANT</t>
  </si>
  <si>
    <t>T 300</t>
  </si>
  <si>
    <t>PAMPA</t>
  </si>
  <si>
    <t>AGUA FRIA</t>
  </si>
  <si>
    <t>MH 3C 145/600 PA</t>
  </si>
  <si>
    <t>CEILING SOLUTIONS S.A. - AGCO - GRAL RODRIGUEZ</t>
  </si>
  <si>
    <t>CBHF2 48-20</t>
  </si>
  <si>
    <t>ASPIRO 215</t>
  </si>
  <si>
    <t>CEILING SOLUTIONS S.A. - AGCO HAEDO</t>
  </si>
  <si>
    <t>RE 150</t>
  </si>
  <si>
    <t>UY240-12F10</t>
  </si>
  <si>
    <t>MICROGLOBAL</t>
  </si>
  <si>
    <t>GMRA PLANTA DORINKA - ESCOBAR</t>
  </si>
  <si>
    <t>POWERFIRST</t>
  </si>
  <si>
    <t>PFC0800-24CH25N</t>
  </si>
  <si>
    <t>TWISTER</t>
  </si>
  <si>
    <t>24V 40A</t>
  </si>
  <si>
    <t>MDA 3630</t>
  </si>
  <si>
    <t>LS 160</t>
  </si>
  <si>
    <t>HUSQVARNA</t>
  </si>
  <si>
    <t>QL-3100E</t>
  </si>
  <si>
    <t>PFC0450-24CH15S</t>
  </si>
  <si>
    <t>M24/50</t>
  </si>
  <si>
    <t>INC-CO</t>
  </si>
  <si>
    <t>P20S</t>
  </si>
  <si>
    <t>CARGADOR DE BATERIA 20 V LITIHIUM</t>
  </si>
  <si>
    <t>FCLI2001-4</t>
  </si>
  <si>
    <t>MINICARGADORA</t>
  </si>
  <si>
    <t>LONKING</t>
  </si>
  <si>
    <t>CDM307K</t>
  </si>
  <si>
    <t>CARGADOR DE BATERIA 48V</t>
  </si>
  <si>
    <t>CH03D-WBP-GM01</t>
  </si>
  <si>
    <t>MEICOM</t>
  </si>
  <si>
    <t>HIDROPRO 812 A</t>
  </si>
  <si>
    <t>LIMPIOLUX S. A. - EQUIPO DE VIDRIEROS</t>
  </si>
  <si>
    <t>YEWY</t>
  </si>
  <si>
    <t>LA PARANOLI - TATTERSALL - JOCKEY CLUB</t>
  </si>
  <si>
    <t>ALGODONERA ACONCAGUA S.A. - EDIFICIO WILDE - JARDINERIA</t>
  </si>
  <si>
    <t>ALLIANZ ARGENTINA CIA DE SEGUROS S.A. - Córdoba (Alcorta 86)</t>
  </si>
  <si>
    <t>SOUTHBAY SRL - PASEO ALCORTA</t>
  </si>
  <si>
    <t>BOLSA DE COMERCIO DE BUENOS AIRES - EDIF SARMIENTO 290</t>
  </si>
  <si>
    <t>BOLSA DE COMERCIO DE BUENOS AIRES - EDIF SARMIENTO 291</t>
  </si>
  <si>
    <t>BOLSA DE COMERCIO DE BUENOS AIRES - EDIF SARMIENTO 292</t>
  </si>
  <si>
    <t>BOLSA DE COMERCIO DE BUENOS AIRES - EDIF SARMIENTO 293</t>
  </si>
  <si>
    <t>BOLSA DE COMERCIO DE BUENOS AIRES - EDIF SARMIENTO 294</t>
  </si>
  <si>
    <t>BOLSA DE COMERCIO DE BUENOS AIRES - EDIF SARMIENTO 295</t>
  </si>
  <si>
    <t>BOLSA DE COMERCIO DE BUENOS AIRES - EDIF SARMIENTO 296</t>
  </si>
  <si>
    <t>BOLSA DE COMERCIO DE BUENOS AIRES - EDIF SARMIENTO 297</t>
  </si>
  <si>
    <t>BOLSA DE COMERCIO DE BUENOS AIRES - EDIF SARMIENTO 298</t>
  </si>
  <si>
    <t>BOLSA DE COMERCIO DE BUENOS AIRES - EDIF SARMIENTO 300</t>
  </si>
  <si>
    <t>de baja</t>
  </si>
  <si>
    <t>Agrup. Adm. De Cont. Oncologia Acoyte</t>
  </si>
  <si>
    <t xml:space="preserve">ORTIZ </t>
  </si>
  <si>
    <t>3hs mensuales</t>
  </si>
  <si>
    <t>Agrup. Adm. De Cont. Oncologia Cuba</t>
  </si>
  <si>
    <t>2hs cada 2meses</t>
  </si>
  <si>
    <t>ALTIRA Edif. San Martin</t>
  </si>
  <si>
    <t>ALTIRA Edif. Yrigoyen 4054</t>
  </si>
  <si>
    <t>Banco de Valores Dep. Pompeya</t>
  </si>
  <si>
    <t>6hs mensuales</t>
  </si>
  <si>
    <t>Quimica Lestar</t>
  </si>
  <si>
    <t>Telecentro Catamarca 2026</t>
  </si>
  <si>
    <t>ADIDAS FLORESTA</t>
  </si>
  <si>
    <t>16HS MENSUALES</t>
  </si>
  <si>
    <t>Fundacion Museo de los Niños</t>
  </si>
  <si>
    <t>SUAREZ</t>
  </si>
  <si>
    <t xml:space="preserve">IRSA- Shopping Abasto </t>
  </si>
  <si>
    <t>Allianz Edif. Av. Corrientes</t>
  </si>
  <si>
    <t>Mitolo</t>
  </si>
  <si>
    <t>Banco de Valores Edif. 25 de Mayo</t>
  </si>
  <si>
    <t>Banco de Valores Edif. Sarmiento 314</t>
  </si>
  <si>
    <t>Banco Prov. B.A. San Martin 108</t>
  </si>
  <si>
    <t>no esta</t>
  </si>
  <si>
    <t>Banco Prov. B.A. Sarmiento 362</t>
  </si>
  <si>
    <t>40HS MENSUALES</t>
  </si>
  <si>
    <t>Cautela Edif. Pte Peron</t>
  </si>
  <si>
    <t>Hospital Naval Bs As</t>
  </si>
  <si>
    <t>Sucesores Edif. Peron</t>
  </si>
  <si>
    <t>Toyota Lexus</t>
  </si>
  <si>
    <t>LUCIO RAMOS</t>
  </si>
  <si>
    <t xml:space="preserve">GAONA </t>
  </si>
  <si>
    <t xml:space="preserve">mensual </t>
  </si>
  <si>
    <t>WALTER GONZALEZ</t>
  </si>
  <si>
    <t xml:space="preserve">BAJA  DEL SERVICIO </t>
  </si>
  <si>
    <t xml:space="preserve">30min </t>
  </si>
  <si>
    <t xml:space="preserve">5hs </t>
  </si>
  <si>
    <t xml:space="preserve">15min </t>
  </si>
  <si>
    <t xml:space="preserve">45min </t>
  </si>
  <si>
    <t xml:space="preserve">1:30hs </t>
  </si>
  <si>
    <t>30min</t>
  </si>
  <si>
    <t xml:space="preserve">3hs </t>
  </si>
  <si>
    <t xml:space="preserve">BAJA DEL SERVICIO </t>
  </si>
  <si>
    <t xml:space="preserve">los dias sabados </t>
  </si>
  <si>
    <t xml:space="preserve">ALVAREDO </t>
  </si>
  <si>
    <t xml:space="preserve">quincenal </t>
  </si>
  <si>
    <t xml:space="preserve">7hs </t>
  </si>
  <si>
    <t xml:space="preserve">los sabados </t>
  </si>
  <si>
    <t>5 veces por semana</t>
  </si>
  <si>
    <t>7H</t>
  </si>
  <si>
    <t>Fuera de servicio en espera de rto</t>
  </si>
  <si>
    <t>En reparación</t>
  </si>
  <si>
    <t>2 veces por semana</t>
  </si>
  <si>
    <t>LEO BAEZ</t>
  </si>
  <si>
    <t xml:space="preserve">12hs </t>
  </si>
  <si>
    <t xml:space="preserve">BAJA </t>
  </si>
  <si>
    <t xml:space="preserve">20min </t>
  </si>
  <si>
    <t xml:space="preserve">BANEGA </t>
  </si>
  <si>
    <t>LEO BAZ</t>
  </si>
  <si>
    <t xml:space="preserve">back up </t>
  </si>
  <si>
    <t>MINISTERIO DE HACIENDA - EDIF. CIUDAD EVITA</t>
  </si>
  <si>
    <t>CESAR LOPRESTI</t>
  </si>
  <si>
    <t xml:space="preserve">los viernes </t>
  </si>
  <si>
    <t>GALVEZ</t>
  </si>
  <si>
    <t xml:space="preserve">DSV- EZEIZA </t>
  </si>
  <si>
    <t>6hs</t>
  </si>
  <si>
    <t>CORTADORA CESPED A EXPLOSION</t>
  </si>
  <si>
    <t>GRANJERO</t>
  </si>
  <si>
    <t>TRACTOR</t>
  </si>
  <si>
    <t>MASSEY FERGUSON</t>
  </si>
  <si>
    <t>MF 155</t>
  </si>
  <si>
    <t>DESMALEZADORA P/TRACTOR</t>
  </si>
  <si>
    <t>SOPLADORA A EXPLOSION</t>
  </si>
  <si>
    <t>SR 400</t>
  </si>
  <si>
    <t>DESMALEZADORA A EXPLOSION</t>
  </si>
  <si>
    <t>HIDROLAVADORA A.FRIA EXPLOSION</t>
  </si>
  <si>
    <t>DSL 4300 BD</t>
  </si>
  <si>
    <t>BR 400</t>
  </si>
  <si>
    <t>TRAILER EQUIPO HIDROLAVADO</t>
  </si>
  <si>
    <t>BTA-TOOLS</t>
  </si>
  <si>
    <t>BTA-135</t>
  </si>
  <si>
    <t>OLEO-MAQ</t>
  </si>
  <si>
    <t>740-T</t>
  </si>
  <si>
    <t>FIAT</t>
  </si>
  <si>
    <t>PULIDORA MANUAL</t>
  </si>
  <si>
    <t>BOSCH</t>
  </si>
  <si>
    <t>GPO 14E</t>
  </si>
  <si>
    <t>LUSTRADORA A.VEL.A BATERIA</t>
  </si>
  <si>
    <t>MINUTEMAN</t>
  </si>
  <si>
    <t>PAMS 2600</t>
  </si>
  <si>
    <t>FREGADORA A BATERIA</t>
  </si>
  <si>
    <t>S-32B</t>
  </si>
  <si>
    <t>MOTOSIERRA</t>
  </si>
  <si>
    <t>MS390</t>
  </si>
  <si>
    <t>Swingo 3500</t>
  </si>
  <si>
    <t>BARREDORA A EXPLOSION C/OP. A BORDO</t>
  </si>
  <si>
    <t>120 Elite</t>
  </si>
  <si>
    <t>FIMAP</t>
  </si>
  <si>
    <t>90B</t>
  </si>
  <si>
    <t>POWER BOSS</t>
  </si>
  <si>
    <t>SW9XR</t>
  </si>
  <si>
    <t>MS-361</t>
  </si>
  <si>
    <t>Hanomag</t>
  </si>
  <si>
    <t>CARRO TRANSPORTA BASURA</t>
  </si>
  <si>
    <t>BR-420</t>
  </si>
  <si>
    <t>EUREKA</t>
  </si>
  <si>
    <t>REFLECTOR</t>
  </si>
  <si>
    <t>ALIC</t>
  </si>
  <si>
    <t>500W</t>
  </si>
  <si>
    <t>Swingo 1650</t>
  </si>
  <si>
    <t>Swingo 4000</t>
  </si>
  <si>
    <t>BARREDORA A EXPLOSION</t>
  </si>
  <si>
    <t>BARREDORA A BATERIA</t>
  </si>
  <si>
    <t>FUMIGADORA MANUAL</t>
  </si>
  <si>
    <t>G.D.M.</t>
  </si>
  <si>
    <t>TABLERO ELECTRICO 220 VOLT</t>
  </si>
  <si>
    <t>SWINGO 350B-12791</t>
  </si>
  <si>
    <t>BARRED-FREG. A EXPLOSIÓN C/OP. A BORDO</t>
  </si>
  <si>
    <t>SISTEMA DE ANCLAJE MOVIL</t>
  </si>
  <si>
    <t>SYAM</t>
  </si>
  <si>
    <t>ESPUMADORA</t>
  </si>
  <si>
    <t>DIVERSEY</t>
  </si>
  <si>
    <t>MOTOSIERRA EXTENSIBLE</t>
  </si>
  <si>
    <t>FREGADORA A BATERIA C/OP. A BORDO</t>
  </si>
  <si>
    <t>AS 710 R</t>
  </si>
  <si>
    <t>MS 382</t>
  </si>
  <si>
    <t>ZOOMLION</t>
  </si>
  <si>
    <t>PK504G-A</t>
  </si>
  <si>
    <t>CARRO TANQUE REGADOR</t>
  </si>
  <si>
    <t>CAFITO</t>
  </si>
  <si>
    <t>8000 lts</t>
  </si>
  <si>
    <t>MINITRACTOR CORTA CESPED</t>
  </si>
  <si>
    <t>MTD</t>
  </si>
  <si>
    <t>MTD 420/38</t>
  </si>
  <si>
    <t>SC 900 ST 34D</t>
  </si>
  <si>
    <t>SC 450 20 B</t>
  </si>
  <si>
    <t>SR 1601</t>
  </si>
  <si>
    <t>FUMIGADORA MANUAL 220 V</t>
  </si>
  <si>
    <t>EXPERT 5 LITROS</t>
  </si>
  <si>
    <t>BR 600</t>
  </si>
  <si>
    <t>CORTADORA DE CERCO</t>
  </si>
  <si>
    <t>OLEO-MAC</t>
  </si>
  <si>
    <t>TORO</t>
  </si>
  <si>
    <t>Recycler 22 7.25 HP</t>
  </si>
  <si>
    <t>FREGADORA A BATERIA HOMBRE CAMINADO</t>
  </si>
  <si>
    <t>SC800 ST-34D</t>
  </si>
  <si>
    <t>TS 142</t>
  </si>
  <si>
    <t>HT 56</t>
  </si>
  <si>
    <t>AS530B</t>
  </si>
  <si>
    <t>Wheeled Tractor</t>
  </si>
  <si>
    <t>TE250</t>
  </si>
  <si>
    <t>Aparejo 250-500 kG 220 volt</t>
  </si>
  <si>
    <t>AS1050</t>
  </si>
  <si>
    <t>MINITRACTOR</t>
  </si>
  <si>
    <t>TROY- BILT</t>
  </si>
  <si>
    <t>13B877BS309</t>
  </si>
  <si>
    <t>T500E</t>
  </si>
  <si>
    <t>T7</t>
  </si>
  <si>
    <t>Sweeper</t>
  </si>
  <si>
    <t>T-1</t>
  </si>
  <si>
    <t>FS-220</t>
  </si>
  <si>
    <t>DIBRA</t>
  </si>
  <si>
    <t>R70NTE</t>
  </si>
  <si>
    <t>MS 180 CBE</t>
  </si>
  <si>
    <t>FS 38</t>
  </si>
  <si>
    <t>CHACRA</t>
  </si>
  <si>
    <t>85 S</t>
  </si>
  <si>
    <t>INTEC</t>
  </si>
  <si>
    <t>20 RA</t>
  </si>
  <si>
    <t>SS 32 B</t>
  </si>
  <si>
    <t>JAB</t>
  </si>
  <si>
    <t>HYUNDAI</t>
  </si>
  <si>
    <t>33CC</t>
  </si>
  <si>
    <t>MARTILLO DEMOLEDOR</t>
  </si>
  <si>
    <t>MAKITA</t>
  </si>
  <si>
    <t>MS661-3/4</t>
  </si>
  <si>
    <t>RASTRA DE DISCO</t>
  </si>
  <si>
    <t>RASTRA 24 DISCO</t>
  </si>
  <si>
    <t>BR 420</t>
  </si>
  <si>
    <t>FS 160</t>
  </si>
  <si>
    <t>MS182-3/8"P</t>
  </si>
  <si>
    <t>M.T.D. YARD MACHINES</t>
  </si>
  <si>
    <t>13BJ77KT345</t>
  </si>
  <si>
    <t>BARREDORA MANUAL</t>
  </si>
  <si>
    <t>S6 TWIN</t>
  </si>
  <si>
    <t>SENSEI</t>
  </si>
  <si>
    <t>622 LH EXTRA</t>
  </si>
  <si>
    <t>PS480 PUSH SWEEPER</t>
  </si>
  <si>
    <t>TS 148</t>
  </si>
  <si>
    <t>ECHO</t>
  </si>
  <si>
    <t>PB-755</t>
  </si>
  <si>
    <t>GLADIATOR PROFESIONAL</t>
  </si>
  <si>
    <t>BD74314</t>
  </si>
  <si>
    <t>DEWALT</t>
  </si>
  <si>
    <t>PERFORM PROTECT</t>
  </si>
  <si>
    <t>CRIQUE HIDRAULICO</t>
  </si>
  <si>
    <t>HAMILTON</t>
  </si>
  <si>
    <t>GP 300 N</t>
  </si>
  <si>
    <t>T260</t>
  </si>
  <si>
    <t>MS 212 3/8</t>
  </si>
  <si>
    <t>ALARGUE</t>
  </si>
  <si>
    <t>OPTIMA 85B</t>
  </si>
  <si>
    <t>VEGA 65 BT</t>
  </si>
  <si>
    <t>MS 162 3/8" P</t>
  </si>
  <si>
    <t>VEGA 65 BT-REWATER</t>
  </si>
  <si>
    <t>BARREDORA ACCESORIO MINICARGADORA</t>
  </si>
  <si>
    <t>BAR150</t>
  </si>
  <si>
    <t>620 BAG PLUS ESTRA</t>
  </si>
  <si>
    <t>S960 PULS</t>
  </si>
  <si>
    <t>122 HD 60</t>
  </si>
  <si>
    <t>BOMBA  SUMERGIBLE TRITURADORA</t>
  </si>
  <si>
    <t>MEC</t>
  </si>
  <si>
    <t>WSD25-12-1.1C</t>
  </si>
  <si>
    <t>FREGADORA A BATERIA AUTONOMA</t>
  </si>
  <si>
    <t>ROSIWIT</t>
  </si>
  <si>
    <t>SKYWALKER 50</t>
  </si>
  <si>
    <t>CENTRAL DE CARGA MAQUINA AUTONOMA</t>
  </si>
  <si>
    <t>SKYWALKER 50 XZ-WS50</t>
  </si>
  <si>
    <t>CARGADOR DE BATERIA 19,2V 15 AMP</t>
  </si>
  <si>
    <t>XT70V292A150</t>
  </si>
  <si>
    <t>TITAN 810</t>
  </si>
  <si>
    <t>TITAN 810 XZ-WST810</t>
  </si>
  <si>
    <t>CARGADOR DE BATERIA 42,96V 40AMP</t>
  </si>
  <si>
    <t>300BG3640L</t>
  </si>
  <si>
    <t>JOCKEY CLUB A.C. - HIPODROMO DE SAN ISIDRO (EVENTOS)</t>
  </si>
  <si>
    <t>LIMPIOLUX S. A. - OPERACIONES</t>
  </si>
  <si>
    <t>DIRECCION NACIONAL DE VIALIDAD - REGION 17 - Tierra del Fuego Ushuaia</t>
  </si>
  <si>
    <t>DIRECCION NACIONAL DE VIALIDAD - REGION 16 - SANTA CRUZ 25 de Mayo</t>
  </si>
  <si>
    <t>GMRA FORTINOX  II</t>
  </si>
  <si>
    <t>AEROLÍNEAS ARGENTINAS S.A-EZEIZA-AEROLINEAS ARGENTINAS S.A</t>
  </si>
  <si>
    <t>CEILING SOLUTIONS S.A. - BUPLASA S.A. - Villa Rosa</t>
  </si>
  <si>
    <t>EXPLOSION</t>
  </si>
  <si>
    <t>OTRO</t>
  </si>
  <si>
    <t>MANUAL</t>
  </si>
  <si>
    <t>LX STOCK</t>
  </si>
  <si>
    <t>LX REPARACION</t>
  </si>
  <si>
    <t xml:space="preserve">A pedido </t>
  </si>
  <si>
    <t>#</t>
  </si>
  <si>
    <t>%</t>
  </si>
  <si>
    <t>HS USO ELÉCTRICAS RELEVADAS</t>
  </si>
  <si>
    <t>ELÉCTRICAS NO APLICAN (FLIA PELUSO)</t>
  </si>
  <si>
    <t>Última actualización</t>
  </si>
  <si>
    <t>SIN RELEVAR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</si>
</sst>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Segoe UI"/>
      <family val="2"/>
    </font>
    <font>
      <sz val="10"/>
      <color theme="1"/>
      <name val="Arial"/>
    </font>
    <font>
      <sz val="10"/>
      <color indexed="8"/>
      <name val="Arial"/>
    </font>
    <font>
      <sz val="11"/>
      <color rgb="FF000000"/>
      <name val="Verdana"/>
      <family val="2"/>
    </font>
    <font>
      <sz val="10"/>
      <color rgb="FF000000"/>
      <name val="Verdana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PoPPINS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2" tint="-9.9948118533890809E-2"/>
      </left>
      <right/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17600024414813E-2"/>
      </bottom>
      <diagonal/>
    </border>
    <border>
      <left style="thin">
        <color theme="2" tint="-9.9948118533890809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/>
      <top style="thin">
        <color theme="5"/>
      </top>
      <bottom/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2" borderId="0" xfId="1" applyFont="1" applyFill="1" applyAlignment="1">
      <alignment horizontal="left"/>
    </xf>
    <xf numFmtId="0" fontId="4" fillId="3" borderId="0" xfId="1" applyFont="1" applyFill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1"/>
    <xf numFmtId="0" fontId="0" fillId="4" borderId="0" xfId="0" applyFill="1" applyAlignment="1">
      <alignment horizontal="center"/>
    </xf>
    <xf numFmtId="0" fontId="0" fillId="4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2" fontId="0" fillId="6" borderId="0" xfId="0" applyNumberFormat="1" applyFill="1"/>
    <xf numFmtId="0" fontId="4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6" borderId="0" xfId="1" applyFill="1" applyAlignment="1">
      <alignment horizontal="center"/>
    </xf>
    <xf numFmtId="2" fontId="0" fillId="4" borderId="0" xfId="0" applyNumberFormat="1" applyFill="1"/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4" fillId="3" borderId="0" xfId="1" applyFont="1" applyFill="1"/>
    <xf numFmtId="0" fontId="12" fillId="0" borderId="0" xfId="0" applyFont="1" applyAlignment="1">
      <alignment horizontal="right"/>
    </xf>
    <xf numFmtId="0" fontId="0" fillId="4" borderId="0" xfId="0" applyFill="1" applyAlignment="1">
      <alignment horizontal="center" wrapText="1"/>
    </xf>
    <xf numFmtId="0" fontId="3" fillId="2" borderId="0" xfId="1" applyFont="1" applyFill="1"/>
    <xf numFmtId="0" fontId="5" fillId="0" borderId="0" xfId="1" applyFont="1"/>
    <xf numFmtId="0" fontId="2" fillId="4" borderId="0" xfId="1" applyFill="1"/>
    <xf numFmtId="0" fontId="2" fillId="6" borderId="0" xfId="1" applyFill="1"/>
    <xf numFmtId="0" fontId="8" fillId="0" borderId="0" xfId="1" applyFont="1"/>
    <xf numFmtId="0" fontId="6" fillId="0" borderId="0" xfId="1" applyFont="1"/>
    <xf numFmtId="0" fontId="8" fillId="4" borderId="0" xfId="1" applyFont="1" applyFill="1"/>
    <xf numFmtId="0" fontId="2" fillId="0" borderId="1" xfId="1" applyBorder="1"/>
    <xf numFmtId="0" fontId="1" fillId="0" borderId="0" xfId="0" applyFont="1"/>
    <xf numFmtId="0" fontId="12" fillId="0" borderId="0" xfId="0" applyFont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2" fontId="0" fillId="9" borderId="0" xfId="0" applyNumberFormat="1" applyFill="1"/>
    <xf numFmtId="0" fontId="6" fillId="9" borderId="0" xfId="1" applyFont="1" applyFill="1"/>
    <xf numFmtId="0" fontId="7" fillId="9" borderId="0" xfId="0" applyFont="1" applyFill="1" applyAlignment="1">
      <alignment horizontal="left"/>
    </xf>
    <xf numFmtId="0" fontId="7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 wrapText="1"/>
    </xf>
    <xf numFmtId="0" fontId="12" fillId="4" borderId="0" xfId="0" applyFont="1" applyFill="1" applyAlignment="1">
      <alignment horizontal="left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2" fillId="4" borderId="0" xfId="1" applyFill="1" applyAlignment="1">
      <alignment horizontal="left"/>
    </xf>
    <xf numFmtId="0" fontId="8" fillId="0" borderId="0" xfId="1" applyFont="1" applyAlignment="1">
      <alignment horizontal="left"/>
    </xf>
    <xf numFmtId="0" fontId="6" fillId="9" borderId="0" xfId="1" applyFont="1" applyFill="1" applyAlignment="1">
      <alignment horizontal="left"/>
    </xf>
    <xf numFmtId="0" fontId="6" fillId="0" borderId="0" xfId="1" applyFont="1" applyAlignment="1">
      <alignment horizontal="left"/>
    </xf>
    <xf numFmtId="0" fontId="2" fillId="6" borderId="0" xfId="1" applyFill="1" applyAlignment="1">
      <alignment horizontal="left"/>
    </xf>
    <xf numFmtId="0" fontId="5" fillId="0" borderId="0" xfId="1" applyFont="1" applyAlignment="1">
      <alignment horizontal="left"/>
    </xf>
    <xf numFmtId="0" fontId="8" fillId="4" borderId="0" xfId="1" applyFont="1" applyFill="1" applyAlignment="1">
      <alignment horizontal="left"/>
    </xf>
    <xf numFmtId="0" fontId="0" fillId="6" borderId="0" xfId="0" applyFill="1" applyAlignment="1">
      <alignment horizontal="center" vertical="center"/>
    </xf>
    <xf numFmtId="0" fontId="12" fillId="4" borderId="0" xfId="0" applyFont="1" applyFill="1" applyAlignment="1">
      <alignment horizontal="right"/>
    </xf>
    <xf numFmtId="0" fontId="13" fillId="6" borderId="0" xfId="0" applyFont="1" applyFill="1" applyAlignment="1">
      <alignment horizontal="left" vertical="center"/>
    </xf>
    <xf numFmtId="0" fontId="2" fillId="5" borderId="0" xfId="1" applyFill="1" applyAlignment="1">
      <alignment horizontal="center"/>
    </xf>
    <xf numFmtId="0" fontId="15" fillId="0" borderId="0" xfId="0" applyFont="1" applyAlignment="1">
      <alignment horizontal="center"/>
    </xf>
    <xf numFmtId="0" fontId="2" fillId="5" borderId="0" xfId="1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horizontal="right"/>
    </xf>
    <xf numFmtId="0" fontId="12" fillId="6" borderId="0" xfId="0" applyFont="1" applyFill="1" applyAlignment="1">
      <alignment horizontal="left"/>
    </xf>
    <xf numFmtId="0" fontId="12" fillId="6" borderId="0" xfId="0" applyFont="1" applyFill="1" applyAlignment="1">
      <alignment horizontal="right"/>
    </xf>
    <xf numFmtId="0" fontId="12" fillId="10" borderId="0" xfId="0" applyFont="1" applyFill="1" applyAlignment="1">
      <alignment horizontal="left"/>
    </xf>
    <xf numFmtId="0" fontId="0" fillId="10" borderId="0" xfId="0" applyFill="1"/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right"/>
    </xf>
    <xf numFmtId="0" fontId="2" fillId="8" borderId="0" xfId="0" applyFont="1" applyFill="1" applyAlignment="1">
      <alignment horizontal="left"/>
    </xf>
    <xf numFmtId="0" fontId="0" fillId="8" borderId="0" xfId="0" applyFill="1"/>
    <xf numFmtId="0" fontId="18" fillId="0" borderId="0" xfId="0" applyFont="1"/>
    <xf numFmtId="0" fontId="2" fillId="0" borderId="1" xfId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6" fillId="0" borderId="1" xfId="1" applyFont="1" applyBorder="1"/>
    <xf numFmtId="0" fontId="2" fillId="0" borderId="1" xfId="0" applyFont="1" applyBorder="1" applyAlignment="1">
      <alignment horizontal="left"/>
    </xf>
    <xf numFmtId="0" fontId="8" fillId="4" borderId="1" xfId="1" applyFont="1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5" fillId="0" borderId="0" xfId="0" applyFont="1"/>
    <xf numFmtId="0" fontId="7" fillId="9" borderId="0" xfId="0" applyFont="1" applyFill="1"/>
    <xf numFmtId="0" fontId="2" fillId="4" borderId="0" xfId="1" applyFill="1" applyAlignment="1">
      <alignment horizontal="center" vertical="center"/>
    </xf>
    <xf numFmtId="0" fontId="2" fillId="6" borderId="0" xfId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8" fillId="9" borderId="0" xfId="1" applyFont="1" applyFill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1" fontId="2" fillId="6" borderId="0" xfId="0" applyNumberFormat="1" applyFont="1" applyFill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2" fillId="6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7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4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1" applyFont="1" applyBorder="1"/>
    <xf numFmtId="0" fontId="2" fillId="4" borderId="1" xfId="1" applyFill="1" applyBorder="1"/>
    <xf numFmtId="0" fontId="0" fillId="0" borderId="5" xfId="0" applyBorder="1" applyAlignment="1">
      <alignment horizontal="left"/>
    </xf>
    <xf numFmtId="1" fontId="12" fillId="4" borderId="0" xfId="0" applyNumberFormat="1" applyFont="1" applyFill="1" applyAlignment="1">
      <alignment horizontal="center"/>
    </xf>
    <xf numFmtId="0" fontId="1" fillId="4" borderId="0" xfId="0" applyFont="1" applyFill="1"/>
    <xf numFmtId="0" fontId="15" fillId="4" borderId="0" xfId="0" applyFont="1" applyFill="1" applyAlignment="1">
      <alignment horizontal="center"/>
    </xf>
    <xf numFmtId="0" fontId="19" fillId="0" borderId="0" xfId="0" applyFont="1"/>
    <xf numFmtId="14" fontId="19" fillId="0" borderId="0" xfId="0" applyNumberFormat="1" applyFont="1" applyAlignment="1">
      <alignment horizontal="center"/>
    </xf>
    <xf numFmtId="9" fontId="19" fillId="0" borderId="0" xfId="2" applyFont="1"/>
    <xf numFmtId="0" fontId="19" fillId="11" borderId="0" xfId="0" applyFont="1" applyFill="1"/>
    <xf numFmtId="0" fontId="19" fillId="0" borderId="0" xfId="0" applyFont="1" applyAlignment="1">
      <alignment horizontal="center"/>
    </xf>
    <xf numFmtId="0" fontId="3" fillId="0" borderId="0" xfId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0" fontId="8" fillId="0" borderId="0" xfId="1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2" xfId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6" xfId="1" applyBorder="1" applyAlignment="1">
      <alignment horizontal="center"/>
    </xf>
    <xf numFmtId="0" fontId="5" fillId="0" borderId="0" xfId="1" applyFont="1" applyAlignment="1">
      <alignment horizontal="center"/>
    </xf>
    <xf numFmtId="1" fontId="12" fillId="0" borderId="2" xfId="0" applyNumberFormat="1" applyFont="1" applyBorder="1" applyAlignment="1">
      <alignment horizontal="center" vertical="center"/>
    </xf>
    <xf numFmtId="0" fontId="2" fillId="6" borderId="1" xfId="1" applyFill="1" applyBorder="1"/>
    <xf numFmtId="0" fontId="2" fillId="5" borderId="1" xfId="1" applyFill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0" fillId="0" borderId="9" xfId="0" applyBorder="1"/>
    <xf numFmtId="0" fontId="6" fillId="4" borderId="0" xfId="1" applyFont="1" applyFill="1"/>
    <xf numFmtId="0" fontId="6" fillId="4" borderId="0" xfId="1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1" fontId="12" fillId="4" borderId="0" xfId="0" applyNumberFormat="1" applyFont="1" applyFill="1" applyAlignment="1">
      <alignment horizontal="center" vertical="center"/>
    </xf>
    <xf numFmtId="0" fontId="2" fillId="6" borderId="2" xfId="1" applyFill="1" applyBorder="1" applyAlignment="1">
      <alignment horizontal="center"/>
    </xf>
    <xf numFmtId="0" fontId="2" fillId="4" borderId="2" xfId="1" applyFill="1" applyBorder="1" applyAlignment="1">
      <alignment horizontal="center"/>
    </xf>
  </cellXfs>
  <cellStyles count="3">
    <cellStyle name="Normal" xfId="0" builtinId="0"/>
    <cellStyle name="Normal_Hoja1" xfId="1" xr:uid="{44B50896-EC4C-4BBE-88C6-BFF74D140A18}"/>
    <cellStyle name="Porcentaje" xfId="2" builtinId="5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isa Ramirez" id="{B542E63F-36C0-45AD-9749-53CBA8BF53FD}" userId="S::bramirez@limpiolux.com.ar::0b445331-201e-43f3-b9bc-f939afb73ed0" providerId="AD"/>
  <person displayName="Elena Schwint" id="{83CA515D-91B9-490F-8544-466576D31BC6}" userId="S::eschwint@limpiolux.com.ar::58e14177-059c-4a82-9a90-7da3b3e50c0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6-02-03T11:58:33.45" personId="{83CA515D-91B9-490F-8544-466576D31BC6}" id="{23094430-6CA4-4DAD-BB5C-E3D8C41DE1F4}">
    <text>En el inventario figura en el servicio, no se cuenta con la maquina en reparación</text>
  </threadedComment>
  <threadedComment ref="J6" dT="2026-02-03T12:11:43.64" personId="{83CA515D-91B9-490F-8544-466576D31BC6}" id="{50FC73DC-3786-4B8A-BA91-F126CFACA5D8}">
    <text>Sigue figurando en este servicio en inventario</text>
  </threadedComment>
  <threadedComment ref="J14" dT="2026-02-03T12:04:50.34" personId="{83CA515D-91B9-490F-8544-466576D31BC6}" id="{B15DB4E0-803C-43C6-8681-8DD5316455AB}">
    <text>En inventario sigue figurando en toyota</text>
  </threadedComment>
  <threadedComment ref="J18" dT="2026-02-03T12:11:43.64" personId="{83CA515D-91B9-490F-8544-466576D31BC6}" id="{EABFD712-2DD7-4608-8C82-C21085DEC37A}">
    <text>Sigue figurando en este servicio en inventario</text>
  </threadedComment>
  <threadedComment ref="G20" dT="2026-02-03T13:16:15.24" personId="{83CA515D-91B9-490F-8544-466576D31BC6}" id="{D69FFC8F-93E7-4BE4-A390-3B21DA882DE2}">
    <text>Este servicio esta dado de baja, en inventario sigue figurando la máquina ahí</text>
  </threadedComment>
  <threadedComment ref="J22" dT="2026-02-03T12:04:50.34" personId="{83CA515D-91B9-490F-8544-466576D31BC6}" id="{FDFBFBCB-D4F7-400B-BCCD-80F988380FE2}">
    <text>En inventario sigue figurando en toyota</text>
  </threadedComment>
  <threadedComment ref="G23" dT="2026-01-30T19:49:08.65" personId="{83CA515D-91B9-490F-8544-466576D31BC6}" id="{DE33E11B-E310-4EC7-A083-B8EE69D74F69}">
    <text xml:space="preserve">Inventario figura en LOMASER, leo dice que no es´ta
</text>
  </threadedComment>
  <threadedComment ref="J23" dT="2026-02-03T12:11:43.64" personId="{83CA515D-91B9-490F-8544-466576D31BC6}" id="{CD14031E-CCBA-4F23-AA5F-5E338786961B}">
    <text>Sigue figurando en este servicio en inventario</text>
  </threadedComment>
  <threadedComment ref="J27" dT="2026-02-03T12:11:43.64" personId="{83CA515D-91B9-490F-8544-466576D31BC6}" id="{B04C12DE-DF14-4D79-BC1D-A21A6155084C}">
    <text>Sigue figurando en este servicio en inventario</text>
  </threadedComment>
  <threadedComment ref="J28" dT="2026-02-03T12:05:59.54" personId="{83CA515D-91B9-490F-8544-466576D31BC6}" id="{893621D8-1956-457F-9673-711568F5B0F9}">
    <text>Sigue figurando en suc cordoba</text>
  </threadedComment>
  <threadedComment ref="J30" dT="2026-02-03T12:11:43.64" personId="{83CA515D-91B9-490F-8544-466576D31BC6}" id="{A0A66A37-1343-4E95-A074-C1860FD398F8}">
    <text>Sigue figurando en este servicio en inventario</text>
  </threadedComment>
  <threadedComment ref="J31" dT="2026-02-03T12:11:43.64" personId="{83CA515D-91B9-490F-8544-466576D31BC6}" id="{5E9F26E1-5938-413B-93BC-1CC59CD226BE}">
    <text>Sigue figurando en este servicio en inventario</text>
  </threadedComment>
  <threadedComment ref="J36" dT="2026-02-03T12:05:59.54" personId="{83CA515D-91B9-490F-8544-466576D31BC6}" id="{1A7B4B1A-9262-4120-BAE1-2CC983034684}">
    <text>Sigue figurando en suc cordoba</text>
  </threadedComment>
  <threadedComment ref="J39" dT="2026-02-03T12:11:43.64" personId="{83CA515D-91B9-490F-8544-466576D31BC6}" id="{1965D015-702E-4CA3-9E1B-88C1CAC89608}">
    <text>Sigue figurando en este servicio en inventario</text>
  </threadedComment>
  <threadedComment ref="G40" dT="2026-02-12T12:25:08.97" personId="{83CA515D-91B9-490F-8544-466576D31BC6}" id="{9ED1457A-D426-4F70-916C-96F831F68B0F}">
    <text>En reparación</text>
  </threadedComment>
  <threadedComment ref="J41" dT="2026-02-03T12:04:50.34" personId="{83CA515D-91B9-490F-8544-466576D31BC6}" id="{BEAF35EA-4F58-46D6-8EEA-67CA099AB6F9}">
    <text>En inventario sigue figurando en toyota</text>
  </threadedComment>
  <threadedComment ref="J43" dT="2026-02-03T11:58:33.45" personId="{83CA515D-91B9-490F-8544-466576D31BC6}" id="{0D400B48-CE98-4E18-9011-BCED48A456BB}">
    <text>En el inventario figura en el servicio, no se cuenta con la maquina en reparación</text>
  </threadedComment>
  <threadedComment ref="G48" dT="2026-02-03T13:16:39.31" personId="{83CA515D-91B9-490F-8544-466576D31BC6}" id="{EBFD5A42-87A9-4D60-A7CF-7399EE6C5031}">
    <text>El servicio está dado de baja y sigue figurando allí en el inventario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80" dT="2026-02-03T11:58:33.45" personId="{83CA515D-91B9-490F-8544-466576D31BC6}" id="{51732F5A-605A-48A0-9170-9FF909E8D43D}">
    <text>En el inventario figura en el servicio, no se cuenta con la maquina en reparación</text>
  </threadedComment>
  <threadedComment ref="J341" dT="2026-02-03T12:11:43.64" personId="{83CA515D-91B9-490F-8544-466576D31BC6}" id="{4090E66A-7021-4F86-AA48-F8664DA9371F}">
    <text>Sigue figurando en este servicio en inventario</text>
  </threadedComment>
  <threadedComment ref="G362" dT="2026-02-26T11:14:35.16" personId="{B542E63F-36C0-45AD-9749-53CBA8BF53FD}" id="{3018A8E2-95B1-480B-A2AE-85210131F95F}">
    <text xml:space="preserve">Se encuentra en STYLUS </text>
  </threadedComment>
  <threadedComment ref="G371" dT="2026-02-03T12:22:00.77" personId="{83CA515D-91B9-490F-8544-466576D31BC6}" id="{30E2C0A2-B95A-4EBC-881D-263B1137803B}">
    <text>Este servicio esta dado de baja, en inventario sigue figurando la máquina ahí</text>
  </threadedComment>
  <threadedComment ref="J526" dT="2026-02-03T12:04:50.34" personId="{83CA515D-91B9-490F-8544-466576D31BC6}" id="{37DF70A0-01BF-4CCE-8E7C-278C7FC75584}">
    <text>En inventario sigue figurando en toyota</text>
  </threadedComment>
  <threadedComment ref="J583" dT="2026-02-03T12:11:43.64" personId="{83CA515D-91B9-490F-8544-466576D31BC6}" id="{42412737-BC7D-46CA-B6F1-08D81B080299}">
    <text>Sigue figurando en este servicio en inventario</text>
  </threadedComment>
  <threadedComment ref="G610" dT="2026-02-03T13:16:15.24" personId="{83CA515D-91B9-490F-8544-466576D31BC6}" id="{66C6B76F-6596-4B22-BCE6-2E05769EB5F1}">
    <text>Este servicio esta dado de baja, en inventario sigue figurando la máquina ahí</text>
  </threadedComment>
  <threadedComment ref="J678" dT="2026-02-03T12:04:50.34" personId="{83CA515D-91B9-490F-8544-466576D31BC6}" id="{347908AB-1F5C-4D1E-8EFF-443008C63718}">
    <text>En inventario sigue figurando en toyota</text>
  </threadedComment>
  <threadedComment ref="G681" dT="2026-01-30T19:49:08.65" personId="{83CA515D-91B9-490F-8544-466576D31BC6}" id="{A06CFAE1-FBAD-43CB-AA86-C60CE4DBF9F2}">
    <text xml:space="preserve">Inventario figura en LOMASER, leo dice que no es´ta
</text>
  </threadedComment>
  <threadedComment ref="J681" dT="2026-02-03T12:11:43.64" personId="{83CA515D-91B9-490F-8544-466576D31BC6}" id="{38ABA6E0-A1DE-44C1-A94D-861C99C84FBA}">
    <text>Sigue figurando en este servicio en inventario</text>
  </threadedComment>
  <threadedComment ref="J835" dT="2026-02-03T12:11:43.64" personId="{83CA515D-91B9-490F-8544-466576D31BC6}" id="{ACF2AC66-53A6-40BF-81B8-FBA01F2A0742}">
    <text>Sigue figurando en este servicio en inventario</text>
  </threadedComment>
  <threadedComment ref="J854" dT="2026-02-03T12:05:59.54" personId="{83CA515D-91B9-490F-8544-466576D31BC6}" id="{14FBE674-9D8A-4D9F-B98C-552A6D02115B}">
    <text>Sigue figurando en suc cordoba</text>
  </threadedComment>
  <threadedComment ref="J863" dT="2026-02-03T12:11:43.64" personId="{83CA515D-91B9-490F-8544-466576D31BC6}" id="{2B05E2A9-6C5C-4A80-B551-71174C8EE0C6}">
    <text>Sigue figurando en este servicio en inventario</text>
  </threadedComment>
  <threadedComment ref="J875" dT="2026-02-03T12:11:43.64" personId="{83CA515D-91B9-490F-8544-466576D31BC6}" id="{E6E09A35-0F54-4FE3-81BF-17F554542A18}">
    <text>Sigue figurando en este servicio en inventario</text>
  </threadedComment>
  <threadedComment ref="J938" dT="2026-02-03T12:05:59.54" personId="{83CA515D-91B9-490F-8544-466576D31BC6}" id="{127BEC1B-F062-420F-B49B-0A5B7D11E481}">
    <text>Sigue figurando en suc cordoba</text>
  </threadedComment>
  <threadedComment ref="J966" dT="2026-02-03T12:11:43.64" personId="{83CA515D-91B9-490F-8544-466576D31BC6}" id="{2C1740C7-8245-45FF-BF64-08175DF51C31}">
    <text>Sigue figurando en este servicio en inventario</text>
  </threadedComment>
  <threadedComment ref="G990" dT="2026-02-12T12:25:08.97" personId="{83CA515D-91B9-490F-8544-466576D31BC6}" id="{75BB5152-1942-4D21-AEA7-5FCEA17911A6}">
    <text>En reparación</text>
  </threadedComment>
  <threadedComment ref="J996" dT="2026-02-03T12:04:50.34" personId="{83CA515D-91B9-490F-8544-466576D31BC6}" id="{02B4D287-C647-45A1-93F9-74998AED0733}">
    <text>En inventario sigue figurando en toyota</text>
  </threadedComment>
  <threadedComment ref="J1015" dT="2026-02-03T11:58:33.45" personId="{83CA515D-91B9-490F-8544-466576D31BC6}" id="{F5DA606D-C147-4823-AB5C-F863F4BD4967}">
    <text>En el inventario figura en el servicio, no se cuenta con la maquina en reparación</text>
  </threadedComment>
  <threadedComment ref="G1176" dT="2026-02-18T14:54:03.09" personId="{83CA515D-91B9-490F-8544-466576D31BC6}" id="{9E7381AC-4464-4E70-A54F-DF0AC63888DD}">
    <text>Cambio de casa de stock cba a allianz cordoba</text>
  </threadedComment>
  <threadedComment ref="G1262" dT="2026-02-03T13:16:39.31" personId="{83CA515D-91B9-490F-8544-466576D31BC6}" id="{BA46D8A6-586D-441C-BEA5-66277AD40B08}">
    <text>El servicio está dado de baja y sigue figurando allí en el inventario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6C5C-0678-4ED5-9268-AF15AFABD4DC}">
  <dimension ref="A1:M48"/>
  <sheetViews>
    <sheetView workbookViewId="0">
      <selection sqref="A1:XFD1048576"/>
    </sheetView>
  </sheetViews>
  <sheetFormatPr baseColWidth="10" defaultRowHeight="15" x14ac:dyDescent="0.25"/>
  <sheetData>
    <row r="1" spans="1:13" x14ac:dyDescent="0.25">
      <c r="A1" s="99">
        <v>7</v>
      </c>
      <c r="B1" s="77" t="s">
        <v>18</v>
      </c>
      <c r="C1" s="77" t="s">
        <v>11</v>
      </c>
      <c r="D1" s="77" t="s">
        <v>40</v>
      </c>
      <c r="E1" s="9"/>
      <c r="F1" s="78">
        <v>43001000</v>
      </c>
      <c r="G1" s="9" t="s">
        <v>553</v>
      </c>
      <c r="H1" s="9" t="s">
        <v>504</v>
      </c>
      <c r="I1" s="9" t="s">
        <v>881</v>
      </c>
    </row>
    <row r="2" spans="1:13" x14ac:dyDescent="0.25">
      <c r="A2" s="91">
        <v>96</v>
      </c>
      <c r="B2" s="39" t="s">
        <v>10</v>
      </c>
      <c r="C2" s="39" t="s">
        <v>11</v>
      </c>
      <c r="D2" s="39" t="s">
        <v>26</v>
      </c>
      <c r="E2" s="8" t="s">
        <v>13</v>
      </c>
      <c r="F2" s="33">
        <v>3234001000</v>
      </c>
      <c r="G2" s="33" t="s">
        <v>382</v>
      </c>
      <c r="H2" s="8" t="s">
        <v>380</v>
      </c>
      <c r="I2" s="7"/>
      <c r="J2" s="7" t="s">
        <v>542</v>
      </c>
      <c r="K2" s="8"/>
      <c r="L2" s="8"/>
      <c r="M2" s="30"/>
    </row>
    <row r="3" spans="1:13" x14ac:dyDescent="0.25">
      <c r="A3" s="92">
        <v>101</v>
      </c>
      <c r="B3" s="40" t="s">
        <v>222</v>
      </c>
      <c r="C3" s="40" t="s">
        <v>22</v>
      </c>
      <c r="D3" s="40" t="s">
        <v>397</v>
      </c>
      <c r="E3" s="9" t="s">
        <v>13</v>
      </c>
      <c r="F3" s="61">
        <v>3182003000</v>
      </c>
      <c r="G3" s="12" t="s">
        <v>398</v>
      </c>
      <c r="H3" s="9"/>
      <c r="I3" s="10"/>
      <c r="J3" s="10" t="s">
        <v>550</v>
      </c>
      <c r="K3" s="9"/>
      <c r="L3" s="9"/>
      <c r="M3" s="13"/>
    </row>
    <row r="4" spans="1:13" x14ac:dyDescent="0.25">
      <c r="A4" s="93">
        <v>176</v>
      </c>
      <c r="B4" s="46" t="s">
        <v>18</v>
      </c>
      <c r="C4" s="46" t="s">
        <v>22</v>
      </c>
      <c r="D4" s="46" t="s">
        <v>579</v>
      </c>
      <c r="E4" s="4" t="s">
        <v>13</v>
      </c>
      <c r="F4" s="46">
        <v>43001000</v>
      </c>
      <c r="G4" t="s">
        <v>553</v>
      </c>
      <c r="H4" s="45"/>
      <c r="I4" s="68"/>
      <c r="J4" s="4"/>
    </row>
    <row r="5" spans="1:13" x14ac:dyDescent="0.25">
      <c r="A5" s="92">
        <v>219</v>
      </c>
      <c r="B5" s="40" t="s">
        <v>10</v>
      </c>
      <c r="C5" s="40" t="s">
        <v>76</v>
      </c>
      <c r="D5" s="40" t="s">
        <v>87</v>
      </c>
      <c r="E5" s="9" t="s">
        <v>13</v>
      </c>
      <c r="F5" s="61">
        <v>165001000</v>
      </c>
      <c r="G5" s="12" t="s">
        <v>319</v>
      </c>
      <c r="H5" s="9" t="s">
        <v>338</v>
      </c>
      <c r="I5" s="10"/>
      <c r="J5" s="10" t="s">
        <v>323</v>
      </c>
      <c r="K5" s="9"/>
      <c r="L5" s="9"/>
      <c r="M5" s="13"/>
    </row>
    <row r="6" spans="1:13" x14ac:dyDescent="0.25">
      <c r="A6" s="91">
        <v>263</v>
      </c>
      <c r="B6" s="39" t="s">
        <v>219</v>
      </c>
      <c r="C6" s="39" t="s">
        <v>22</v>
      </c>
      <c r="D6" s="39" t="s">
        <v>220</v>
      </c>
      <c r="E6" t="s">
        <v>13</v>
      </c>
      <c r="F6" s="57">
        <v>1165000000</v>
      </c>
      <c r="G6" s="33" t="s">
        <v>216</v>
      </c>
      <c r="H6" s="8" t="s">
        <v>215</v>
      </c>
      <c r="I6" s="7"/>
      <c r="J6" s="7" t="s">
        <v>529</v>
      </c>
      <c r="K6" s="8"/>
      <c r="L6" s="8"/>
      <c r="M6" s="30"/>
    </row>
    <row r="7" spans="1:13" x14ac:dyDescent="0.25">
      <c r="A7" s="100">
        <v>328</v>
      </c>
      <c r="B7" s="46" t="s">
        <v>10</v>
      </c>
      <c r="C7" s="46" t="s">
        <v>22</v>
      </c>
      <c r="D7" s="46" t="s">
        <v>23</v>
      </c>
      <c r="E7" t="s">
        <v>13</v>
      </c>
      <c r="F7" s="35">
        <v>1165005000</v>
      </c>
      <c r="G7" t="s">
        <v>598</v>
      </c>
      <c r="H7" t="s">
        <v>856</v>
      </c>
    </row>
    <row r="8" spans="1:13" x14ac:dyDescent="0.25">
      <c r="A8" s="100">
        <v>372</v>
      </c>
      <c r="B8" s="46" t="s">
        <v>10</v>
      </c>
      <c r="C8" s="46" t="s">
        <v>11</v>
      </c>
      <c r="D8" s="46" t="s">
        <v>26</v>
      </c>
      <c r="E8" t="s">
        <v>13</v>
      </c>
      <c r="F8" s="35">
        <v>1165003000</v>
      </c>
      <c r="G8" t="s">
        <v>604</v>
      </c>
      <c r="H8" t="s">
        <v>856</v>
      </c>
    </row>
    <row r="9" spans="1:13" x14ac:dyDescent="0.25">
      <c r="A9" s="100">
        <v>388</v>
      </c>
      <c r="B9" s="46" t="s">
        <v>10</v>
      </c>
      <c r="C9" s="46" t="s">
        <v>22</v>
      </c>
      <c r="D9" s="46" t="s">
        <v>23</v>
      </c>
      <c r="E9" t="s">
        <v>13</v>
      </c>
      <c r="F9" s="35">
        <v>1165067000</v>
      </c>
      <c r="G9" t="s">
        <v>606</v>
      </c>
      <c r="H9" t="s">
        <v>856</v>
      </c>
    </row>
    <row r="10" spans="1:13" x14ac:dyDescent="0.25">
      <c r="A10" s="94">
        <v>539</v>
      </c>
      <c r="B10" s="3" t="s">
        <v>10</v>
      </c>
      <c r="C10" s="3" t="s">
        <v>11</v>
      </c>
      <c r="D10" s="3" t="s">
        <v>12</v>
      </c>
      <c r="E10" t="s">
        <v>13</v>
      </c>
      <c r="F10" s="3">
        <v>157004000</v>
      </c>
      <c r="G10" s="11" t="s">
        <v>835</v>
      </c>
      <c r="H10" t="s">
        <v>829</v>
      </c>
      <c r="I10" s="4"/>
      <c r="J10" s="4"/>
    </row>
    <row r="11" spans="1:13" x14ac:dyDescent="0.25">
      <c r="A11" s="101">
        <v>563</v>
      </c>
      <c r="B11" s="72" t="s">
        <v>18</v>
      </c>
      <c r="C11" s="72" t="s">
        <v>11</v>
      </c>
      <c r="D11" s="72" t="s">
        <v>41</v>
      </c>
      <c r="E11" t="s">
        <v>13</v>
      </c>
      <c r="F11" s="73">
        <v>3042074001</v>
      </c>
      <c r="G11" s="9" t="s">
        <v>628</v>
      </c>
      <c r="H11" s="9" t="s">
        <v>860</v>
      </c>
    </row>
    <row r="12" spans="1:13" x14ac:dyDescent="0.25">
      <c r="A12" s="91">
        <v>658</v>
      </c>
      <c r="B12" s="57" t="s">
        <v>18</v>
      </c>
      <c r="C12" s="57" t="s">
        <v>11</v>
      </c>
      <c r="D12" s="57" t="s">
        <v>19</v>
      </c>
      <c r="E12" t="s">
        <v>13</v>
      </c>
      <c r="F12" s="57">
        <v>1532001000</v>
      </c>
      <c r="G12" s="8" t="s">
        <v>853</v>
      </c>
      <c r="H12" s="8"/>
      <c r="I12" s="7"/>
      <c r="J12" s="7"/>
      <c r="K12" s="8"/>
      <c r="L12" s="8"/>
      <c r="M12" s="8"/>
    </row>
    <row r="13" spans="1:13" x14ac:dyDescent="0.25">
      <c r="A13" s="100">
        <v>752</v>
      </c>
      <c r="B13" s="46" t="s">
        <v>10</v>
      </c>
      <c r="C13" s="46" t="s">
        <v>11</v>
      </c>
      <c r="D13" s="46" t="s">
        <v>26</v>
      </c>
      <c r="E13" t="s">
        <v>13</v>
      </c>
      <c r="F13" s="35">
        <v>1165112000</v>
      </c>
      <c r="G13" t="s">
        <v>646</v>
      </c>
      <c r="H13" t="s">
        <v>856</v>
      </c>
    </row>
    <row r="14" spans="1:13" x14ac:dyDescent="0.25">
      <c r="A14" s="91">
        <v>757</v>
      </c>
      <c r="B14" s="39" t="s">
        <v>10</v>
      </c>
      <c r="C14" s="39" t="s">
        <v>11</v>
      </c>
      <c r="D14" s="39" t="s">
        <v>12</v>
      </c>
      <c r="E14" t="s">
        <v>13</v>
      </c>
      <c r="F14" s="54">
        <v>165001000</v>
      </c>
      <c r="G14" s="33" t="s">
        <v>319</v>
      </c>
      <c r="H14" s="8" t="s">
        <v>338</v>
      </c>
      <c r="I14" s="7"/>
      <c r="J14" s="7" t="s">
        <v>323</v>
      </c>
      <c r="K14" s="8"/>
      <c r="L14" s="8"/>
      <c r="M14" s="30"/>
    </row>
    <row r="15" spans="1:13" x14ac:dyDescent="0.25">
      <c r="A15" s="91">
        <v>930</v>
      </c>
      <c r="B15" s="57" t="s">
        <v>18</v>
      </c>
      <c r="C15" s="57" t="s">
        <v>11</v>
      </c>
      <c r="D15" s="57" t="s">
        <v>41</v>
      </c>
      <c r="E15" t="s">
        <v>13</v>
      </c>
      <c r="F15" s="65">
        <v>3178001000</v>
      </c>
      <c r="G15" s="8" t="s">
        <v>657</v>
      </c>
      <c r="H15" s="8"/>
      <c r="I15" s="7"/>
      <c r="J15" s="8"/>
      <c r="K15" s="8"/>
      <c r="L15" s="8"/>
      <c r="M15" s="8"/>
    </row>
    <row r="16" spans="1:13" x14ac:dyDescent="0.25">
      <c r="A16" s="94">
        <v>931</v>
      </c>
      <c r="B16" s="3" t="s">
        <v>18</v>
      </c>
      <c r="C16" s="3" t="s">
        <v>39</v>
      </c>
      <c r="D16" s="3">
        <v>1014</v>
      </c>
      <c r="E16" t="s">
        <v>13</v>
      </c>
      <c r="F16" s="3">
        <v>212005000</v>
      </c>
      <c r="G16" s="11" t="s">
        <v>833</v>
      </c>
      <c r="H16" t="s">
        <v>829</v>
      </c>
      <c r="I16" s="4"/>
      <c r="J16" s="4"/>
    </row>
    <row r="17" spans="1:13" x14ac:dyDescent="0.25">
      <c r="A17" s="100">
        <v>934</v>
      </c>
      <c r="B17" s="46" t="s">
        <v>10</v>
      </c>
      <c r="C17" s="46" t="s">
        <v>22</v>
      </c>
      <c r="D17" s="46" t="s">
        <v>23</v>
      </c>
      <c r="E17" t="s">
        <v>13</v>
      </c>
      <c r="F17" s="35">
        <v>1165001000</v>
      </c>
      <c r="G17" t="s">
        <v>658</v>
      </c>
      <c r="H17" t="s">
        <v>856</v>
      </c>
    </row>
    <row r="18" spans="1:13" x14ac:dyDescent="0.25">
      <c r="A18" s="95">
        <v>965</v>
      </c>
      <c r="B18" s="39" t="s">
        <v>18</v>
      </c>
      <c r="C18" s="39" t="s">
        <v>39</v>
      </c>
      <c r="D18" s="39" t="s">
        <v>40</v>
      </c>
      <c r="E18" t="s">
        <v>13</v>
      </c>
      <c r="F18" s="57">
        <v>1165000000</v>
      </c>
      <c r="G18" s="33" t="s">
        <v>216</v>
      </c>
      <c r="H18" s="8" t="s">
        <v>215</v>
      </c>
      <c r="I18" s="7"/>
      <c r="J18" s="7" t="s">
        <v>529</v>
      </c>
      <c r="K18" s="8"/>
      <c r="L18" s="8"/>
      <c r="M18" s="30"/>
    </row>
    <row r="19" spans="1:13" x14ac:dyDescent="0.25">
      <c r="A19" s="91">
        <v>1114</v>
      </c>
      <c r="B19" s="57" t="s">
        <v>18</v>
      </c>
      <c r="C19" s="57" t="s">
        <v>22</v>
      </c>
      <c r="D19" s="57" t="s">
        <v>224</v>
      </c>
      <c r="E19" t="s">
        <v>13</v>
      </c>
      <c r="F19" s="57">
        <v>3319002000</v>
      </c>
      <c r="G19" s="8" t="s">
        <v>848</v>
      </c>
      <c r="H19" s="8" t="s">
        <v>64</v>
      </c>
      <c r="I19" s="7"/>
      <c r="J19" s="8" t="s">
        <v>849</v>
      </c>
      <c r="K19" s="8"/>
      <c r="L19" s="8"/>
      <c r="M19" s="8"/>
    </row>
    <row r="20" spans="1:13" x14ac:dyDescent="0.25">
      <c r="A20" s="96">
        <v>1121</v>
      </c>
      <c r="B20" s="50" t="s">
        <v>18</v>
      </c>
      <c r="C20" s="50" t="s">
        <v>11</v>
      </c>
      <c r="D20" s="50" t="s">
        <v>19</v>
      </c>
      <c r="E20" t="s">
        <v>13</v>
      </c>
      <c r="F20" s="59">
        <v>3042116001</v>
      </c>
      <c r="G20" s="51" t="s">
        <v>546</v>
      </c>
      <c r="H20" s="90" t="s">
        <v>227</v>
      </c>
      <c r="I20" s="48"/>
      <c r="J20" s="52" t="s">
        <v>221</v>
      </c>
      <c r="K20" s="47"/>
      <c r="L20" s="47"/>
      <c r="M20" s="49"/>
    </row>
    <row r="21" spans="1:13" x14ac:dyDescent="0.25">
      <c r="A21" s="101">
        <v>1182</v>
      </c>
      <c r="B21" s="72" t="s">
        <v>70</v>
      </c>
      <c r="C21" s="72" t="s">
        <v>11</v>
      </c>
      <c r="D21" s="72" t="s">
        <v>19</v>
      </c>
      <c r="E21" t="s">
        <v>13</v>
      </c>
      <c r="F21" s="73">
        <v>3223006000</v>
      </c>
      <c r="G21" s="9" t="s">
        <v>664</v>
      </c>
      <c r="H21" s="9" t="s">
        <v>860</v>
      </c>
    </row>
    <row r="22" spans="1:13" x14ac:dyDescent="0.25">
      <c r="A22" s="91">
        <v>1349</v>
      </c>
      <c r="B22" s="39" t="s">
        <v>18</v>
      </c>
      <c r="C22" s="39" t="s">
        <v>11</v>
      </c>
      <c r="D22" s="39" t="s">
        <v>19</v>
      </c>
      <c r="E22" t="s">
        <v>13</v>
      </c>
      <c r="F22" s="57">
        <v>165001000</v>
      </c>
      <c r="G22" s="33" t="s">
        <v>319</v>
      </c>
      <c r="H22" s="8" t="s">
        <v>338</v>
      </c>
      <c r="I22" s="7"/>
      <c r="J22" s="7" t="s">
        <v>323</v>
      </c>
      <c r="K22" s="8"/>
      <c r="L22" s="8"/>
      <c r="M22" s="30"/>
    </row>
    <row r="23" spans="1:13" x14ac:dyDescent="0.25">
      <c r="A23" s="97">
        <v>1354</v>
      </c>
      <c r="B23" s="86" t="s">
        <v>18</v>
      </c>
      <c r="C23" s="43" t="s">
        <v>39</v>
      </c>
      <c r="D23" s="43" t="s">
        <v>40</v>
      </c>
      <c r="E23" t="s">
        <v>13</v>
      </c>
      <c r="F23" s="63">
        <v>1925001000</v>
      </c>
      <c r="G23" s="33" t="s">
        <v>501</v>
      </c>
      <c r="H23" s="8" t="s">
        <v>498</v>
      </c>
      <c r="I23" s="87"/>
      <c r="J23" s="88" t="s">
        <v>529</v>
      </c>
      <c r="K23" s="8"/>
      <c r="L23" s="8"/>
      <c r="M23" s="8"/>
    </row>
    <row r="24" spans="1:13" x14ac:dyDescent="0.25">
      <c r="A24" s="98">
        <v>1465</v>
      </c>
      <c r="B24" s="84" t="s">
        <v>10</v>
      </c>
      <c r="C24" s="42" t="s">
        <v>11</v>
      </c>
      <c r="D24" s="42" t="s">
        <v>26</v>
      </c>
      <c r="E24" t="s">
        <v>13</v>
      </c>
      <c r="F24" s="46">
        <v>1068021000</v>
      </c>
      <c r="G24" t="s">
        <v>816</v>
      </c>
      <c r="H24" s="17" t="s">
        <v>227</v>
      </c>
      <c r="I24" s="18"/>
      <c r="J24" s="18"/>
      <c r="L24" s="17"/>
      <c r="M24" s="5"/>
    </row>
    <row r="25" spans="1:13" x14ac:dyDescent="0.25">
      <c r="A25" s="94">
        <v>1633</v>
      </c>
      <c r="B25" s="3" t="s">
        <v>10</v>
      </c>
      <c r="C25" s="3" t="s">
        <v>11</v>
      </c>
      <c r="D25" s="3" t="s">
        <v>26</v>
      </c>
      <c r="E25" t="s">
        <v>13</v>
      </c>
      <c r="F25" s="3">
        <v>212005000</v>
      </c>
      <c r="G25" t="s">
        <v>833</v>
      </c>
      <c r="H25" t="s">
        <v>829</v>
      </c>
      <c r="I25" s="4"/>
      <c r="J25" s="4"/>
    </row>
    <row r="26" spans="1:13" x14ac:dyDescent="0.25">
      <c r="A26" s="91">
        <v>1715</v>
      </c>
      <c r="B26" s="57" t="s">
        <v>10</v>
      </c>
      <c r="C26" s="57" t="s">
        <v>11</v>
      </c>
      <c r="D26" s="57" t="s">
        <v>26</v>
      </c>
      <c r="E26" t="s">
        <v>13</v>
      </c>
      <c r="F26" s="57">
        <v>1532001000</v>
      </c>
      <c r="G26" s="8" t="s">
        <v>853</v>
      </c>
      <c r="H26" s="8"/>
      <c r="I26" s="7"/>
      <c r="J26" s="7"/>
      <c r="K26" s="8"/>
      <c r="L26" s="8"/>
      <c r="M26" s="8"/>
    </row>
    <row r="27" spans="1:13" x14ac:dyDescent="0.25">
      <c r="A27" s="91">
        <v>1955</v>
      </c>
      <c r="B27" s="39" t="s">
        <v>10</v>
      </c>
      <c r="C27" s="39" t="s">
        <v>11</v>
      </c>
      <c r="D27" s="39" t="s">
        <v>12</v>
      </c>
      <c r="E27" t="s">
        <v>13</v>
      </c>
      <c r="F27" s="57">
        <v>1967007000</v>
      </c>
      <c r="G27" s="33" t="s">
        <v>466</v>
      </c>
      <c r="H27" s="8" t="s">
        <v>467</v>
      </c>
      <c r="I27" s="7"/>
      <c r="J27" s="7" t="s">
        <v>529</v>
      </c>
      <c r="K27" s="8"/>
      <c r="L27" s="8"/>
      <c r="M27" s="30"/>
    </row>
    <row r="28" spans="1:13" x14ac:dyDescent="0.25">
      <c r="A28" s="91">
        <v>2009</v>
      </c>
      <c r="B28" s="39" t="s">
        <v>10</v>
      </c>
      <c r="C28" s="39" t="s">
        <v>68</v>
      </c>
      <c r="D28" s="39" t="s">
        <v>69</v>
      </c>
      <c r="E28" t="s">
        <v>13</v>
      </c>
      <c r="F28" s="57">
        <v>1014007</v>
      </c>
      <c r="G28" s="33" t="s">
        <v>309</v>
      </c>
      <c r="H28" s="8" t="s">
        <v>338</v>
      </c>
      <c r="I28" s="7"/>
      <c r="J28" s="7" t="s">
        <v>323</v>
      </c>
      <c r="K28" s="8"/>
      <c r="L28" s="8"/>
      <c r="M28" s="30"/>
    </row>
    <row r="29" spans="1:13" x14ac:dyDescent="0.25">
      <c r="A29" s="100">
        <v>2012</v>
      </c>
      <c r="B29" s="46" t="s">
        <v>10</v>
      </c>
      <c r="C29" s="46" t="s">
        <v>68</v>
      </c>
      <c r="D29" s="46" t="s">
        <v>69</v>
      </c>
      <c r="E29" t="s">
        <v>13</v>
      </c>
      <c r="F29" s="35">
        <v>3073001000</v>
      </c>
      <c r="G29" t="s">
        <v>702</v>
      </c>
      <c r="H29" t="s">
        <v>856</v>
      </c>
    </row>
    <row r="30" spans="1:13" x14ac:dyDescent="0.25">
      <c r="A30" s="95">
        <v>2028</v>
      </c>
      <c r="B30" s="39" t="s">
        <v>10</v>
      </c>
      <c r="C30" s="39" t="s">
        <v>68</v>
      </c>
      <c r="D30" s="39" t="s">
        <v>69</v>
      </c>
      <c r="E30" t="s">
        <v>13</v>
      </c>
      <c r="F30" s="57">
        <v>1165000000</v>
      </c>
      <c r="G30" s="33" t="s">
        <v>216</v>
      </c>
      <c r="H30" s="8" t="s">
        <v>215</v>
      </c>
      <c r="I30" s="7"/>
      <c r="J30" s="7" t="s">
        <v>529</v>
      </c>
      <c r="K30" s="8"/>
      <c r="L30" s="8"/>
      <c r="M30" s="30"/>
    </row>
    <row r="31" spans="1:13" x14ac:dyDescent="0.25">
      <c r="A31" s="95">
        <v>2053</v>
      </c>
      <c r="B31" s="39" t="s">
        <v>18</v>
      </c>
      <c r="C31" s="39" t="s">
        <v>11</v>
      </c>
      <c r="D31" s="39" t="s">
        <v>19</v>
      </c>
      <c r="E31" t="s">
        <v>13</v>
      </c>
      <c r="F31" s="57">
        <v>1165000000</v>
      </c>
      <c r="G31" s="33" t="s">
        <v>216</v>
      </c>
      <c r="H31" s="8" t="s">
        <v>215</v>
      </c>
      <c r="I31" s="7"/>
      <c r="J31" s="7" t="s">
        <v>529</v>
      </c>
      <c r="K31" s="8"/>
      <c r="L31" s="8"/>
      <c r="M31" s="30"/>
    </row>
    <row r="32" spans="1:13" ht="75" x14ac:dyDescent="0.25">
      <c r="A32" s="91">
        <v>2065</v>
      </c>
      <c r="B32" s="39" t="s">
        <v>18</v>
      </c>
      <c r="C32" s="39" t="s">
        <v>11</v>
      </c>
      <c r="D32" s="39" t="s">
        <v>41</v>
      </c>
      <c r="E32" t="s">
        <v>13</v>
      </c>
      <c r="F32" s="57">
        <v>1493003000</v>
      </c>
      <c r="G32" s="33" t="s">
        <v>315</v>
      </c>
      <c r="H32" s="8" t="s">
        <v>338</v>
      </c>
      <c r="I32" s="7"/>
      <c r="J32" s="36" t="s">
        <v>539</v>
      </c>
      <c r="K32" s="8"/>
      <c r="L32" s="8"/>
      <c r="M32" s="30"/>
    </row>
    <row r="33" spans="1:13" x14ac:dyDescent="0.25">
      <c r="A33" s="100">
        <v>2113</v>
      </c>
      <c r="B33" s="46" t="s">
        <v>10</v>
      </c>
      <c r="C33" s="46" t="s">
        <v>68</v>
      </c>
      <c r="D33" s="46" t="s">
        <v>69</v>
      </c>
      <c r="E33" t="s">
        <v>13</v>
      </c>
      <c r="F33" s="35">
        <v>1165116000</v>
      </c>
      <c r="G33" t="s">
        <v>705</v>
      </c>
      <c r="H33" t="s">
        <v>856</v>
      </c>
    </row>
    <row r="34" spans="1:13" x14ac:dyDescent="0.25">
      <c r="A34" s="101">
        <v>2146</v>
      </c>
      <c r="B34" s="72" t="s">
        <v>18</v>
      </c>
      <c r="C34" s="72" t="s">
        <v>39</v>
      </c>
      <c r="D34" s="72" t="s">
        <v>40</v>
      </c>
      <c r="E34" t="s">
        <v>13</v>
      </c>
      <c r="F34" s="73">
        <v>2081002000</v>
      </c>
      <c r="G34" s="9" t="s">
        <v>707</v>
      </c>
      <c r="H34" s="9" t="s">
        <v>868</v>
      </c>
    </row>
    <row r="35" spans="1:13" x14ac:dyDescent="0.25">
      <c r="A35" s="99">
        <v>2146</v>
      </c>
      <c r="B35" s="77" t="s">
        <v>18</v>
      </c>
      <c r="C35" s="77" t="s">
        <v>39</v>
      </c>
      <c r="D35" s="77" t="s">
        <v>40</v>
      </c>
      <c r="E35" t="s">
        <v>13</v>
      </c>
      <c r="F35" s="78">
        <v>2081002000</v>
      </c>
      <c r="G35" s="9" t="s">
        <v>707</v>
      </c>
      <c r="H35" s="9" t="s">
        <v>868</v>
      </c>
    </row>
    <row r="36" spans="1:13" x14ac:dyDescent="0.25">
      <c r="A36" s="91">
        <v>2267</v>
      </c>
      <c r="B36" s="39" t="s">
        <v>10</v>
      </c>
      <c r="C36" s="39" t="s">
        <v>68</v>
      </c>
      <c r="D36" s="39" t="s">
        <v>310</v>
      </c>
      <c r="E36" t="s">
        <v>13</v>
      </c>
      <c r="F36" s="57">
        <v>1014007</v>
      </c>
      <c r="G36" s="33" t="s">
        <v>309</v>
      </c>
      <c r="H36" s="8" t="s">
        <v>338</v>
      </c>
      <c r="I36" s="7"/>
      <c r="J36" s="7" t="s">
        <v>323</v>
      </c>
      <c r="K36" s="8"/>
      <c r="L36" s="8"/>
      <c r="M36" s="30"/>
    </row>
    <row r="37" spans="1:13" x14ac:dyDescent="0.25">
      <c r="A37" s="91">
        <v>2274</v>
      </c>
      <c r="B37" s="39" t="s">
        <v>70</v>
      </c>
      <c r="C37" s="39" t="s">
        <v>39</v>
      </c>
      <c r="D37" s="39" t="s">
        <v>49</v>
      </c>
      <c r="E37" t="s">
        <v>13</v>
      </c>
      <c r="F37" s="57">
        <v>2548017000</v>
      </c>
      <c r="G37" s="33" t="s">
        <v>62</v>
      </c>
      <c r="H37" s="8" t="s">
        <v>339</v>
      </c>
      <c r="I37" s="7"/>
      <c r="J37" s="7" t="s">
        <v>529</v>
      </c>
      <c r="K37" s="8"/>
      <c r="L37" s="8"/>
      <c r="M37" s="30"/>
    </row>
    <row r="38" spans="1:13" x14ac:dyDescent="0.25">
      <c r="A38" s="101">
        <v>2314</v>
      </c>
      <c r="B38" s="72" t="s">
        <v>284</v>
      </c>
      <c r="C38" s="72" t="s">
        <v>383</v>
      </c>
      <c r="D38" s="72" t="s">
        <v>717</v>
      </c>
      <c r="E38" t="s">
        <v>13</v>
      </c>
      <c r="F38" s="73">
        <v>3316001000</v>
      </c>
      <c r="G38" s="9" t="s">
        <v>718</v>
      </c>
      <c r="H38" s="9" t="s">
        <v>868</v>
      </c>
    </row>
    <row r="39" spans="1:13" x14ac:dyDescent="0.25">
      <c r="A39" s="95">
        <v>2329</v>
      </c>
      <c r="B39" s="39" t="s">
        <v>10</v>
      </c>
      <c r="C39" s="39" t="s">
        <v>11</v>
      </c>
      <c r="D39" s="39" t="s">
        <v>26</v>
      </c>
      <c r="E39" t="s">
        <v>13</v>
      </c>
      <c r="F39" s="57">
        <v>1165000000</v>
      </c>
      <c r="G39" s="33" t="s">
        <v>216</v>
      </c>
      <c r="H39" s="8" t="s">
        <v>215</v>
      </c>
      <c r="I39" s="7"/>
      <c r="J39" s="7" t="s">
        <v>529</v>
      </c>
      <c r="K39" s="8"/>
      <c r="L39" s="8"/>
      <c r="M39" s="30"/>
    </row>
    <row r="40" spans="1:13" x14ac:dyDescent="0.25">
      <c r="A40" s="94">
        <v>2540</v>
      </c>
      <c r="B40" s="6" t="s">
        <v>31</v>
      </c>
      <c r="C40" s="6" t="s">
        <v>149</v>
      </c>
      <c r="D40" s="6" t="s">
        <v>225</v>
      </c>
      <c r="E40" t="s">
        <v>13</v>
      </c>
      <c r="F40" s="3">
        <v>1165000000</v>
      </c>
      <c r="G40" s="11" t="s">
        <v>216</v>
      </c>
      <c r="I40" s="4"/>
      <c r="J40" s="4"/>
      <c r="M40" s="5"/>
    </row>
    <row r="41" spans="1:13" x14ac:dyDescent="0.25">
      <c r="A41" s="91">
        <v>2593</v>
      </c>
      <c r="B41" s="39" t="s">
        <v>18</v>
      </c>
      <c r="C41" s="39" t="s">
        <v>11</v>
      </c>
      <c r="D41" s="39" t="s">
        <v>19</v>
      </c>
      <c r="E41" t="s">
        <v>13</v>
      </c>
      <c r="F41" s="57">
        <v>165001000</v>
      </c>
      <c r="G41" s="33" t="s">
        <v>319</v>
      </c>
      <c r="H41" s="8" t="s">
        <v>338</v>
      </c>
      <c r="I41" s="7"/>
      <c r="J41" s="7" t="s">
        <v>323</v>
      </c>
      <c r="K41" s="8"/>
      <c r="L41" s="8"/>
      <c r="M41" s="30"/>
    </row>
    <row r="42" spans="1:13" x14ac:dyDescent="0.25">
      <c r="A42" s="91">
        <v>2613</v>
      </c>
      <c r="B42" s="57" t="s">
        <v>119</v>
      </c>
      <c r="C42" s="57" t="s">
        <v>726</v>
      </c>
      <c r="D42" s="57" t="s">
        <v>727</v>
      </c>
      <c r="E42" t="s">
        <v>13</v>
      </c>
      <c r="F42" s="54">
        <v>3265001000</v>
      </c>
      <c r="G42" s="8" t="s">
        <v>599</v>
      </c>
      <c r="H42" s="8" t="s">
        <v>842</v>
      </c>
      <c r="I42" s="7"/>
      <c r="J42" s="7"/>
      <c r="K42" s="8"/>
      <c r="L42" s="8"/>
      <c r="M42" s="8"/>
    </row>
    <row r="43" spans="1:13" x14ac:dyDescent="0.25">
      <c r="A43" s="91">
        <v>2624</v>
      </c>
      <c r="B43" s="39" t="s">
        <v>10</v>
      </c>
      <c r="C43" s="39" t="s">
        <v>59</v>
      </c>
      <c r="D43" s="39" t="s">
        <v>60</v>
      </c>
      <c r="E43" t="s">
        <v>13</v>
      </c>
      <c r="F43" s="33">
        <v>2044029000</v>
      </c>
      <c r="G43" s="33" t="s">
        <v>382</v>
      </c>
      <c r="H43" s="8" t="s">
        <v>380</v>
      </c>
      <c r="I43" s="7"/>
      <c r="J43" s="7" t="s">
        <v>542</v>
      </c>
      <c r="K43" s="8"/>
      <c r="L43" s="8"/>
      <c r="M43" s="30"/>
    </row>
    <row r="44" spans="1:13" x14ac:dyDescent="0.25">
      <c r="A44" s="92">
        <v>2680</v>
      </c>
      <c r="B44" s="40" t="s">
        <v>184</v>
      </c>
      <c r="C44" s="40" t="s">
        <v>383</v>
      </c>
      <c r="D44" s="40" t="s">
        <v>421</v>
      </c>
      <c r="E44" t="s">
        <v>13</v>
      </c>
      <c r="F44" s="61"/>
      <c r="G44" s="66"/>
      <c r="H44" s="9"/>
      <c r="I44" s="10"/>
      <c r="J44" s="10" t="s">
        <v>827</v>
      </c>
      <c r="K44" s="9"/>
      <c r="L44" s="9"/>
      <c r="M44" s="13"/>
    </row>
    <row r="45" spans="1:13" x14ac:dyDescent="0.25">
      <c r="A45" s="92">
        <v>2815</v>
      </c>
      <c r="B45" s="40" t="s">
        <v>403</v>
      </c>
      <c r="C45" s="40" t="s">
        <v>32</v>
      </c>
      <c r="D45" s="40" t="s">
        <v>404</v>
      </c>
      <c r="E45" t="s">
        <v>13</v>
      </c>
      <c r="F45" s="61">
        <v>2905001000</v>
      </c>
      <c r="G45" s="12"/>
      <c r="H45" s="9"/>
      <c r="I45" s="10"/>
      <c r="J45" s="10" t="s">
        <v>544</v>
      </c>
      <c r="K45" s="9"/>
      <c r="L45" s="9"/>
      <c r="M45" s="13"/>
    </row>
    <row r="46" spans="1:13" x14ac:dyDescent="0.25">
      <c r="A46" s="94">
        <v>3275</v>
      </c>
      <c r="B46" s="46" t="s">
        <v>10</v>
      </c>
      <c r="C46" s="46" t="s">
        <v>46</v>
      </c>
      <c r="D46" s="46" t="s">
        <v>84</v>
      </c>
      <c r="E46" t="s">
        <v>13</v>
      </c>
      <c r="F46" s="35">
        <v>3260001000</v>
      </c>
      <c r="G46" t="s">
        <v>732</v>
      </c>
      <c r="H46" t="s">
        <v>549</v>
      </c>
      <c r="I46" s="4"/>
      <c r="J46" s="4" t="s">
        <v>877</v>
      </c>
    </row>
    <row r="47" spans="1:13" x14ac:dyDescent="0.25">
      <c r="A47" s="94">
        <v>3321</v>
      </c>
      <c r="B47" s="3" t="s">
        <v>148</v>
      </c>
      <c r="C47" s="3" t="s">
        <v>101</v>
      </c>
      <c r="D47" s="3" t="s">
        <v>786</v>
      </c>
      <c r="E47" t="s">
        <v>13</v>
      </c>
      <c r="F47" s="3">
        <v>157004000</v>
      </c>
      <c r="G47" t="s">
        <v>626</v>
      </c>
      <c r="H47" t="s">
        <v>829</v>
      </c>
      <c r="I47" s="4"/>
      <c r="J47" s="4"/>
    </row>
    <row r="48" spans="1:13" x14ac:dyDescent="0.25">
      <c r="A48" s="96">
        <v>3396</v>
      </c>
      <c r="B48" s="50" t="s">
        <v>10</v>
      </c>
      <c r="C48" s="50" t="s">
        <v>59</v>
      </c>
      <c r="D48" s="50" t="s">
        <v>60</v>
      </c>
      <c r="E48" t="s">
        <v>13</v>
      </c>
      <c r="F48" s="59">
        <v>2962003000</v>
      </c>
      <c r="G48" s="51" t="s">
        <v>230</v>
      </c>
      <c r="H48" s="90"/>
      <c r="I48" s="48"/>
      <c r="J48" s="53"/>
      <c r="K48" s="47"/>
      <c r="L48" s="47"/>
      <c r="M48" s="4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M1494"/>
  <sheetViews>
    <sheetView tabSelected="1" zoomScale="78" zoomScaleNormal="78" workbookViewId="0">
      <pane ySplit="1" topLeftCell="A923" activePane="bottomLeft" state="frozen"/>
      <selection pane="bottomLeft" activeCell="A1191" sqref="A1191"/>
    </sheetView>
  </sheetViews>
  <sheetFormatPr baseColWidth="10" defaultRowHeight="15" x14ac:dyDescent="0.25"/>
  <cols>
    <col min="1" max="1" width="18.42578125" style="19" bestFit="1" customWidth="1"/>
    <col min="2" max="2" width="44.5703125" customWidth="1"/>
    <col min="3" max="3" width="26.140625" customWidth="1"/>
    <col min="4" max="4" width="30" bestFit="1" customWidth="1"/>
    <col min="5" max="5" width="23.28515625" style="4" bestFit="1" customWidth="1"/>
    <col min="6" max="6" width="12.7109375" style="11" customWidth="1"/>
    <col min="7" max="7" width="86" style="11" customWidth="1"/>
    <col min="8" max="8" width="16.42578125" customWidth="1"/>
    <col min="9" max="9" width="28.140625" style="4" customWidth="1"/>
    <col min="10" max="10" width="21.5703125" style="4" customWidth="1"/>
    <col min="11" max="11" width="13" style="71" customWidth="1"/>
    <col min="13" max="13" width="8.5703125" style="5" customWidth="1"/>
  </cols>
  <sheetData>
    <row r="1" spans="1:13" x14ac:dyDescent="0.25">
      <c r="A1" s="122" t="s">
        <v>0</v>
      </c>
      <c r="B1" s="37" t="s">
        <v>1</v>
      </c>
      <c r="C1" s="37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37" t="s">
        <v>7</v>
      </c>
      <c r="I1" s="14" t="s">
        <v>8</v>
      </c>
      <c r="J1" s="14" t="s">
        <v>9</v>
      </c>
      <c r="K1" s="14" t="s">
        <v>8</v>
      </c>
      <c r="L1" s="34" t="s">
        <v>9</v>
      </c>
      <c r="M1" s="2" t="s">
        <v>340</v>
      </c>
    </row>
    <row r="2" spans="1:13" hidden="1" x14ac:dyDescent="0.25">
      <c r="A2" s="127">
        <v>2409</v>
      </c>
      <c r="B2" s="46" t="s">
        <v>913</v>
      </c>
      <c r="C2" s="46" t="s">
        <v>914</v>
      </c>
      <c r="D2" s="46" t="s">
        <v>915</v>
      </c>
      <c r="E2" s="46" t="s">
        <v>419</v>
      </c>
      <c r="F2" s="35">
        <v>66011000</v>
      </c>
      <c r="G2" t="s">
        <v>548</v>
      </c>
      <c r="H2" s="4"/>
      <c r="J2" s="71"/>
      <c r="K2"/>
      <c r="L2" s="5"/>
      <c r="M2"/>
    </row>
    <row r="3" spans="1:13" hidden="1" x14ac:dyDescent="0.25">
      <c r="A3" s="127">
        <v>2481</v>
      </c>
      <c r="B3" s="46" t="s">
        <v>916</v>
      </c>
      <c r="C3" s="46" t="s">
        <v>383</v>
      </c>
      <c r="D3" s="46" t="s">
        <v>917</v>
      </c>
      <c r="E3" s="46" t="s">
        <v>419</v>
      </c>
      <c r="F3" s="35">
        <v>66031000</v>
      </c>
      <c r="G3" t="s">
        <v>560</v>
      </c>
      <c r="H3" s="4"/>
      <c r="J3" s="71"/>
      <c r="K3"/>
      <c r="L3" s="5"/>
      <c r="M3"/>
    </row>
    <row r="4" spans="1:13" hidden="1" x14ac:dyDescent="0.25">
      <c r="A4" s="127">
        <v>2487</v>
      </c>
      <c r="B4" s="46" t="s">
        <v>916</v>
      </c>
      <c r="C4" s="46" t="s">
        <v>383</v>
      </c>
      <c r="D4" s="46" t="s">
        <v>917</v>
      </c>
      <c r="E4" s="46" t="s">
        <v>419</v>
      </c>
      <c r="F4" s="35">
        <v>1014001</v>
      </c>
      <c r="G4" t="s">
        <v>543</v>
      </c>
      <c r="H4" s="4"/>
      <c r="J4" s="71"/>
      <c r="K4"/>
      <c r="L4" s="5"/>
      <c r="M4"/>
    </row>
    <row r="5" spans="1:13" hidden="1" x14ac:dyDescent="0.25">
      <c r="A5" s="127">
        <v>2491</v>
      </c>
      <c r="B5" s="46" t="s">
        <v>916</v>
      </c>
      <c r="C5" s="46" t="s">
        <v>383</v>
      </c>
      <c r="D5" s="46" t="s">
        <v>917</v>
      </c>
      <c r="E5" s="46" t="s">
        <v>419</v>
      </c>
      <c r="F5" s="35">
        <v>3154002000</v>
      </c>
      <c r="G5" t="s">
        <v>744</v>
      </c>
      <c r="H5" s="4"/>
      <c r="J5" s="71"/>
      <c r="K5"/>
      <c r="L5" s="5"/>
      <c r="M5"/>
    </row>
    <row r="6" spans="1:13" hidden="1" x14ac:dyDescent="0.25">
      <c r="A6" s="127">
        <v>2492</v>
      </c>
      <c r="B6" s="46" t="s">
        <v>916</v>
      </c>
      <c r="C6" s="46" t="s">
        <v>383</v>
      </c>
      <c r="D6" s="46" t="s">
        <v>917</v>
      </c>
      <c r="E6" s="46" t="s">
        <v>419</v>
      </c>
      <c r="F6" s="35">
        <v>1014002</v>
      </c>
      <c r="G6" t="s">
        <v>564</v>
      </c>
      <c r="H6" s="4"/>
      <c r="J6" s="71"/>
      <c r="K6"/>
      <c r="L6" s="5"/>
      <c r="M6"/>
    </row>
    <row r="7" spans="1:13" hidden="1" x14ac:dyDescent="0.25">
      <c r="A7" s="127">
        <v>2506</v>
      </c>
      <c r="B7" s="46" t="s">
        <v>916</v>
      </c>
      <c r="C7" s="46" t="s">
        <v>383</v>
      </c>
      <c r="D7" s="46" t="s">
        <v>917</v>
      </c>
      <c r="E7" s="46" t="s">
        <v>419</v>
      </c>
      <c r="F7" s="35">
        <v>66031000</v>
      </c>
      <c r="G7" t="s">
        <v>560</v>
      </c>
      <c r="H7" s="4"/>
      <c r="J7" s="71"/>
      <c r="K7"/>
      <c r="L7" s="5"/>
      <c r="M7"/>
    </row>
    <row r="8" spans="1:13" hidden="1" x14ac:dyDescent="0.25">
      <c r="A8" s="127">
        <v>2519</v>
      </c>
      <c r="B8" s="46" t="s">
        <v>916</v>
      </c>
      <c r="C8" s="46" t="s">
        <v>395</v>
      </c>
      <c r="D8" s="46" t="s">
        <v>920</v>
      </c>
      <c r="E8" s="46" t="s">
        <v>419</v>
      </c>
      <c r="F8" s="35">
        <v>66011000</v>
      </c>
      <c r="G8" t="s">
        <v>548</v>
      </c>
      <c r="H8" s="4"/>
      <c r="J8" s="71"/>
      <c r="K8"/>
      <c r="L8" s="5"/>
      <c r="M8"/>
    </row>
    <row r="9" spans="1:13" hidden="1" x14ac:dyDescent="0.25">
      <c r="A9" s="127">
        <v>2548</v>
      </c>
      <c r="B9" s="46" t="s">
        <v>916</v>
      </c>
      <c r="C9" s="46" t="s">
        <v>383</v>
      </c>
      <c r="D9" s="46" t="s">
        <v>719</v>
      </c>
      <c r="E9" s="46" t="s">
        <v>419</v>
      </c>
      <c r="F9" s="35">
        <v>66031000</v>
      </c>
      <c r="G9" t="s">
        <v>560</v>
      </c>
      <c r="H9" s="4"/>
      <c r="J9" s="71"/>
      <c r="K9"/>
      <c r="L9" s="5"/>
      <c r="M9"/>
    </row>
    <row r="10" spans="1:13" hidden="1" x14ac:dyDescent="0.25">
      <c r="A10" s="127">
        <v>2561</v>
      </c>
      <c r="B10" s="46" t="s">
        <v>916</v>
      </c>
      <c r="C10" s="46" t="s">
        <v>383</v>
      </c>
      <c r="D10" s="46" t="s">
        <v>917</v>
      </c>
      <c r="E10" s="46" t="s">
        <v>419</v>
      </c>
      <c r="F10" s="35">
        <v>66035000</v>
      </c>
      <c r="G10" t="s">
        <v>597</v>
      </c>
      <c r="H10" s="4"/>
      <c r="J10" s="71"/>
      <c r="K10"/>
      <c r="L10" s="5"/>
      <c r="M10"/>
    </row>
    <row r="11" spans="1:13" hidden="1" x14ac:dyDescent="0.25">
      <c r="A11" s="127">
        <v>2572</v>
      </c>
      <c r="B11" s="46" t="s">
        <v>916</v>
      </c>
      <c r="C11" s="46" t="s">
        <v>383</v>
      </c>
      <c r="D11" s="46" t="s">
        <v>719</v>
      </c>
      <c r="E11" s="46" t="s">
        <v>419</v>
      </c>
      <c r="F11" s="35">
        <v>2548013000</v>
      </c>
      <c r="G11" t="s">
        <v>642</v>
      </c>
      <c r="H11" s="4"/>
      <c r="J11" s="71"/>
      <c r="K11"/>
      <c r="L11" s="5"/>
      <c r="M11"/>
    </row>
    <row r="12" spans="1:13" hidden="1" x14ac:dyDescent="0.25">
      <c r="A12" s="127">
        <v>2580</v>
      </c>
      <c r="B12" s="46" t="s">
        <v>916</v>
      </c>
      <c r="C12" s="46" t="s">
        <v>723</v>
      </c>
      <c r="D12" s="46" t="s">
        <v>719</v>
      </c>
      <c r="E12" s="46" t="s">
        <v>419</v>
      </c>
      <c r="F12" s="35">
        <v>1321001000</v>
      </c>
      <c r="G12" t="s">
        <v>666</v>
      </c>
      <c r="H12" s="4"/>
      <c r="J12" s="71"/>
      <c r="K12"/>
      <c r="L12" s="5"/>
      <c r="M12"/>
    </row>
    <row r="13" spans="1:13" hidden="1" x14ac:dyDescent="0.25">
      <c r="A13" s="127">
        <v>2582</v>
      </c>
      <c r="B13" s="46" t="s">
        <v>916</v>
      </c>
      <c r="C13" s="46" t="s">
        <v>723</v>
      </c>
      <c r="D13" s="46" t="s">
        <v>719</v>
      </c>
      <c r="E13" s="46" t="s">
        <v>419</v>
      </c>
      <c r="F13" s="35">
        <v>2315001000</v>
      </c>
      <c r="G13" t="s">
        <v>655</v>
      </c>
      <c r="H13" s="4"/>
      <c r="J13" s="71"/>
      <c r="K13"/>
      <c r="L13" s="5"/>
      <c r="M13"/>
    </row>
    <row r="14" spans="1:13" hidden="1" x14ac:dyDescent="0.25">
      <c r="A14" s="16">
        <v>2583</v>
      </c>
      <c r="B14" s="46" t="s">
        <v>916</v>
      </c>
      <c r="C14" s="46" t="s">
        <v>723</v>
      </c>
      <c r="D14" s="46" t="s">
        <v>719</v>
      </c>
      <c r="E14" s="3" t="s">
        <v>419</v>
      </c>
      <c r="F14" s="35">
        <v>66034000</v>
      </c>
      <c r="G14" t="s">
        <v>672</v>
      </c>
      <c r="H14" s="11"/>
    </row>
    <row r="15" spans="1:13" hidden="1" x14ac:dyDescent="0.25">
      <c r="A15" s="127">
        <v>2638</v>
      </c>
      <c r="B15" s="46" t="s">
        <v>916</v>
      </c>
      <c r="C15" s="46" t="s">
        <v>383</v>
      </c>
      <c r="D15" s="46" t="s">
        <v>719</v>
      </c>
      <c r="E15" s="46" t="s">
        <v>419</v>
      </c>
      <c r="F15" s="35">
        <v>2840001000</v>
      </c>
      <c r="G15" t="s">
        <v>578</v>
      </c>
      <c r="H15" s="4"/>
      <c r="J15" s="71"/>
      <c r="K15"/>
      <c r="L15" s="5"/>
      <c r="M15"/>
    </row>
    <row r="16" spans="1:13" hidden="1" x14ac:dyDescent="0.25">
      <c r="A16" s="127">
        <v>2650</v>
      </c>
      <c r="B16" s="46" t="s">
        <v>913</v>
      </c>
      <c r="C16" s="46" t="s">
        <v>923</v>
      </c>
      <c r="D16" s="46" t="s">
        <v>40</v>
      </c>
      <c r="E16" s="46" t="s">
        <v>419</v>
      </c>
      <c r="F16" s="35">
        <v>66011000</v>
      </c>
      <c r="G16" t="s">
        <v>548</v>
      </c>
      <c r="H16" s="4"/>
      <c r="J16" s="71"/>
      <c r="K16"/>
      <c r="L16" s="5"/>
      <c r="M16"/>
    </row>
    <row r="17" spans="1:13" hidden="1" x14ac:dyDescent="0.25">
      <c r="A17" s="127">
        <v>2670</v>
      </c>
      <c r="B17" s="46" t="s">
        <v>916</v>
      </c>
      <c r="C17" s="46" t="s">
        <v>383</v>
      </c>
      <c r="D17" s="46" t="s">
        <v>917</v>
      </c>
      <c r="E17" s="46" t="s">
        <v>419</v>
      </c>
      <c r="F17" s="35">
        <v>2886002000</v>
      </c>
      <c r="G17" t="s">
        <v>617</v>
      </c>
      <c r="H17" s="4"/>
      <c r="J17" s="71"/>
      <c r="K17"/>
      <c r="L17" s="5"/>
      <c r="M17"/>
    </row>
    <row r="18" spans="1:13" hidden="1" x14ac:dyDescent="0.25">
      <c r="A18" s="127">
        <v>2674</v>
      </c>
      <c r="B18" s="46" t="s">
        <v>916</v>
      </c>
      <c r="C18" s="46" t="s">
        <v>383</v>
      </c>
      <c r="D18" s="46" t="s">
        <v>924</v>
      </c>
      <c r="E18" s="46" t="s">
        <v>419</v>
      </c>
      <c r="F18" s="35">
        <v>66031000</v>
      </c>
      <c r="G18" t="s">
        <v>560</v>
      </c>
      <c r="H18" s="4"/>
      <c r="J18" s="71"/>
      <c r="K18"/>
      <c r="L18" s="5"/>
      <c r="M18"/>
    </row>
    <row r="19" spans="1:13" hidden="1" x14ac:dyDescent="0.25">
      <c r="A19" s="94">
        <v>2680</v>
      </c>
      <c r="B19" s="40" t="s">
        <v>184</v>
      </c>
      <c r="C19" s="40" t="s">
        <v>383</v>
      </c>
      <c r="D19" s="40" t="s">
        <v>421</v>
      </c>
      <c r="E19" s="11" t="s">
        <v>419</v>
      </c>
      <c r="F19" s="61"/>
      <c r="G19" s="66"/>
      <c r="H19" s="9"/>
      <c r="I19" s="10"/>
      <c r="J19" s="10" t="s">
        <v>827</v>
      </c>
      <c r="K19" s="107"/>
      <c r="L19" s="9"/>
      <c r="M19" s="13"/>
    </row>
    <row r="20" spans="1:13" hidden="1" x14ac:dyDescent="0.25">
      <c r="A20" s="16">
        <v>2685</v>
      </c>
      <c r="B20" s="6" t="s">
        <v>184</v>
      </c>
      <c r="E20" s="11" t="s">
        <v>419</v>
      </c>
      <c r="G20" s="11" t="s">
        <v>392</v>
      </c>
      <c r="H20" s="11" t="s">
        <v>380</v>
      </c>
      <c r="I20" s="4" t="s">
        <v>396</v>
      </c>
      <c r="J20" s="4" t="s">
        <v>381</v>
      </c>
      <c r="K20" s="71">
        <v>4</v>
      </c>
      <c r="L20" t="s">
        <v>37</v>
      </c>
      <c r="M20" s="5">
        <f>K20</f>
        <v>4</v>
      </c>
    </row>
    <row r="21" spans="1:13" hidden="1" x14ac:dyDescent="0.25">
      <c r="A21" s="127">
        <v>2687</v>
      </c>
      <c r="B21" s="46" t="s">
        <v>916</v>
      </c>
      <c r="C21" s="46" t="s">
        <v>383</v>
      </c>
      <c r="D21" s="46" t="s">
        <v>917</v>
      </c>
      <c r="E21" s="46" t="s">
        <v>419</v>
      </c>
      <c r="F21" s="35">
        <v>1406010000</v>
      </c>
      <c r="G21" t="s">
        <v>683</v>
      </c>
      <c r="H21" s="4"/>
      <c r="J21" s="71"/>
      <c r="K21"/>
      <c r="L21" s="5"/>
      <c r="M21"/>
    </row>
    <row r="22" spans="1:13" hidden="1" x14ac:dyDescent="0.25">
      <c r="A22" s="127">
        <v>2691</v>
      </c>
      <c r="B22" s="46" t="s">
        <v>916</v>
      </c>
      <c r="C22" s="46" t="s">
        <v>383</v>
      </c>
      <c r="D22" s="46" t="s">
        <v>917</v>
      </c>
      <c r="E22" s="46" t="s">
        <v>419</v>
      </c>
      <c r="F22" s="35">
        <v>1014001</v>
      </c>
      <c r="G22" t="s">
        <v>543</v>
      </c>
      <c r="H22" s="4"/>
      <c r="J22" s="71"/>
      <c r="K22"/>
      <c r="L22" s="5"/>
      <c r="M22"/>
    </row>
    <row r="23" spans="1:13" hidden="1" x14ac:dyDescent="0.25">
      <c r="A23" s="127">
        <v>2693</v>
      </c>
      <c r="B23" s="46" t="s">
        <v>916</v>
      </c>
      <c r="C23" s="46" t="s">
        <v>383</v>
      </c>
      <c r="D23" s="46" t="s">
        <v>924</v>
      </c>
      <c r="E23" s="46" t="s">
        <v>419</v>
      </c>
      <c r="F23" s="35">
        <v>66011000</v>
      </c>
      <c r="G23" t="s">
        <v>548</v>
      </c>
      <c r="H23" s="4"/>
      <c r="J23" s="71"/>
      <c r="K23"/>
      <c r="L23" s="5"/>
      <c r="M23"/>
    </row>
    <row r="24" spans="1:13" hidden="1" x14ac:dyDescent="0.25">
      <c r="A24" s="127">
        <v>2744</v>
      </c>
      <c r="B24" s="46" t="s">
        <v>916</v>
      </c>
      <c r="C24" s="46" t="s">
        <v>723</v>
      </c>
      <c r="D24" s="46" t="s">
        <v>719</v>
      </c>
      <c r="E24" s="46" t="s">
        <v>419</v>
      </c>
      <c r="F24" s="35">
        <v>2514001000</v>
      </c>
      <c r="G24" t="s">
        <v>623</v>
      </c>
      <c r="H24" s="4"/>
      <c r="J24" s="71"/>
      <c r="K24"/>
      <c r="L24" s="5"/>
      <c r="M24"/>
    </row>
    <row r="25" spans="1:13" hidden="1" x14ac:dyDescent="0.25">
      <c r="A25" s="127">
        <v>2774</v>
      </c>
      <c r="B25" s="46" t="s">
        <v>916</v>
      </c>
      <c r="C25" s="46" t="s">
        <v>395</v>
      </c>
      <c r="D25" s="46" t="s">
        <v>935</v>
      </c>
      <c r="E25" s="46" t="s">
        <v>419</v>
      </c>
      <c r="F25" s="35">
        <v>3042058002</v>
      </c>
      <c r="G25" t="s">
        <v>586</v>
      </c>
      <c r="H25" s="4"/>
      <c r="J25" s="71"/>
      <c r="K25"/>
      <c r="L25" s="5"/>
      <c r="M25"/>
    </row>
    <row r="26" spans="1:13" hidden="1" x14ac:dyDescent="0.25">
      <c r="A26" s="127">
        <v>2776</v>
      </c>
      <c r="B26" s="46" t="s">
        <v>916</v>
      </c>
      <c r="C26" s="46" t="s">
        <v>395</v>
      </c>
      <c r="D26" s="46" t="s">
        <v>935</v>
      </c>
      <c r="E26" s="46" t="s">
        <v>419</v>
      </c>
      <c r="F26" s="35">
        <v>66031000</v>
      </c>
      <c r="G26" t="s">
        <v>560</v>
      </c>
      <c r="H26" s="4"/>
      <c r="J26" s="71"/>
      <c r="K26"/>
      <c r="L26" s="5"/>
      <c r="M26"/>
    </row>
    <row r="27" spans="1:13" hidden="1" x14ac:dyDescent="0.25">
      <c r="A27" s="127">
        <v>2777</v>
      </c>
      <c r="B27" s="46" t="s">
        <v>916</v>
      </c>
      <c r="C27" s="46" t="s">
        <v>395</v>
      </c>
      <c r="D27" s="46" t="s">
        <v>936</v>
      </c>
      <c r="E27" s="46" t="s">
        <v>419</v>
      </c>
      <c r="F27" s="35">
        <v>66011000</v>
      </c>
      <c r="G27" t="s">
        <v>548</v>
      </c>
      <c r="H27" s="4"/>
      <c r="J27" s="71"/>
      <c r="K27"/>
      <c r="L27" s="5"/>
      <c r="M27"/>
    </row>
    <row r="28" spans="1:13" hidden="1" x14ac:dyDescent="0.25">
      <c r="A28" s="127">
        <v>2778</v>
      </c>
      <c r="B28" s="46" t="s">
        <v>916</v>
      </c>
      <c r="C28" s="46" t="s">
        <v>395</v>
      </c>
      <c r="D28" s="46" t="s">
        <v>935</v>
      </c>
      <c r="E28" s="46" t="s">
        <v>419</v>
      </c>
      <c r="F28" s="35">
        <v>3042058001</v>
      </c>
      <c r="G28" t="s">
        <v>766</v>
      </c>
      <c r="H28" s="4"/>
      <c r="J28" s="71"/>
      <c r="K28"/>
      <c r="L28" s="5"/>
      <c r="M28"/>
    </row>
    <row r="29" spans="1:13" hidden="1" x14ac:dyDescent="0.25">
      <c r="A29" s="127">
        <v>2784</v>
      </c>
      <c r="B29" s="46" t="s">
        <v>916</v>
      </c>
      <c r="C29" s="46" t="s">
        <v>395</v>
      </c>
      <c r="D29" s="46" t="s">
        <v>936</v>
      </c>
      <c r="E29" s="46" t="s">
        <v>419</v>
      </c>
      <c r="F29" s="35">
        <v>1014002</v>
      </c>
      <c r="G29" t="s">
        <v>564</v>
      </c>
      <c r="H29" s="4"/>
      <c r="J29" s="71"/>
      <c r="K29"/>
      <c r="L29" s="5"/>
      <c r="M29"/>
    </row>
    <row r="30" spans="1:13" hidden="1" x14ac:dyDescent="0.25">
      <c r="A30" s="127">
        <v>2795</v>
      </c>
      <c r="B30" s="46" t="s">
        <v>938</v>
      </c>
      <c r="C30" s="46" t="s">
        <v>442</v>
      </c>
      <c r="D30" s="46">
        <v>1000</v>
      </c>
      <c r="E30" s="46" t="s">
        <v>419</v>
      </c>
      <c r="F30" s="35">
        <v>66011000</v>
      </c>
      <c r="G30" t="s">
        <v>548</v>
      </c>
      <c r="H30" s="4"/>
      <c r="J30" s="71"/>
      <c r="K30"/>
      <c r="L30" s="5"/>
      <c r="M30"/>
    </row>
    <row r="31" spans="1:13" hidden="1" x14ac:dyDescent="0.25">
      <c r="A31" s="127">
        <v>2826</v>
      </c>
      <c r="B31" s="46" t="s">
        <v>938</v>
      </c>
      <c r="C31" s="46" t="s">
        <v>442</v>
      </c>
      <c r="D31" s="46">
        <v>1000</v>
      </c>
      <c r="E31" s="46" t="s">
        <v>419</v>
      </c>
      <c r="F31" s="35">
        <v>1014001</v>
      </c>
      <c r="G31" t="s">
        <v>543</v>
      </c>
      <c r="H31" s="4"/>
      <c r="J31" s="71"/>
      <c r="K31"/>
      <c r="L31" s="5"/>
      <c r="M31"/>
    </row>
    <row r="32" spans="1:13" hidden="1" x14ac:dyDescent="0.25">
      <c r="A32" s="127">
        <v>2865</v>
      </c>
      <c r="B32" s="46" t="s">
        <v>916</v>
      </c>
      <c r="C32" s="46" t="s">
        <v>383</v>
      </c>
      <c r="D32" s="46" t="s">
        <v>917</v>
      </c>
      <c r="E32" s="46" t="s">
        <v>419</v>
      </c>
      <c r="F32" s="35">
        <v>66031000</v>
      </c>
      <c r="G32" t="s">
        <v>560</v>
      </c>
      <c r="H32" s="4"/>
      <c r="J32" s="71"/>
      <c r="K32"/>
      <c r="L32" s="5"/>
      <c r="M32"/>
    </row>
    <row r="33" spans="1:13" hidden="1" x14ac:dyDescent="0.25">
      <c r="A33" s="127">
        <v>2866</v>
      </c>
      <c r="B33" s="46" t="s">
        <v>916</v>
      </c>
      <c r="C33" s="46" t="s">
        <v>383</v>
      </c>
      <c r="D33" s="46" t="s">
        <v>917</v>
      </c>
      <c r="E33" s="46" t="s">
        <v>419</v>
      </c>
      <c r="F33" s="35">
        <v>3135001000</v>
      </c>
      <c r="G33" t="s">
        <v>551</v>
      </c>
      <c r="H33" s="4"/>
      <c r="J33" s="71"/>
      <c r="K33"/>
      <c r="L33" s="5"/>
      <c r="M33"/>
    </row>
    <row r="34" spans="1:13" hidden="1" x14ac:dyDescent="0.25">
      <c r="A34" s="127">
        <v>2867</v>
      </c>
      <c r="B34" s="46" t="s">
        <v>916</v>
      </c>
      <c r="C34" s="46" t="s">
        <v>383</v>
      </c>
      <c r="D34" s="46" t="s">
        <v>917</v>
      </c>
      <c r="E34" s="46" t="s">
        <v>419</v>
      </c>
      <c r="F34" s="35">
        <v>66032000</v>
      </c>
      <c r="G34" t="s">
        <v>563</v>
      </c>
      <c r="H34" s="4"/>
      <c r="J34" s="71"/>
      <c r="K34"/>
      <c r="L34" s="5"/>
      <c r="M34"/>
    </row>
    <row r="35" spans="1:13" hidden="1" x14ac:dyDescent="0.25">
      <c r="A35" s="127">
        <v>2869</v>
      </c>
      <c r="B35" s="46" t="s">
        <v>916</v>
      </c>
      <c r="C35" s="46" t="s">
        <v>383</v>
      </c>
      <c r="D35" s="46" t="s">
        <v>917</v>
      </c>
      <c r="E35" s="46" t="s">
        <v>419</v>
      </c>
      <c r="F35" s="35">
        <v>66031000</v>
      </c>
      <c r="G35" t="s">
        <v>560</v>
      </c>
      <c r="H35" s="4"/>
      <c r="J35" s="71"/>
      <c r="K35"/>
      <c r="L35" s="5"/>
      <c r="M35"/>
    </row>
    <row r="36" spans="1:13" hidden="1" x14ac:dyDescent="0.25">
      <c r="A36" s="127">
        <v>2870</v>
      </c>
      <c r="B36" s="46" t="s">
        <v>916</v>
      </c>
      <c r="C36" s="46" t="s">
        <v>383</v>
      </c>
      <c r="D36" s="46" t="s">
        <v>917</v>
      </c>
      <c r="E36" s="46" t="s">
        <v>419</v>
      </c>
      <c r="F36" s="35">
        <v>66032000</v>
      </c>
      <c r="G36" t="s">
        <v>563</v>
      </c>
      <c r="H36" s="4"/>
      <c r="J36" s="71"/>
      <c r="K36"/>
      <c r="L36" s="5"/>
      <c r="M36"/>
    </row>
    <row r="37" spans="1:13" hidden="1" x14ac:dyDescent="0.25">
      <c r="A37" s="127">
        <v>2906</v>
      </c>
      <c r="B37" s="46" t="s">
        <v>916</v>
      </c>
      <c r="C37" s="46" t="s">
        <v>395</v>
      </c>
      <c r="D37" s="46" t="s">
        <v>936</v>
      </c>
      <c r="E37" s="46" t="s">
        <v>419</v>
      </c>
      <c r="F37" s="35">
        <v>165001000</v>
      </c>
      <c r="G37" t="s">
        <v>569</v>
      </c>
      <c r="H37" s="4"/>
      <c r="J37" s="71"/>
      <c r="K37"/>
      <c r="L37" s="5"/>
      <c r="M37"/>
    </row>
    <row r="38" spans="1:13" hidden="1" x14ac:dyDescent="0.25">
      <c r="A38" s="127">
        <v>2907</v>
      </c>
      <c r="B38" s="46" t="s">
        <v>916</v>
      </c>
      <c r="C38" s="46" t="s">
        <v>395</v>
      </c>
      <c r="D38" s="46" t="s">
        <v>936</v>
      </c>
      <c r="E38" s="46" t="s">
        <v>419</v>
      </c>
      <c r="F38" s="35">
        <v>165001000</v>
      </c>
      <c r="G38" t="s">
        <v>569</v>
      </c>
      <c r="H38" s="4"/>
      <c r="J38" s="71"/>
      <c r="K38"/>
      <c r="L38" s="5"/>
      <c r="M38"/>
    </row>
    <row r="39" spans="1:13" hidden="1" x14ac:dyDescent="0.25">
      <c r="A39" s="16">
        <v>2918</v>
      </c>
      <c r="B39" s="6" t="s">
        <v>184</v>
      </c>
      <c r="C39" t="s">
        <v>395</v>
      </c>
      <c r="E39" s="4" t="s">
        <v>419</v>
      </c>
      <c r="G39" s="11" t="s">
        <v>392</v>
      </c>
      <c r="H39" s="11" t="s">
        <v>380</v>
      </c>
      <c r="I39" s="4" t="s">
        <v>396</v>
      </c>
      <c r="J39" s="4" t="s">
        <v>381</v>
      </c>
      <c r="K39" s="71">
        <v>4</v>
      </c>
      <c r="L39" t="s">
        <v>37</v>
      </c>
      <c r="M39" s="5">
        <f>K39</f>
        <v>4</v>
      </c>
    </row>
    <row r="40" spans="1:13" hidden="1" x14ac:dyDescent="0.25">
      <c r="A40" s="127">
        <v>2919</v>
      </c>
      <c r="B40" s="46" t="s">
        <v>916</v>
      </c>
      <c r="C40" s="46" t="s">
        <v>383</v>
      </c>
      <c r="D40" s="46" t="s">
        <v>917</v>
      </c>
      <c r="E40" s="46" t="s">
        <v>419</v>
      </c>
      <c r="F40" s="35">
        <v>529001000</v>
      </c>
      <c r="G40" t="s">
        <v>590</v>
      </c>
      <c r="H40" s="4"/>
      <c r="J40" s="71"/>
      <c r="K40"/>
      <c r="L40" s="5"/>
      <c r="M40"/>
    </row>
    <row r="41" spans="1:13" hidden="1" x14ac:dyDescent="0.25">
      <c r="A41" s="127">
        <v>2921</v>
      </c>
      <c r="B41" s="46" t="s">
        <v>916</v>
      </c>
      <c r="C41" s="46" t="s">
        <v>383</v>
      </c>
      <c r="D41" s="46" t="s">
        <v>719</v>
      </c>
      <c r="E41" s="46" t="s">
        <v>419</v>
      </c>
      <c r="F41" s="35">
        <v>66032000</v>
      </c>
      <c r="G41" t="s">
        <v>563</v>
      </c>
      <c r="H41" s="4"/>
      <c r="J41" s="71"/>
      <c r="K41"/>
      <c r="L41" s="5"/>
      <c r="M41"/>
    </row>
    <row r="42" spans="1:13" hidden="1" x14ac:dyDescent="0.25">
      <c r="A42" s="127">
        <v>2945</v>
      </c>
      <c r="B42" s="46" t="s">
        <v>916</v>
      </c>
      <c r="C42" s="46" t="s">
        <v>395</v>
      </c>
      <c r="D42" s="46" t="s">
        <v>942</v>
      </c>
      <c r="E42" s="46" t="s">
        <v>419</v>
      </c>
      <c r="F42" s="35">
        <v>1014002</v>
      </c>
      <c r="G42" t="s">
        <v>564</v>
      </c>
      <c r="H42" s="4"/>
      <c r="J42" s="71"/>
      <c r="K42"/>
      <c r="L42" s="5"/>
      <c r="M42"/>
    </row>
    <row r="43" spans="1:13" hidden="1" x14ac:dyDescent="0.25">
      <c r="A43" s="127">
        <v>2951</v>
      </c>
      <c r="B43" s="46" t="s">
        <v>916</v>
      </c>
      <c r="C43" s="46" t="s">
        <v>395</v>
      </c>
      <c r="D43" s="46" t="s">
        <v>935</v>
      </c>
      <c r="E43" s="46" t="s">
        <v>419</v>
      </c>
      <c r="F43" s="35">
        <v>1550001000</v>
      </c>
      <c r="G43" t="s">
        <v>633</v>
      </c>
      <c r="H43" s="4"/>
      <c r="J43" s="71"/>
      <c r="K43"/>
      <c r="L43" s="5"/>
      <c r="M43"/>
    </row>
    <row r="44" spans="1:13" hidden="1" x14ac:dyDescent="0.25">
      <c r="A44" s="127">
        <v>2956</v>
      </c>
      <c r="B44" s="46" t="s">
        <v>916</v>
      </c>
      <c r="C44" s="46" t="s">
        <v>395</v>
      </c>
      <c r="D44" s="46" t="s">
        <v>936</v>
      </c>
      <c r="E44" s="46" t="s">
        <v>419</v>
      </c>
      <c r="F44" s="35">
        <v>165001000</v>
      </c>
      <c r="G44" t="s">
        <v>569</v>
      </c>
      <c r="H44" s="4"/>
      <c r="J44" s="71"/>
      <c r="K44"/>
      <c r="L44" s="5"/>
      <c r="M44"/>
    </row>
    <row r="45" spans="1:13" hidden="1" x14ac:dyDescent="0.25">
      <c r="A45" s="127">
        <v>2957</v>
      </c>
      <c r="B45" s="46" t="s">
        <v>916</v>
      </c>
      <c r="C45" s="46" t="s">
        <v>395</v>
      </c>
      <c r="D45" s="46" t="s">
        <v>936</v>
      </c>
      <c r="E45" s="46" t="s">
        <v>419</v>
      </c>
      <c r="F45" s="35">
        <v>3042058002</v>
      </c>
      <c r="G45" t="s">
        <v>586</v>
      </c>
      <c r="H45" s="4"/>
      <c r="J45" s="71"/>
      <c r="K45"/>
      <c r="L45" s="5"/>
      <c r="M45"/>
    </row>
    <row r="46" spans="1:13" hidden="1" x14ac:dyDescent="0.25">
      <c r="A46" s="127">
        <v>2958</v>
      </c>
      <c r="B46" s="46" t="s">
        <v>916</v>
      </c>
      <c r="C46" s="46" t="s">
        <v>395</v>
      </c>
      <c r="D46" s="46" t="s">
        <v>936</v>
      </c>
      <c r="E46" s="46" t="s">
        <v>419</v>
      </c>
      <c r="F46" s="35">
        <v>2814003000</v>
      </c>
      <c r="G46" t="s">
        <v>619</v>
      </c>
      <c r="H46" s="4"/>
      <c r="J46" s="71"/>
      <c r="K46"/>
      <c r="L46" s="5"/>
      <c r="M46"/>
    </row>
    <row r="47" spans="1:13" hidden="1" x14ac:dyDescent="0.25">
      <c r="A47" s="127">
        <v>2963</v>
      </c>
      <c r="B47" s="46" t="s">
        <v>916</v>
      </c>
      <c r="C47" s="46" t="s">
        <v>395</v>
      </c>
      <c r="D47" s="46" t="s">
        <v>935</v>
      </c>
      <c r="E47" s="46" t="s">
        <v>419</v>
      </c>
      <c r="F47" s="35">
        <v>2814003000</v>
      </c>
      <c r="G47" t="s">
        <v>619</v>
      </c>
      <c r="H47" s="4"/>
      <c r="J47" s="71"/>
      <c r="K47"/>
      <c r="L47" s="5"/>
      <c r="M47"/>
    </row>
    <row r="48" spans="1:13" hidden="1" x14ac:dyDescent="0.25">
      <c r="A48" s="125">
        <v>2964</v>
      </c>
      <c r="B48" s="54" t="s">
        <v>753</v>
      </c>
      <c r="C48" s="54" t="s">
        <v>754</v>
      </c>
      <c r="D48" s="54" t="s">
        <v>755</v>
      </c>
      <c r="E48" s="54" t="s">
        <v>419</v>
      </c>
      <c r="F48" s="65">
        <v>3265001000</v>
      </c>
      <c r="G48" s="8" t="s">
        <v>599</v>
      </c>
      <c r="H48" s="4"/>
      <c r="J48" s="71"/>
      <c r="K48"/>
      <c r="L48" s="5"/>
      <c r="M48"/>
    </row>
    <row r="49" spans="1:13" hidden="1" x14ac:dyDescent="0.25">
      <c r="A49" s="127">
        <v>2973</v>
      </c>
      <c r="B49" s="46" t="s">
        <v>916</v>
      </c>
      <c r="C49" s="46" t="s">
        <v>383</v>
      </c>
      <c r="D49" s="46" t="s">
        <v>917</v>
      </c>
      <c r="E49" s="46" t="s">
        <v>419</v>
      </c>
      <c r="F49" s="35">
        <v>3156001000</v>
      </c>
      <c r="G49" t="s">
        <v>752</v>
      </c>
      <c r="H49" s="4"/>
      <c r="J49" s="71"/>
      <c r="K49"/>
      <c r="L49" s="5"/>
      <c r="M49"/>
    </row>
    <row r="50" spans="1:13" hidden="1" x14ac:dyDescent="0.25">
      <c r="A50" s="127">
        <v>3003</v>
      </c>
      <c r="B50" s="46" t="s">
        <v>916</v>
      </c>
      <c r="C50" s="46" t="s">
        <v>46</v>
      </c>
      <c r="D50" s="46" t="s">
        <v>765</v>
      </c>
      <c r="E50" s="46" t="s">
        <v>419</v>
      </c>
      <c r="F50" s="35">
        <v>2905001000</v>
      </c>
      <c r="G50" t="s">
        <v>647</v>
      </c>
      <c r="H50" s="4"/>
      <c r="J50" s="71"/>
      <c r="K50"/>
      <c r="L50" s="5"/>
      <c r="M50"/>
    </row>
    <row r="51" spans="1:13" hidden="1" x14ac:dyDescent="0.25">
      <c r="A51" s="127">
        <v>3006</v>
      </c>
      <c r="B51" s="46" t="s">
        <v>916</v>
      </c>
      <c r="C51" s="46" t="s">
        <v>46</v>
      </c>
      <c r="D51" s="46" t="s">
        <v>765</v>
      </c>
      <c r="E51" s="46" t="s">
        <v>419</v>
      </c>
      <c r="F51" s="35">
        <v>3135001000</v>
      </c>
      <c r="G51" t="s">
        <v>551</v>
      </c>
      <c r="H51" s="4"/>
      <c r="J51" s="71"/>
      <c r="K51"/>
      <c r="L51" s="5"/>
      <c r="M51"/>
    </row>
    <row r="52" spans="1:13" hidden="1" x14ac:dyDescent="0.25">
      <c r="A52" s="127">
        <v>3007</v>
      </c>
      <c r="B52" s="46" t="s">
        <v>916</v>
      </c>
      <c r="C52" s="46" t="s">
        <v>46</v>
      </c>
      <c r="D52" s="46" t="s">
        <v>765</v>
      </c>
      <c r="E52" s="46" t="s">
        <v>419</v>
      </c>
      <c r="F52" s="35">
        <v>3135001000</v>
      </c>
      <c r="G52" t="s">
        <v>551</v>
      </c>
      <c r="H52" s="4"/>
      <c r="J52" s="71"/>
      <c r="K52"/>
      <c r="L52" s="5"/>
      <c r="M52"/>
    </row>
    <row r="53" spans="1:13" hidden="1" x14ac:dyDescent="0.25">
      <c r="A53" s="127">
        <v>3008</v>
      </c>
      <c r="B53" s="46" t="s">
        <v>916</v>
      </c>
      <c r="C53" s="46" t="s">
        <v>46</v>
      </c>
      <c r="D53" s="46" t="s">
        <v>765</v>
      </c>
      <c r="E53" s="46" t="s">
        <v>419</v>
      </c>
      <c r="F53" s="35">
        <v>1978003000</v>
      </c>
      <c r="G53" t="s">
        <v>650</v>
      </c>
      <c r="H53" s="4"/>
      <c r="J53" s="71"/>
      <c r="K53"/>
      <c r="L53" s="5"/>
      <c r="M53"/>
    </row>
    <row r="54" spans="1:13" hidden="1" x14ac:dyDescent="0.25">
      <c r="A54" s="127">
        <v>3009</v>
      </c>
      <c r="B54" s="46" t="s">
        <v>949</v>
      </c>
      <c r="C54" s="46" t="s">
        <v>46</v>
      </c>
      <c r="D54" s="46" t="s">
        <v>950</v>
      </c>
      <c r="E54" s="46" t="s">
        <v>419</v>
      </c>
      <c r="F54" s="35">
        <v>1014001</v>
      </c>
      <c r="G54" t="s">
        <v>543</v>
      </c>
      <c r="H54" s="4"/>
      <c r="J54" s="71"/>
      <c r="K54"/>
      <c r="L54" s="5"/>
      <c r="M54"/>
    </row>
    <row r="55" spans="1:13" hidden="1" x14ac:dyDescent="0.25">
      <c r="A55" s="127">
        <v>3010</v>
      </c>
      <c r="B55" s="46" t="s">
        <v>949</v>
      </c>
      <c r="C55" s="46" t="s">
        <v>46</v>
      </c>
      <c r="D55" s="46" t="s">
        <v>950</v>
      </c>
      <c r="E55" s="46" t="s">
        <v>419</v>
      </c>
      <c r="F55" s="35">
        <v>165001000</v>
      </c>
      <c r="G55" t="s">
        <v>569</v>
      </c>
      <c r="H55" s="4"/>
      <c r="J55" s="71"/>
      <c r="K55"/>
      <c r="L55" s="5"/>
      <c r="M55"/>
    </row>
    <row r="56" spans="1:13" hidden="1" x14ac:dyDescent="0.25">
      <c r="A56" s="16">
        <v>3011</v>
      </c>
      <c r="B56" s="6" t="s">
        <v>184</v>
      </c>
      <c r="C56" t="s">
        <v>46</v>
      </c>
      <c r="E56" s="4" t="s">
        <v>419</v>
      </c>
      <c r="G56" s="11" t="s">
        <v>398</v>
      </c>
      <c r="H56" s="11" t="s">
        <v>380</v>
      </c>
      <c r="I56" s="4" t="s">
        <v>304</v>
      </c>
      <c r="J56" s="4" t="s">
        <v>381</v>
      </c>
      <c r="K56" s="71">
        <v>3</v>
      </c>
      <c r="L56" t="s">
        <v>37</v>
      </c>
      <c r="M56" s="5">
        <f>K56</f>
        <v>3</v>
      </c>
    </row>
    <row r="57" spans="1:13" ht="15.75" hidden="1" x14ac:dyDescent="0.25">
      <c r="A57" s="127">
        <v>3048</v>
      </c>
      <c r="B57" s="46" t="s">
        <v>916</v>
      </c>
      <c r="C57" s="46" t="s">
        <v>46</v>
      </c>
      <c r="D57" s="46" t="s">
        <v>765</v>
      </c>
      <c r="E57" s="46" t="s">
        <v>419</v>
      </c>
      <c r="F57" s="35">
        <v>3135005000</v>
      </c>
      <c r="G57" t="s">
        <v>713</v>
      </c>
      <c r="H57" s="4"/>
      <c r="J57" s="71"/>
      <c r="K57"/>
      <c r="L57" s="5"/>
      <c r="M57"/>
    </row>
    <row r="58" spans="1:13" hidden="1" x14ac:dyDescent="0.25">
      <c r="A58" s="127">
        <v>3053</v>
      </c>
      <c r="B58" s="46" t="s">
        <v>916</v>
      </c>
      <c r="C58" s="46" t="s">
        <v>659</v>
      </c>
      <c r="D58" s="46" t="s">
        <v>960</v>
      </c>
      <c r="E58" s="46" t="s">
        <v>419</v>
      </c>
      <c r="F58" s="35">
        <v>66011000</v>
      </c>
      <c r="G58" t="s">
        <v>548</v>
      </c>
      <c r="H58" s="4"/>
      <c r="J58" s="71"/>
      <c r="K58"/>
      <c r="L58" s="5"/>
      <c r="M58"/>
    </row>
    <row r="59" spans="1:13" hidden="1" x14ac:dyDescent="0.25">
      <c r="A59" s="127">
        <v>3054</v>
      </c>
      <c r="B59" s="46" t="s">
        <v>916</v>
      </c>
      <c r="C59" s="46" t="s">
        <v>659</v>
      </c>
      <c r="D59" s="46" t="s">
        <v>961</v>
      </c>
      <c r="E59" s="46" t="s">
        <v>419</v>
      </c>
      <c r="F59" s="35">
        <v>153002000</v>
      </c>
      <c r="G59" t="s">
        <v>562</v>
      </c>
      <c r="H59" s="4"/>
      <c r="J59" s="71"/>
      <c r="K59"/>
      <c r="L59" s="5"/>
      <c r="M59"/>
    </row>
    <row r="60" spans="1:13" hidden="1" x14ac:dyDescent="0.25">
      <c r="A60" s="127">
        <v>3055</v>
      </c>
      <c r="B60" s="46" t="s">
        <v>949</v>
      </c>
      <c r="C60" s="46" t="s">
        <v>46</v>
      </c>
      <c r="D60" s="46" t="s">
        <v>950</v>
      </c>
      <c r="E60" s="46" t="s">
        <v>419</v>
      </c>
      <c r="F60" s="35">
        <v>3135001000</v>
      </c>
      <c r="G60" t="s">
        <v>551</v>
      </c>
      <c r="H60" s="4"/>
      <c r="J60" s="71"/>
      <c r="K60"/>
      <c r="L60" s="5"/>
      <c r="M60"/>
    </row>
    <row r="61" spans="1:13" hidden="1" x14ac:dyDescent="0.25">
      <c r="A61" s="127">
        <v>3068</v>
      </c>
      <c r="B61" s="46" t="s">
        <v>916</v>
      </c>
      <c r="C61" s="46" t="s">
        <v>46</v>
      </c>
      <c r="D61" s="46" t="s">
        <v>765</v>
      </c>
      <c r="E61" s="46" t="s">
        <v>419</v>
      </c>
      <c r="F61" s="35">
        <v>66035000</v>
      </c>
      <c r="G61" t="s">
        <v>597</v>
      </c>
      <c r="H61" s="4"/>
      <c r="J61" s="71"/>
      <c r="K61"/>
      <c r="L61" s="5"/>
      <c r="M61"/>
    </row>
    <row r="62" spans="1:13" hidden="1" x14ac:dyDescent="0.25">
      <c r="A62" s="127">
        <v>3072</v>
      </c>
      <c r="B62" s="46" t="s">
        <v>949</v>
      </c>
      <c r="C62" s="46" t="s">
        <v>46</v>
      </c>
      <c r="D62" s="46" t="s">
        <v>950</v>
      </c>
      <c r="E62" s="46" t="s">
        <v>419</v>
      </c>
      <c r="F62" s="35">
        <v>1014001</v>
      </c>
      <c r="G62" t="s">
        <v>543</v>
      </c>
      <c r="H62" s="4"/>
      <c r="J62" s="71"/>
      <c r="K62"/>
      <c r="L62" s="5"/>
      <c r="M62"/>
    </row>
    <row r="63" spans="1:13" hidden="1" x14ac:dyDescent="0.25">
      <c r="A63" s="127">
        <v>3073</v>
      </c>
      <c r="B63" s="46" t="s">
        <v>949</v>
      </c>
      <c r="C63" s="46" t="s">
        <v>46</v>
      </c>
      <c r="D63" s="46" t="s">
        <v>950</v>
      </c>
      <c r="E63" s="46" t="s">
        <v>419</v>
      </c>
      <c r="F63" s="35">
        <v>165001000</v>
      </c>
      <c r="G63" t="s">
        <v>569</v>
      </c>
      <c r="H63" s="4"/>
      <c r="J63" s="71"/>
      <c r="K63"/>
      <c r="L63" s="5"/>
      <c r="M63"/>
    </row>
    <row r="64" spans="1:13" hidden="1" x14ac:dyDescent="0.25">
      <c r="A64" s="127">
        <v>3080</v>
      </c>
      <c r="B64" s="46" t="s">
        <v>916</v>
      </c>
      <c r="C64" s="46" t="s">
        <v>46</v>
      </c>
      <c r="D64" s="46" t="s">
        <v>765</v>
      </c>
      <c r="E64" s="46" t="s">
        <v>419</v>
      </c>
      <c r="F64" s="35">
        <v>3319002000</v>
      </c>
      <c r="G64" t="s">
        <v>587</v>
      </c>
      <c r="H64" s="4"/>
      <c r="J64" s="71"/>
      <c r="K64"/>
      <c r="L64" s="5"/>
      <c r="M64"/>
    </row>
    <row r="65" spans="1:13" hidden="1" x14ac:dyDescent="0.25">
      <c r="A65" s="127">
        <v>3081</v>
      </c>
      <c r="B65" s="46" t="s">
        <v>916</v>
      </c>
      <c r="C65" s="46" t="s">
        <v>46</v>
      </c>
      <c r="D65" s="46" t="s">
        <v>765</v>
      </c>
      <c r="E65" s="46" t="s">
        <v>419</v>
      </c>
      <c r="F65" s="35">
        <v>66035000</v>
      </c>
      <c r="G65" t="s">
        <v>597</v>
      </c>
      <c r="H65" s="4"/>
      <c r="J65" s="71"/>
      <c r="K65"/>
      <c r="L65" s="5"/>
      <c r="M65"/>
    </row>
    <row r="66" spans="1:13" hidden="1" x14ac:dyDescent="0.25">
      <c r="A66" s="127">
        <v>3093</v>
      </c>
      <c r="B66" s="46" t="s">
        <v>916</v>
      </c>
      <c r="C66" s="46" t="s">
        <v>46</v>
      </c>
      <c r="D66" s="46" t="s">
        <v>765</v>
      </c>
      <c r="E66" s="46" t="s">
        <v>419</v>
      </c>
      <c r="F66" s="35">
        <v>3042058001</v>
      </c>
      <c r="G66" t="s">
        <v>766</v>
      </c>
      <c r="H66" s="4"/>
      <c r="J66" s="71"/>
      <c r="K66"/>
      <c r="L66" s="5"/>
      <c r="M66"/>
    </row>
    <row r="67" spans="1:13" hidden="1" x14ac:dyDescent="0.25">
      <c r="A67" s="16">
        <v>3098</v>
      </c>
      <c r="B67" s="6" t="s">
        <v>184</v>
      </c>
      <c r="C67" s="6" t="s">
        <v>46</v>
      </c>
      <c r="D67" s="6" t="s">
        <v>418</v>
      </c>
      <c r="E67" s="4" t="s">
        <v>419</v>
      </c>
      <c r="F67" s="3">
        <v>3152001000</v>
      </c>
      <c r="G67" s="11" t="s">
        <v>417</v>
      </c>
      <c r="H67" s="11" t="s">
        <v>407</v>
      </c>
      <c r="I67" s="4" t="s">
        <v>396</v>
      </c>
      <c r="J67" s="4" t="s">
        <v>353</v>
      </c>
      <c r="K67" s="71">
        <v>8</v>
      </c>
      <c r="L67" t="s">
        <v>17</v>
      </c>
      <c r="M67" s="5">
        <f>K67/7</f>
        <v>1.1428571428571428</v>
      </c>
    </row>
    <row r="68" spans="1:13" hidden="1" x14ac:dyDescent="0.25">
      <c r="A68" s="127">
        <v>3105</v>
      </c>
      <c r="B68" s="46" t="s">
        <v>916</v>
      </c>
      <c r="C68" s="46" t="s">
        <v>46</v>
      </c>
      <c r="D68" s="46" t="s">
        <v>765</v>
      </c>
      <c r="E68" s="46" t="s">
        <v>419</v>
      </c>
      <c r="F68" s="35">
        <v>3042058001</v>
      </c>
      <c r="G68" t="s">
        <v>766</v>
      </c>
      <c r="H68" s="4"/>
      <c r="J68" s="71"/>
      <c r="K68"/>
      <c r="L68" s="5"/>
      <c r="M68"/>
    </row>
    <row r="69" spans="1:13" hidden="1" x14ac:dyDescent="0.25">
      <c r="A69" s="127">
        <v>3116</v>
      </c>
      <c r="B69" s="46" t="s">
        <v>916</v>
      </c>
      <c r="C69" s="46" t="s">
        <v>46</v>
      </c>
      <c r="D69" s="46" t="s">
        <v>765</v>
      </c>
      <c r="E69" s="46" t="s">
        <v>419</v>
      </c>
      <c r="F69" s="35">
        <v>1014001</v>
      </c>
      <c r="G69" t="s">
        <v>543</v>
      </c>
      <c r="H69" s="4"/>
      <c r="J69" s="71"/>
      <c r="K69"/>
      <c r="L69" s="5"/>
      <c r="M69"/>
    </row>
    <row r="70" spans="1:13" hidden="1" x14ac:dyDescent="0.25">
      <c r="A70" s="127">
        <v>3122</v>
      </c>
      <c r="B70" s="46" t="s">
        <v>916</v>
      </c>
      <c r="C70" s="46" t="s">
        <v>46</v>
      </c>
      <c r="D70" s="46" t="s">
        <v>773</v>
      </c>
      <c r="E70" s="46" t="s">
        <v>419</v>
      </c>
      <c r="F70" s="35">
        <v>1014001</v>
      </c>
      <c r="G70" t="s">
        <v>543</v>
      </c>
      <c r="H70" s="4"/>
      <c r="J70" s="71"/>
      <c r="K70"/>
      <c r="L70" s="5"/>
      <c r="M70"/>
    </row>
    <row r="71" spans="1:13" hidden="1" x14ac:dyDescent="0.25">
      <c r="A71" s="127">
        <v>3133</v>
      </c>
      <c r="B71" s="46" t="s">
        <v>949</v>
      </c>
      <c r="C71" s="46" t="s">
        <v>46</v>
      </c>
      <c r="D71" s="46" t="s">
        <v>950</v>
      </c>
      <c r="E71" s="46" t="s">
        <v>419</v>
      </c>
      <c r="F71" s="35">
        <v>66011000</v>
      </c>
      <c r="G71" t="s">
        <v>548</v>
      </c>
      <c r="H71" s="4"/>
      <c r="J71" s="71"/>
      <c r="K71"/>
      <c r="L71" s="5"/>
      <c r="M71"/>
    </row>
    <row r="72" spans="1:13" hidden="1" x14ac:dyDescent="0.25">
      <c r="A72" s="16">
        <v>3135</v>
      </c>
      <c r="B72" s="6" t="s">
        <v>184</v>
      </c>
      <c r="C72" t="s">
        <v>394</v>
      </c>
      <c r="E72" s="4" t="s">
        <v>419</v>
      </c>
      <c r="G72" s="11" t="s">
        <v>392</v>
      </c>
      <c r="H72" s="11" t="s">
        <v>380</v>
      </c>
      <c r="I72" s="4" t="s">
        <v>266</v>
      </c>
      <c r="J72" s="4" t="s">
        <v>381</v>
      </c>
      <c r="K72" s="71">
        <v>6</v>
      </c>
      <c r="L72" t="s">
        <v>37</v>
      </c>
      <c r="M72" s="5">
        <f>K72</f>
        <v>6</v>
      </c>
    </row>
    <row r="73" spans="1:13" hidden="1" x14ac:dyDescent="0.25">
      <c r="A73" s="127">
        <v>3136</v>
      </c>
      <c r="B73" s="46" t="s">
        <v>916</v>
      </c>
      <c r="C73" s="46" t="s">
        <v>46</v>
      </c>
      <c r="D73" s="46" t="s">
        <v>773</v>
      </c>
      <c r="E73" s="46" t="s">
        <v>419</v>
      </c>
      <c r="F73" s="35">
        <v>3042060001</v>
      </c>
      <c r="G73" t="s">
        <v>654</v>
      </c>
      <c r="H73" s="4"/>
      <c r="J73" s="71"/>
      <c r="K73"/>
      <c r="L73" s="5"/>
      <c r="M73"/>
    </row>
    <row r="74" spans="1:13" hidden="1" x14ac:dyDescent="0.25">
      <c r="A74" s="127">
        <v>3139</v>
      </c>
      <c r="B74" s="46" t="s">
        <v>949</v>
      </c>
      <c r="C74" s="46" t="s">
        <v>46</v>
      </c>
      <c r="D74" s="46" t="s">
        <v>950</v>
      </c>
      <c r="E74" s="46" t="s">
        <v>419</v>
      </c>
      <c r="F74" s="35">
        <v>3033001000</v>
      </c>
      <c r="G74" t="s">
        <v>681</v>
      </c>
      <c r="H74" s="4"/>
      <c r="J74" s="71"/>
      <c r="K74"/>
      <c r="L74" s="5"/>
      <c r="M74"/>
    </row>
    <row r="75" spans="1:13" hidden="1" x14ac:dyDescent="0.25">
      <c r="A75" s="127">
        <v>3144</v>
      </c>
      <c r="B75" s="46" t="s">
        <v>949</v>
      </c>
      <c r="C75" s="46" t="s">
        <v>46</v>
      </c>
      <c r="D75" s="46" t="s">
        <v>950</v>
      </c>
      <c r="E75" s="46" t="s">
        <v>419</v>
      </c>
      <c r="F75" s="35">
        <v>1014001</v>
      </c>
      <c r="G75" t="s">
        <v>543</v>
      </c>
      <c r="H75" s="4"/>
      <c r="J75" s="71"/>
      <c r="K75"/>
      <c r="L75" s="5"/>
      <c r="M75"/>
    </row>
    <row r="76" spans="1:13" hidden="1" x14ac:dyDescent="0.25">
      <c r="A76" s="127">
        <v>3155</v>
      </c>
      <c r="B76" s="46" t="s">
        <v>916</v>
      </c>
      <c r="C76" s="46" t="s">
        <v>46</v>
      </c>
      <c r="D76" s="46" t="s">
        <v>773</v>
      </c>
      <c r="E76" s="46" t="s">
        <v>419</v>
      </c>
      <c r="F76" s="35">
        <v>66034000</v>
      </c>
      <c r="G76" t="s">
        <v>672</v>
      </c>
      <c r="H76" s="4"/>
      <c r="J76" s="71"/>
      <c r="K76"/>
      <c r="L76" s="5"/>
      <c r="M76"/>
    </row>
    <row r="77" spans="1:13" hidden="1" x14ac:dyDescent="0.25">
      <c r="A77" s="127">
        <v>3166</v>
      </c>
      <c r="B77" s="46" t="s">
        <v>970</v>
      </c>
      <c r="C77" s="46" t="s">
        <v>659</v>
      </c>
      <c r="D77" s="46" t="s">
        <v>971</v>
      </c>
      <c r="E77" s="46" t="s">
        <v>419</v>
      </c>
      <c r="F77" s="35">
        <v>3135003000</v>
      </c>
      <c r="G77" t="s">
        <v>635</v>
      </c>
      <c r="H77" s="4"/>
      <c r="J77" s="71"/>
      <c r="K77"/>
      <c r="L77" s="5"/>
      <c r="M77"/>
    </row>
    <row r="78" spans="1:13" hidden="1" x14ac:dyDescent="0.25">
      <c r="A78" s="127">
        <v>3194</v>
      </c>
      <c r="B78" s="46" t="s">
        <v>916</v>
      </c>
      <c r="C78" s="46" t="s">
        <v>46</v>
      </c>
      <c r="D78" s="46" t="s">
        <v>974</v>
      </c>
      <c r="E78" s="46" t="s">
        <v>419</v>
      </c>
      <c r="F78" s="35">
        <v>1165000000</v>
      </c>
      <c r="G78" t="s">
        <v>559</v>
      </c>
      <c r="H78" s="4"/>
      <c r="J78" s="71"/>
      <c r="K78"/>
      <c r="L78" s="5"/>
      <c r="M78"/>
    </row>
    <row r="79" spans="1:13" hidden="1" x14ac:dyDescent="0.25">
      <c r="A79" s="127">
        <v>3200</v>
      </c>
      <c r="B79" s="46" t="s">
        <v>970</v>
      </c>
      <c r="C79" s="46" t="s">
        <v>46</v>
      </c>
      <c r="D79" s="46" t="s">
        <v>773</v>
      </c>
      <c r="E79" s="46" t="s">
        <v>419</v>
      </c>
      <c r="F79" s="35">
        <v>3042058001</v>
      </c>
      <c r="G79" t="s">
        <v>766</v>
      </c>
      <c r="H79" s="4"/>
      <c r="J79" s="71"/>
      <c r="K79"/>
      <c r="L79" s="5"/>
      <c r="M79"/>
    </row>
    <row r="80" spans="1:13" hidden="1" x14ac:dyDescent="0.25">
      <c r="A80" s="127">
        <v>3202</v>
      </c>
      <c r="B80" s="46" t="s">
        <v>916</v>
      </c>
      <c r="C80" s="46" t="s">
        <v>46</v>
      </c>
      <c r="D80" s="46" t="s">
        <v>773</v>
      </c>
      <c r="E80" s="46" t="s">
        <v>419</v>
      </c>
      <c r="F80" s="35">
        <v>3034001000</v>
      </c>
      <c r="G80" t="s">
        <v>662</v>
      </c>
      <c r="H80" s="4"/>
      <c r="J80" s="71"/>
      <c r="K80"/>
      <c r="L80" s="5"/>
      <c r="M80"/>
    </row>
    <row r="81" spans="1:13" hidden="1" x14ac:dyDescent="0.25">
      <c r="A81" s="127">
        <v>3204</v>
      </c>
      <c r="B81" s="46" t="s">
        <v>970</v>
      </c>
      <c r="C81" s="46" t="s">
        <v>46</v>
      </c>
      <c r="D81" s="46" t="s">
        <v>773</v>
      </c>
      <c r="E81" s="46" t="s">
        <v>419</v>
      </c>
      <c r="F81" s="35">
        <v>3135004000</v>
      </c>
      <c r="G81" t="s">
        <v>673</v>
      </c>
      <c r="H81" s="4"/>
      <c r="J81" s="71"/>
      <c r="K81"/>
      <c r="L81" s="5"/>
      <c r="M81"/>
    </row>
    <row r="82" spans="1:13" hidden="1" x14ac:dyDescent="0.25">
      <c r="A82" s="127">
        <v>3206</v>
      </c>
      <c r="B82" s="46" t="s">
        <v>970</v>
      </c>
      <c r="C82" s="46" t="s">
        <v>46</v>
      </c>
      <c r="D82" s="46" t="s">
        <v>773</v>
      </c>
      <c r="E82" s="46" t="s">
        <v>419</v>
      </c>
      <c r="F82" s="35">
        <v>3042058002</v>
      </c>
      <c r="G82" t="s">
        <v>586</v>
      </c>
      <c r="H82" s="4"/>
      <c r="J82" s="71"/>
      <c r="K82"/>
      <c r="L82" s="5"/>
      <c r="M82"/>
    </row>
    <row r="83" spans="1:13" hidden="1" x14ac:dyDescent="0.25">
      <c r="A83" s="127">
        <v>3208</v>
      </c>
      <c r="B83" s="46" t="s">
        <v>949</v>
      </c>
      <c r="C83" s="46" t="s">
        <v>46</v>
      </c>
      <c r="D83" s="46" t="s">
        <v>950</v>
      </c>
      <c r="E83" s="46" t="s">
        <v>419</v>
      </c>
      <c r="F83" s="35">
        <v>3042058002</v>
      </c>
      <c r="G83" t="s">
        <v>586</v>
      </c>
      <c r="H83" s="4"/>
      <c r="J83" s="71"/>
      <c r="K83"/>
      <c r="L83" s="5"/>
      <c r="M83"/>
    </row>
    <row r="84" spans="1:13" hidden="1" x14ac:dyDescent="0.25">
      <c r="A84" s="16">
        <v>3209</v>
      </c>
      <c r="B84" s="6" t="s">
        <v>184</v>
      </c>
      <c r="C84" t="s">
        <v>46</v>
      </c>
      <c r="E84" s="4" t="s">
        <v>419</v>
      </c>
      <c r="G84" s="11" t="s">
        <v>398</v>
      </c>
      <c r="H84" s="11" t="s">
        <v>380</v>
      </c>
      <c r="I84" s="4" t="s">
        <v>304</v>
      </c>
      <c r="J84" s="4" t="s">
        <v>381</v>
      </c>
      <c r="K84" s="71">
        <v>3</v>
      </c>
      <c r="L84" t="s">
        <v>37</v>
      </c>
      <c r="M84" s="5">
        <f>K84</f>
        <v>3</v>
      </c>
    </row>
    <row r="85" spans="1:13" hidden="1" x14ac:dyDescent="0.25">
      <c r="A85" s="127">
        <v>3210</v>
      </c>
      <c r="B85" s="46" t="s">
        <v>949</v>
      </c>
      <c r="C85" s="46" t="s">
        <v>46</v>
      </c>
      <c r="D85" s="46" t="s">
        <v>950</v>
      </c>
      <c r="E85" s="46" t="s">
        <v>419</v>
      </c>
      <c r="F85" s="35">
        <v>3042058002</v>
      </c>
      <c r="G85" t="s">
        <v>586</v>
      </c>
      <c r="H85" s="4"/>
      <c r="J85" s="71"/>
      <c r="K85"/>
      <c r="L85" s="5"/>
      <c r="M85"/>
    </row>
    <row r="86" spans="1:13" hidden="1" x14ac:dyDescent="0.25">
      <c r="A86" s="127">
        <v>3229</v>
      </c>
      <c r="B86" s="46" t="s">
        <v>949</v>
      </c>
      <c r="C86" s="46" t="s">
        <v>46</v>
      </c>
      <c r="D86" s="46" t="s">
        <v>978</v>
      </c>
      <c r="E86" s="46" t="s">
        <v>419</v>
      </c>
      <c r="F86" s="35">
        <v>165001000</v>
      </c>
      <c r="G86" t="s">
        <v>569</v>
      </c>
      <c r="H86" s="4"/>
      <c r="J86" s="71"/>
      <c r="K86"/>
      <c r="L86" s="5"/>
      <c r="M86"/>
    </row>
    <row r="87" spans="1:13" hidden="1" x14ac:dyDescent="0.25">
      <c r="A87" s="127">
        <v>3231</v>
      </c>
      <c r="B87" s="46" t="s">
        <v>949</v>
      </c>
      <c r="C87" s="46" t="s">
        <v>46</v>
      </c>
      <c r="D87" s="46" t="s">
        <v>978</v>
      </c>
      <c r="E87" s="46" t="s">
        <v>419</v>
      </c>
      <c r="F87" s="35">
        <v>165001000</v>
      </c>
      <c r="G87" t="s">
        <v>569</v>
      </c>
      <c r="H87" s="4"/>
      <c r="J87" s="71"/>
      <c r="K87"/>
      <c r="L87" s="5"/>
      <c r="M87"/>
    </row>
    <row r="88" spans="1:13" hidden="1" x14ac:dyDescent="0.25">
      <c r="A88" s="127">
        <v>3236</v>
      </c>
      <c r="B88" s="46" t="s">
        <v>916</v>
      </c>
      <c r="C88" s="46" t="s">
        <v>383</v>
      </c>
      <c r="D88" s="46" t="s">
        <v>917</v>
      </c>
      <c r="E88" s="46" t="s">
        <v>419</v>
      </c>
      <c r="F88" s="35">
        <v>1014001</v>
      </c>
      <c r="G88" t="s">
        <v>543</v>
      </c>
      <c r="H88" s="4"/>
      <c r="J88" s="71"/>
      <c r="K88"/>
      <c r="L88" s="5"/>
      <c r="M88"/>
    </row>
    <row r="89" spans="1:13" hidden="1" x14ac:dyDescent="0.25">
      <c r="A89" s="127">
        <v>3237</v>
      </c>
      <c r="B89" s="46" t="s">
        <v>970</v>
      </c>
      <c r="C89" s="46" t="s">
        <v>46</v>
      </c>
      <c r="D89" s="46" t="s">
        <v>773</v>
      </c>
      <c r="E89" s="46" t="s">
        <v>419</v>
      </c>
      <c r="F89" s="35">
        <v>3042058001</v>
      </c>
      <c r="G89" t="s">
        <v>766</v>
      </c>
      <c r="H89" s="4"/>
      <c r="J89" s="71"/>
      <c r="K89"/>
      <c r="L89" s="5"/>
      <c r="M89"/>
    </row>
    <row r="90" spans="1:13" hidden="1" x14ac:dyDescent="0.25">
      <c r="A90" s="127">
        <v>3239</v>
      </c>
      <c r="B90" s="46" t="s">
        <v>970</v>
      </c>
      <c r="C90" s="46" t="s">
        <v>46</v>
      </c>
      <c r="D90" s="46" t="s">
        <v>773</v>
      </c>
      <c r="E90" s="46" t="s">
        <v>419</v>
      </c>
      <c r="F90" s="35">
        <v>2958001000</v>
      </c>
      <c r="G90" t="s">
        <v>567</v>
      </c>
      <c r="H90" s="4"/>
      <c r="J90" s="71"/>
      <c r="K90"/>
      <c r="L90" s="5"/>
      <c r="M90"/>
    </row>
    <row r="91" spans="1:13" hidden="1" x14ac:dyDescent="0.25">
      <c r="A91" s="127">
        <v>3241</v>
      </c>
      <c r="B91" s="46" t="s">
        <v>970</v>
      </c>
      <c r="C91" s="46" t="s">
        <v>46</v>
      </c>
      <c r="D91" s="46" t="s">
        <v>773</v>
      </c>
      <c r="E91" s="46" t="s">
        <v>419</v>
      </c>
      <c r="F91" s="35">
        <v>66031000</v>
      </c>
      <c r="G91" t="s">
        <v>560</v>
      </c>
      <c r="H91" s="4"/>
      <c r="J91" s="71"/>
      <c r="K91"/>
      <c r="L91" s="5"/>
      <c r="M91"/>
    </row>
    <row r="92" spans="1:13" hidden="1" x14ac:dyDescent="0.25">
      <c r="A92" s="127">
        <v>3243</v>
      </c>
      <c r="B92" s="46" t="s">
        <v>970</v>
      </c>
      <c r="C92" s="46" t="s">
        <v>46</v>
      </c>
      <c r="D92" s="46" t="s">
        <v>773</v>
      </c>
      <c r="E92" s="46" t="s">
        <v>419</v>
      </c>
      <c r="F92" s="35">
        <v>3042058002</v>
      </c>
      <c r="G92" t="s">
        <v>586</v>
      </c>
      <c r="H92" s="4"/>
      <c r="J92" s="71"/>
      <c r="K92"/>
      <c r="L92" s="5"/>
      <c r="M92"/>
    </row>
    <row r="93" spans="1:13" hidden="1" x14ac:dyDescent="0.25">
      <c r="A93" s="127">
        <v>3244</v>
      </c>
      <c r="B93" s="46" t="s">
        <v>970</v>
      </c>
      <c r="C93" s="46" t="s">
        <v>46</v>
      </c>
      <c r="D93" s="46" t="s">
        <v>773</v>
      </c>
      <c r="E93" s="46" t="s">
        <v>419</v>
      </c>
      <c r="F93" s="35">
        <v>3042058002</v>
      </c>
      <c r="G93" t="s">
        <v>586</v>
      </c>
      <c r="H93" s="4"/>
      <c r="J93" s="71"/>
      <c r="K93"/>
      <c r="L93" s="5"/>
      <c r="M93"/>
    </row>
    <row r="94" spans="1:13" hidden="1" x14ac:dyDescent="0.25">
      <c r="A94" s="127">
        <v>3247</v>
      </c>
      <c r="B94" s="46" t="s">
        <v>916</v>
      </c>
      <c r="C94" s="46" t="s">
        <v>383</v>
      </c>
      <c r="D94" s="46" t="s">
        <v>917</v>
      </c>
      <c r="E94" s="46" t="s">
        <v>419</v>
      </c>
      <c r="F94" s="35">
        <v>3076001000</v>
      </c>
      <c r="G94" t="s">
        <v>669</v>
      </c>
      <c r="H94" s="4"/>
      <c r="J94" s="71"/>
      <c r="K94"/>
      <c r="L94" s="5"/>
      <c r="M94"/>
    </row>
    <row r="95" spans="1:13" hidden="1" x14ac:dyDescent="0.25">
      <c r="A95" s="127">
        <v>3253</v>
      </c>
      <c r="B95" s="46" t="s">
        <v>949</v>
      </c>
      <c r="C95" s="46" t="s">
        <v>46</v>
      </c>
      <c r="D95" s="46" t="s">
        <v>950</v>
      </c>
      <c r="E95" s="46" t="s">
        <v>419</v>
      </c>
      <c r="F95" s="35">
        <v>3265001000</v>
      </c>
      <c r="G95" t="s">
        <v>599</v>
      </c>
      <c r="H95" s="4"/>
      <c r="J95" s="71"/>
      <c r="K95"/>
      <c r="L95" s="5"/>
      <c r="M95"/>
    </row>
    <row r="96" spans="1:13" hidden="1" x14ac:dyDescent="0.25">
      <c r="A96" s="127">
        <v>3254</v>
      </c>
      <c r="B96" s="46" t="s">
        <v>970</v>
      </c>
      <c r="C96" s="46" t="s">
        <v>46</v>
      </c>
      <c r="D96" s="46" t="s">
        <v>773</v>
      </c>
      <c r="E96" s="46" t="s">
        <v>419</v>
      </c>
      <c r="F96" s="35">
        <v>3265001000</v>
      </c>
      <c r="G96" t="s">
        <v>599</v>
      </c>
      <c r="H96" s="4"/>
      <c r="J96" s="71"/>
      <c r="K96"/>
      <c r="L96" s="5"/>
      <c r="M96"/>
    </row>
    <row r="97" spans="1:13" hidden="1" x14ac:dyDescent="0.25">
      <c r="A97" s="127">
        <v>3260</v>
      </c>
      <c r="B97" s="46" t="s">
        <v>949</v>
      </c>
      <c r="C97" s="46" t="s">
        <v>46</v>
      </c>
      <c r="D97" s="46" t="s">
        <v>950</v>
      </c>
      <c r="E97" s="46" t="s">
        <v>419</v>
      </c>
      <c r="F97" s="35">
        <v>3265001000</v>
      </c>
      <c r="G97" t="s">
        <v>599</v>
      </c>
      <c r="H97" s="4"/>
      <c r="J97" s="71"/>
      <c r="K97"/>
      <c r="L97" s="5"/>
      <c r="M97"/>
    </row>
    <row r="98" spans="1:13" hidden="1" x14ac:dyDescent="0.25">
      <c r="A98" s="127">
        <v>3261</v>
      </c>
      <c r="B98" s="46" t="s">
        <v>949</v>
      </c>
      <c r="C98" s="46" t="s">
        <v>46</v>
      </c>
      <c r="D98" s="46" t="s">
        <v>950</v>
      </c>
      <c r="E98" s="46" t="s">
        <v>419</v>
      </c>
      <c r="F98" s="35">
        <v>3265001000</v>
      </c>
      <c r="G98" t="s">
        <v>599</v>
      </c>
      <c r="H98" s="4"/>
      <c r="J98" s="71"/>
      <c r="K98"/>
      <c r="L98" s="5"/>
      <c r="M98"/>
    </row>
    <row r="99" spans="1:13" hidden="1" x14ac:dyDescent="0.25">
      <c r="A99" s="127">
        <v>3266</v>
      </c>
      <c r="B99" s="46" t="s">
        <v>916</v>
      </c>
      <c r="C99" s="46" t="s">
        <v>777</v>
      </c>
      <c r="D99" s="46" t="s">
        <v>982</v>
      </c>
      <c r="E99" s="46" t="s">
        <v>419</v>
      </c>
      <c r="F99" s="35">
        <v>3260001000</v>
      </c>
      <c r="G99" t="s">
        <v>732</v>
      </c>
      <c r="H99" s="4"/>
      <c r="J99" s="71"/>
      <c r="K99"/>
      <c r="L99" s="5"/>
      <c r="M99"/>
    </row>
    <row r="100" spans="1:13" hidden="1" x14ac:dyDescent="0.25">
      <c r="A100" s="127">
        <v>3282</v>
      </c>
      <c r="B100" s="46" t="s">
        <v>949</v>
      </c>
      <c r="C100" s="46" t="s">
        <v>46</v>
      </c>
      <c r="D100" s="46" t="s">
        <v>950</v>
      </c>
      <c r="E100" s="46" t="s">
        <v>419</v>
      </c>
      <c r="F100" s="35">
        <v>165001000</v>
      </c>
      <c r="G100" t="s">
        <v>569</v>
      </c>
      <c r="H100" s="4"/>
      <c r="J100" s="71"/>
      <c r="K100"/>
      <c r="L100" s="5"/>
      <c r="M100"/>
    </row>
    <row r="101" spans="1:13" hidden="1" x14ac:dyDescent="0.25">
      <c r="A101" s="127">
        <v>3283</v>
      </c>
      <c r="B101" s="46" t="s">
        <v>916</v>
      </c>
      <c r="C101" s="46" t="s">
        <v>777</v>
      </c>
      <c r="D101" s="46" t="s">
        <v>983</v>
      </c>
      <c r="E101" s="46" t="s">
        <v>419</v>
      </c>
      <c r="F101" s="35">
        <v>3182006000</v>
      </c>
      <c r="G101" t="s">
        <v>789</v>
      </c>
      <c r="H101" s="4"/>
      <c r="J101" s="71"/>
      <c r="K101"/>
      <c r="L101" s="5"/>
      <c r="M101"/>
    </row>
    <row r="102" spans="1:13" hidden="1" x14ac:dyDescent="0.25">
      <c r="A102" s="127">
        <v>3284</v>
      </c>
      <c r="B102" s="46" t="s">
        <v>938</v>
      </c>
      <c r="C102" s="46" t="s">
        <v>777</v>
      </c>
      <c r="D102" s="46" t="s">
        <v>984</v>
      </c>
      <c r="E102" s="46" t="s">
        <v>419</v>
      </c>
      <c r="F102" s="35">
        <v>165001000</v>
      </c>
      <c r="G102" t="s">
        <v>569</v>
      </c>
      <c r="H102" s="4"/>
      <c r="J102" s="71"/>
      <c r="K102"/>
      <c r="L102" s="5"/>
      <c r="M102"/>
    </row>
    <row r="103" spans="1:13" hidden="1" x14ac:dyDescent="0.25">
      <c r="A103" s="127">
        <v>3307</v>
      </c>
      <c r="B103" s="46" t="s">
        <v>916</v>
      </c>
      <c r="C103" s="46" t="s">
        <v>777</v>
      </c>
      <c r="D103" s="46" t="s">
        <v>982</v>
      </c>
      <c r="E103" s="46" t="s">
        <v>419</v>
      </c>
      <c r="F103" s="35">
        <v>1014001</v>
      </c>
      <c r="G103" t="s">
        <v>543</v>
      </c>
      <c r="H103" s="4"/>
      <c r="J103" s="71"/>
      <c r="K103"/>
      <c r="L103" s="5"/>
      <c r="M103"/>
    </row>
    <row r="104" spans="1:13" hidden="1" x14ac:dyDescent="0.25">
      <c r="A104" s="127">
        <v>3318</v>
      </c>
      <c r="B104" s="46" t="s">
        <v>949</v>
      </c>
      <c r="C104" s="46" t="s">
        <v>46</v>
      </c>
      <c r="D104" s="46" t="s">
        <v>950</v>
      </c>
      <c r="E104" s="46" t="s">
        <v>419</v>
      </c>
      <c r="F104" s="35">
        <v>3042058001</v>
      </c>
      <c r="G104" t="s">
        <v>766</v>
      </c>
      <c r="H104" s="4"/>
      <c r="J104" s="71"/>
      <c r="K104"/>
      <c r="L104" s="5"/>
      <c r="M104"/>
    </row>
    <row r="105" spans="1:13" hidden="1" x14ac:dyDescent="0.25">
      <c r="A105" s="127">
        <v>3322</v>
      </c>
      <c r="B105" s="46" t="s">
        <v>949</v>
      </c>
      <c r="C105" s="46" t="s">
        <v>46</v>
      </c>
      <c r="D105" s="46" t="s">
        <v>950</v>
      </c>
      <c r="E105" s="46" t="s">
        <v>419</v>
      </c>
      <c r="F105" s="35">
        <v>2886002000</v>
      </c>
      <c r="G105" t="s">
        <v>617</v>
      </c>
      <c r="H105" s="4"/>
      <c r="J105" s="71"/>
      <c r="K105"/>
      <c r="L105" s="5"/>
      <c r="M105"/>
    </row>
    <row r="106" spans="1:13" hidden="1" x14ac:dyDescent="0.25">
      <c r="A106" s="127">
        <v>3323</v>
      </c>
      <c r="B106" s="46" t="s">
        <v>916</v>
      </c>
      <c r="C106" s="46" t="s">
        <v>723</v>
      </c>
      <c r="D106" s="46" t="s">
        <v>719</v>
      </c>
      <c r="E106" s="46" t="s">
        <v>419</v>
      </c>
      <c r="F106" s="35">
        <v>3292001000</v>
      </c>
      <c r="G106" t="s">
        <v>580</v>
      </c>
      <c r="H106" s="4"/>
      <c r="J106" s="71"/>
      <c r="K106"/>
      <c r="L106" s="5"/>
      <c r="M106"/>
    </row>
    <row r="107" spans="1:13" hidden="1" x14ac:dyDescent="0.25">
      <c r="A107" s="127">
        <v>3326</v>
      </c>
      <c r="B107" s="46" t="s">
        <v>916</v>
      </c>
      <c r="C107" s="46" t="s">
        <v>777</v>
      </c>
      <c r="D107" s="46" t="s">
        <v>985</v>
      </c>
      <c r="E107" s="46" t="s">
        <v>419</v>
      </c>
      <c r="F107" s="35">
        <v>3279001000</v>
      </c>
      <c r="G107" t="s">
        <v>701</v>
      </c>
      <c r="H107" s="4"/>
      <c r="J107" s="71"/>
      <c r="K107"/>
      <c r="L107" s="5"/>
      <c r="M107"/>
    </row>
    <row r="108" spans="1:13" hidden="1" x14ac:dyDescent="0.25">
      <c r="A108" s="127">
        <v>3351</v>
      </c>
      <c r="B108" s="46" t="s">
        <v>916</v>
      </c>
      <c r="C108" s="46" t="s">
        <v>383</v>
      </c>
      <c r="D108" s="46" t="s">
        <v>719</v>
      </c>
      <c r="E108" s="46" t="s">
        <v>419</v>
      </c>
      <c r="F108" s="35">
        <v>1720001000</v>
      </c>
      <c r="G108" t="s">
        <v>694</v>
      </c>
      <c r="H108" s="4"/>
      <c r="J108" s="71"/>
      <c r="K108"/>
      <c r="L108" s="5"/>
      <c r="M108"/>
    </row>
    <row r="109" spans="1:13" hidden="1" x14ac:dyDescent="0.25">
      <c r="A109" s="127">
        <v>3356</v>
      </c>
      <c r="B109" s="46" t="s">
        <v>949</v>
      </c>
      <c r="C109" s="46" t="s">
        <v>383</v>
      </c>
      <c r="D109" s="46" t="s">
        <v>992</v>
      </c>
      <c r="E109" s="46" t="s">
        <v>419</v>
      </c>
      <c r="F109" s="35">
        <v>165001000</v>
      </c>
      <c r="G109" t="s">
        <v>569</v>
      </c>
      <c r="H109" s="4"/>
      <c r="J109" s="71"/>
      <c r="K109"/>
      <c r="L109" s="5"/>
      <c r="M109"/>
    </row>
    <row r="110" spans="1:13" hidden="1" x14ac:dyDescent="0.25">
      <c r="A110" s="127">
        <v>3358</v>
      </c>
      <c r="B110" s="46" t="s">
        <v>949</v>
      </c>
      <c r="C110" s="46" t="s">
        <v>383</v>
      </c>
      <c r="D110" s="46" t="s">
        <v>992</v>
      </c>
      <c r="E110" s="46" t="s">
        <v>419</v>
      </c>
      <c r="F110" s="35">
        <v>165001000</v>
      </c>
      <c r="G110" t="s">
        <v>569</v>
      </c>
      <c r="H110" s="4"/>
      <c r="J110" s="71"/>
      <c r="K110"/>
      <c r="L110" s="5"/>
      <c r="M110"/>
    </row>
    <row r="111" spans="1:13" hidden="1" x14ac:dyDescent="0.25">
      <c r="A111" s="127">
        <v>3361</v>
      </c>
      <c r="B111" s="46" t="s">
        <v>916</v>
      </c>
      <c r="C111" s="46" t="s">
        <v>723</v>
      </c>
      <c r="D111" s="46" t="s">
        <v>917</v>
      </c>
      <c r="E111" s="46" t="s">
        <v>419</v>
      </c>
      <c r="F111" s="35">
        <v>1720001000</v>
      </c>
      <c r="G111" t="s">
        <v>694</v>
      </c>
      <c r="H111" s="4"/>
      <c r="J111" s="71"/>
      <c r="K111"/>
      <c r="L111" s="5"/>
      <c r="M111"/>
    </row>
    <row r="112" spans="1:13" hidden="1" x14ac:dyDescent="0.25">
      <c r="A112" s="127">
        <v>3377</v>
      </c>
      <c r="B112" s="46" t="s">
        <v>916</v>
      </c>
      <c r="C112" s="46" t="s">
        <v>383</v>
      </c>
      <c r="D112" s="46" t="s">
        <v>719</v>
      </c>
      <c r="E112" s="46" t="s">
        <v>419</v>
      </c>
      <c r="F112" s="35">
        <v>529001000</v>
      </c>
      <c r="G112" t="s">
        <v>590</v>
      </c>
      <c r="H112" s="4"/>
      <c r="J112" s="71"/>
      <c r="K112"/>
      <c r="L112" s="5"/>
      <c r="M112"/>
    </row>
    <row r="113" spans="1:13" hidden="1" x14ac:dyDescent="0.25">
      <c r="A113" s="127">
        <v>3381</v>
      </c>
      <c r="B113" s="46" t="s">
        <v>949</v>
      </c>
      <c r="C113" s="46" t="s">
        <v>383</v>
      </c>
      <c r="D113" s="46" t="s">
        <v>992</v>
      </c>
      <c r="E113" s="46" t="s">
        <v>419</v>
      </c>
      <c r="F113" s="35">
        <v>165001000</v>
      </c>
      <c r="G113" t="s">
        <v>569</v>
      </c>
      <c r="H113" s="4"/>
      <c r="J113" s="71"/>
      <c r="K113"/>
      <c r="L113" s="5"/>
      <c r="M113"/>
    </row>
    <row r="114" spans="1:13" hidden="1" x14ac:dyDescent="0.25">
      <c r="A114" s="127">
        <v>3387</v>
      </c>
      <c r="B114" s="46" t="s">
        <v>916</v>
      </c>
      <c r="C114" s="46" t="s">
        <v>383</v>
      </c>
      <c r="D114" s="46" t="s">
        <v>995</v>
      </c>
      <c r="E114" s="46" t="s">
        <v>419</v>
      </c>
      <c r="F114" s="35">
        <v>3317001000</v>
      </c>
      <c r="G114" t="s">
        <v>609</v>
      </c>
      <c r="H114" s="4"/>
      <c r="J114" s="71"/>
      <c r="K114"/>
      <c r="L114" s="5"/>
      <c r="M114"/>
    </row>
    <row r="115" spans="1:13" hidden="1" x14ac:dyDescent="0.25">
      <c r="A115" s="127">
        <v>3389</v>
      </c>
      <c r="B115" s="46" t="s">
        <v>916</v>
      </c>
      <c r="C115" s="46" t="s">
        <v>383</v>
      </c>
      <c r="D115" s="46" t="s">
        <v>995</v>
      </c>
      <c r="E115" s="46" t="s">
        <v>419</v>
      </c>
      <c r="F115" s="35">
        <v>1978003000</v>
      </c>
      <c r="G115" t="s">
        <v>650</v>
      </c>
      <c r="H115" s="4"/>
      <c r="J115" s="71"/>
      <c r="K115"/>
      <c r="L115" s="5"/>
      <c r="M115"/>
    </row>
    <row r="116" spans="1:13" hidden="1" x14ac:dyDescent="0.25">
      <c r="A116" s="127">
        <v>3429</v>
      </c>
      <c r="B116" s="46" t="s">
        <v>916</v>
      </c>
      <c r="C116" s="46" t="s">
        <v>383</v>
      </c>
      <c r="D116" s="46" t="s">
        <v>719</v>
      </c>
      <c r="E116" s="46" t="s">
        <v>419</v>
      </c>
      <c r="F116" s="35">
        <v>3343001000</v>
      </c>
      <c r="G116" t="s">
        <v>582</v>
      </c>
      <c r="H116" s="4"/>
      <c r="J116" s="71"/>
      <c r="K116"/>
      <c r="L116" s="5"/>
      <c r="M116"/>
    </row>
    <row r="117" spans="1:13" hidden="1" x14ac:dyDescent="0.25">
      <c r="A117" s="127">
        <v>3440</v>
      </c>
      <c r="B117" s="46" t="s">
        <v>970</v>
      </c>
      <c r="C117" s="46" t="s">
        <v>777</v>
      </c>
      <c r="D117" s="46" t="s">
        <v>1024</v>
      </c>
      <c r="E117" s="46" t="s">
        <v>419</v>
      </c>
      <c r="F117" s="35">
        <v>3076001000</v>
      </c>
      <c r="G117" t="s">
        <v>669</v>
      </c>
      <c r="H117" s="4"/>
      <c r="J117" s="71"/>
      <c r="K117"/>
      <c r="L117" s="5"/>
      <c r="M117"/>
    </row>
    <row r="118" spans="1:13" hidden="1" x14ac:dyDescent="0.25">
      <c r="A118" s="127">
        <v>3454</v>
      </c>
      <c r="B118" s="46" t="s">
        <v>916</v>
      </c>
      <c r="C118" s="46" t="s">
        <v>754</v>
      </c>
      <c r="D118" s="46" t="s">
        <v>1027</v>
      </c>
      <c r="E118" s="46" t="s">
        <v>419</v>
      </c>
      <c r="F118" s="35">
        <v>165001000</v>
      </c>
      <c r="G118" t="s">
        <v>569</v>
      </c>
      <c r="H118" s="4"/>
      <c r="J118" s="71"/>
      <c r="K118"/>
      <c r="L118" s="5"/>
      <c r="M118"/>
    </row>
    <row r="119" spans="1:13" hidden="1" x14ac:dyDescent="0.25">
      <c r="A119" s="127">
        <v>3456</v>
      </c>
      <c r="B119" s="46" t="s">
        <v>916</v>
      </c>
      <c r="C119" s="46" t="s">
        <v>754</v>
      </c>
      <c r="D119" s="46" t="s">
        <v>1027</v>
      </c>
      <c r="E119" s="46" t="s">
        <v>419</v>
      </c>
      <c r="F119" s="35">
        <v>165001000</v>
      </c>
      <c r="G119" t="s">
        <v>569</v>
      </c>
      <c r="H119" s="4"/>
      <c r="J119" s="71"/>
      <c r="K119"/>
      <c r="L119" s="5"/>
      <c r="M119"/>
    </row>
    <row r="120" spans="1:13" hidden="1" x14ac:dyDescent="0.25">
      <c r="A120" s="127">
        <v>3458</v>
      </c>
      <c r="B120" s="46" t="s">
        <v>916</v>
      </c>
      <c r="C120" s="46" t="s">
        <v>754</v>
      </c>
      <c r="D120" s="46" t="s">
        <v>1027</v>
      </c>
      <c r="E120" s="46" t="s">
        <v>419</v>
      </c>
      <c r="F120" s="35">
        <v>1014001</v>
      </c>
      <c r="G120" t="s">
        <v>543</v>
      </c>
      <c r="H120" s="4"/>
      <c r="J120" s="71"/>
      <c r="K120"/>
      <c r="L120" s="5"/>
      <c r="M120"/>
    </row>
    <row r="121" spans="1:13" hidden="1" x14ac:dyDescent="0.25">
      <c r="A121" s="127">
        <v>3460</v>
      </c>
      <c r="B121" s="46" t="s">
        <v>916</v>
      </c>
      <c r="C121" s="46" t="s">
        <v>754</v>
      </c>
      <c r="D121" s="46" t="s">
        <v>1027</v>
      </c>
      <c r="E121" s="46" t="s">
        <v>419</v>
      </c>
      <c r="F121" s="35">
        <v>1014001</v>
      </c>
      <c r="G121" t="s">
        <v>543</v>
      </c>
      <c r="H121" s="4"/>
      <c r="J121" s="71"/>
      <c r="K121"/>
      <c r="L121" s="5"/>
      <c r="M121"/>
    </row>
    <row r="122" spans="1:13" hidden="1" x14ac:dyDescent="0.25">
      <c r="A122" s="127">
        <v>3463</v>
      </c>
      <c r="B122" s="46" t="s">
        <v>916</v>
      </c>
      <c r="C122" s="46" t="s">
        <v>754</v>
      </c>
      <c r="D122" s="46" t="s">
        <v>1028</v>
      </c>
      <c r="E122" s="46" t="s">
        <v>419</v>
      </c>
      <c r="F122" s="35">
        <v>3042127001</v>
      </c>
      <c r="G122" t="s">
        <v>637</v>
      </c>
      <c r="H122" s="4"/>
      <c r="J122" s="71"/>
      <c r="K122"/>
      <c r="L122" s="5"/>
      <c r="M122"/>
    </row>
    <row r="123" spans="1:13" hidden="1" x14ac:dyDescent="0.25">
      <c r="A123" s="127">
        <v>3464</v>
      </c>
      <c r="B123" s="46" t="s">
        <v>916</v>
      </c>
      <c r="C123" s="46" t="s">
        <v>754</v>
      </c>
      <c r="D123" s="46" t="s">
        <v>1028</v>
      </c>
      <c r="E123" s="46" t="s">
        <v>419</v>
      </c>
      <c r="F123" s="35">
        <v>2315001000</v>
      </c>
      <c r="G123" t="s">
        <v>655</v>
      </c>
      <c r="H123" s="4"/>
      <c r="J123" s="71"/>
      <c r="K123"/>
      <c r="L123" s="5"/>
      <c r="M123"/>
    </row>
    <row r="124" spans="1:13" hidden="1" x14ac:dyDescent="0.25">
      <c r="A124" s="127">
        <v>3466</v>
      </c>
      <c r="B124" s="46" t="s">
        <v>916</v>
      </c>
      <c r="C124" s="46" t="s">
        <v>754</v>
      </c>
      <c r="D124" s="46" t="s">
        <v>1027</v>
      </c>
      <c r="E124" s="46" t="s">
        <v>419</v>
      </c>
      <c r="F124" s="35">
        <v>66011000</v>
      </c>
      <c r="G124" t="s">
        <v>548</v>
      </c>
      <c r="H124" s="4"/>
      <c r="J124" s="71"/>
      <c r="K124"/>
      <c r="L124" s="5"/>
      <c r="M124"/>
    </row>
    <row r="125" spans="1:13" hidden="1" x14ac:dyDescent="0.25">
      <c r="A125" s="127">
        <v>3468</v>
      </c>
      <c r="B125" s="46" t="s">
        <v>916</v>
      </c>
      <c r="C125" s="46" t="s">
        <v>754</v>
      </c>
      <c r="D125" s="46" t="s">
        <v>1027</v>
      </c>
      <c r="E125" s="46" t="s">
        <v>419</v>
      </c>
      <c r="F125" s="35">
        <v>3042058001</v>
      </c>
      <c r="G125" t="s">
        <v>766</v>
      </c>
      <c r="H125" s="4"/>
      <c r="J125" s="71"/>
      <c r="K125"/>
      <c r="L125" s="5"/>
      <c r="M125"/>
    </row>
    <row r="126" spans="1:13" hidden="1" x14ac:dyDescent="0.25">
      <c r="A126" s="127">
        <v>3470</v>
      </c>
      <c r="B126" s="46" t="s">
        <v>916</v>
      </c>
      <c r="C126" s="46" t="s">
        <v>754</v>
      </c>
      <c r="D126" s="46" t="s">
        <v>1028</v>
      </c>
      <c r="E126" s="46" t="s">
        <v>419</v>
      </c>
      <c r="F126" s="35">
        <v>2789001000</v>
      </c>
      <c r="G126" t="s">
        <v>644</v>
      </c>
      <c r="H126" s="4"/>
      <c r="J126" s="71"/>
      <c r="K126"/>
      <c r="L126" s="5"/>
      <c r="M126"/>
    </row>
    <row r="127" spans="1:13" hidden="1" x14ac:dyDescent="0.25">
      <c r="A127" s="127">
        <v>3471</v>
      </c>
      <c r="B127" s="46" t="s">
        <v>916</v>
      </c>
      <c r="C127" s="46" t="s">
        <v>754</v>
      </c>
      <c r="D127" s="46" t="s">
        <v>1028</v>
      </c>
      <c r="E127" s="46" t="s">
        <v>419</v>
      </c>
      <c r="F127" s="35">
        <v>66031000</v>
      </c>
      <c r="G127" t="s">
        <v>560</v>
      </c>
      <c r="H127" s="4"/>
      <c r="J127" s="71"/>
      <c r="K127"/>
      <c r="L127" s="5"/>
      <c r="M127"/>
    </row>
    <row r="128" spans="1:13" hidden="1" x14ac:dyDescent="0.25">
      <c r="A128" s="127">
        <v>3473</v>
      </c>
      <c r="B128" s="46" t="s">
        <v>916</v>
      </c>
      <c r="C128" s="46" t="s">
        <v>754</v>
      </c>
      <c r="D128" s="46" t="s">
        <v>1028</v>
      </c>
      <c r="E128" s="46" t="s">
        <v>419</v>
      </c>
      <c r="F128" s="35">
        <v>2905001000</v>
      </c>
      <c r="G128" t="s">
        <v>647</v>
      </c>
      <c r="H128" s="4"/>
      <c r="J128" s="71"/>
      <c r="K128"/>
      <c r="L128" s="5"/>
      <c r="M128"/>
    </row>
    <row r="129" spans="1:13" hidden="1" x14ac:dyDescent="0.25">
      <c r="A129" s="127">
        <v>3474</v>
      </c>
      <c r="B129" s="46" t="s">
        <v>916</v>
      </c>
      <c r="C129" s="46" t="s">
        <v>754</v>
      </c>
      <c r="D129" s="46" t="s">
        <v>1030</v>
      </c>
      <c r="E129" s="46" t="s">
        <v>419</v>
      </c>
      <c r="F129" s="35">
        <v>1720001000</v>
      </c>
      <c r="G129" t="s">
        <v>694</v>
      </c>
      <c r="H129" s="4"/>
      <c r="J129" s="71"/>
      <c r="K129"/>
      <c r="L129" s="5"/>
      <c r="M129"/>
    </row>
    <row r="130" spans="1:13" hidden="1" x14ac:dyDescent="0.25">
      <c r="A130" s="127">
        <v>3475</v>
      </c>
      <c r="B130" s="46" t="s">
        <v>916</v>
      </c>
      <c r="C130" s="46" t="s">
        <v>754</v>
      </c>
      <c r="D130" s="46" t="s">
        <v>1027</v>
      </c>
      <c r="E130" s="46" t="s">
        <v>419</v>
      </c>
      <c r="F130" s="35">
        <v>3034001000</v>
      </c>
      <c r="G130" t="s">
        <v>662</v>
      </c>
      <c r="H130" s="4"/>
      <c r="J130" s="71"/>
      <c r="K130"/>
      <c r="L130" s="5"/>
      <c r="M130"/>
    </row>
    <row r="131" spans="1:13" hidden="1" x14ac:dyDescent="0.25">
      <c r="A131" s="127">
        <v>3494</v>
      </c>
      <c r="B131" s="46" t="s">
        <v>916</v>
      </c>
      <c r="C131" s="46" t="s">
        <v>754</v>
      </c>
      <c r="D131" s="46" t="s">
        <v>1027</v>
      </c>
      <c r="E131" s="46" t="s">
        <v>419</v>
      </c>
      <c r="F131" s="35">
        <v>3042088002</v>
      </c>
      <c r="G131" t="s">
        <v>782</v>
      </c>
      <c r="H131" s="4"/>
      <c r="J131" s="71"/>
      <c r="K131"/>
      <c r="L131" s="5"/>
      <c r="M131"/>
    </row>
    <row r="132" spans="1:13" hidden="1" x14ac:dyDescent="0.25">
      <c r="A132" s="127">
        <v>3503</v>
      </c>
      <c r="B132" s="46" t="s">
        <v>938</v>
      </c>
      <c r="C132" s="46" t="s">
        <v>777</v>
      </c>
      <c r="D132" s="46" t="s">
        <v>1034</v>
      </c>
      <c r="E132" s="46" t="s">
        <v>419</v>
      </c>
      <c r="F132" s="35">
        <v>3042088002</v>
      </c>
      <c r="G132" t="s">
        <v>782</v>
      </c>
      <c r="H132" s="4"/>
      <c r="J132" s="71"/>
      <c r="K132"/>
      <c r="L132" s="5"/>
      <c r="M132"/>
    </row>
    <row r="133" spans="1:13" hidden="1" x14ac:dyDescent="0.25">
      <c r="A133" s="127">
        <v>3508</v>
      </c>
      <c r="B133" s="46" t="s">
        <v>916</v>
      </c>
      <c r="C133" s="46" t="s">
        <v>777</v>
      </c>
      <c r="D133" s="46" t="s">
        <v>982</v>
      </c>
      <c r="E133" s="46" t="s">
        <v>419</v>
      </c>
      <c r="F133" s="35">
        <v>3042088001</v>
      </c>
      <c r="G133" t="s">
        <v>785</v>
      </c>
      <c r="H133" s="4"/>
      <c r="J133" s="71"/>
      <c r="K133"/>
      <c r="L133" s="5"/>
      <c r="M133"/>
    </row>
    <row r="134" spans="1:13" hidden="1" x14ac:dyDescent="0.25">
      <c r="A134" s="127">
        <v>3518</v>
      </c>
      <c r="B134" s="46" t="s">
        <v>916</v>
      </c>
      <c r="C134" s="46" t="s">
        <v>754</v>
      </c>
      <c r="D134" s="46" t="s">
        <v>1027</v>
      </c>
      <c r="E134" s="46" t="s">
        <v>419</v>
      </c>
      <c r="F134" s="35">
        <v>3379001000</v>
      </c>
      <c r="G134" t="s">
        <v>813</v>
      </c>
      <c r="H134" s="4"/>
      <c r="J134" s="71"/>
      <c r="K134"/>
      <c r="L134" s="5"/>
      <c r="M134"/>
    </row>
    <row r="135" spans="1:13" hidden="1" x14ac:dyDescent="0.25">
      <c r="A135" s="127">
        <v>3521</v>
      </c>
      <c r="B135" s="46" t="s">
        <v>916</v>
      </c>
      <c r="C135" s="46" t="s">
        <v>754</v>
      </c>
      <c r="D135" s="46" t="s">
        <v>1027</v>
      </c>
      <c r="E135" s="46" t="s">
        <v>419</v>
      </c>
      <c r="F135" s="35">
        <v>3076003000</v>
      </c>
      <c r="G135" t="s">
        <v>814</v>
      </c>
      <c r="H135" s="4"/>
      <c r="J135" s="71"/>
      <c r="K135"/>
      <c r="L135" s="5"/>
      <c r="M135"/>
    </row>
    <row r="136" spans="1:13" hidden="1" x14ac:dyDescent="0.25">
      <c r="A136" s="127">
        <v>20000</v>
      </c>
      <c r="B136" s="46" t="s">
        <v>1039</v>
      </c>
      <c r="C136" s="46" t="s">
        <v>1040</v>
      </c>
      <c r="D136" s="46" t="s">
        <v>1041</v>
      </c>
      <c r="E136" s="46" t="s">
        <v>419</v>
      </c>
      <c r="F136" s="35">
        <v>1068013000</v>
      </c>
      <c r="G136" t="s">
        <v>611</v>
      </c>
      <c r="H136" s="4"/>
      <c r="J136" s="71"/>
      <c r="K136"/>
      <c r="L136" s="5"/>
      <c r="M136"/>
    </row>
    <row r="137" spans="1:13" hidden="1" x14ac:dyDescent="0.25">
      <c r="A137" s="127">
        <v>20003</v>
      </c>
      <c r="B137" s="46" t="s">
        <v>1039</v>
      </c>
      <c r="C137" s="46" t="s">
        <v>1040</v>
      </c>
      <c r="D137" s="46" t="s">
        <v>1041</v>
      </c>
      <c r="E137" s="46" t="s">
        <v>419</v>
      </c>
      <c r="F137" s="35">
        <v>66011000</v>
      </c>
      <c r="G137" t="s">
        <v>548</v>
      </c>
      <c r="H137" s="4"/>
      <c r="J137" s="71"/>
      <c r="K137"/>
      <c r="L137" s="5"/>
      <c r="M137"/>
    </row>
    <row r="138" spans="1:13" hidden="1" x14ac:dyDescent="0.25">
      <c r="A138" s="127">
        <v>20006</v>
      </c>
      <c r="B138" s="46" t="s">
        <v>1039</v>
      </c>
      <c r="C138" s="46" t="s">
        <v>1040</v>
      </c>
      <c r="D138" s="46" t="s">
        <v>1041</v>
      </c>
      <c r="E138" s="46" t="s">
        <v>419</v>
      </c>
      <c r="F138" s="35">
        <v>1014001</v>
      </c>
      <c r="G138" t="s">
        <v>543</v>
      </c>
      <c r="H138" s="4"/>
      <c r="J138" s="71"/>
      <c r="K138"/>
      <c r="L138" s="5"/>
      <c r="M138"/>
    </row>
    <row r="139" spans="1:13" hidden="1" x14ac:dyDescent="0.25">
      <c r="A139" s="127">
        <v>20009</v>
      </c>
      <c r="B139" s="46" t="s">
        <v>1039</v>
      </c>
      <c r="C139" s="46" t="s">
        <v>1040</v>
      </c>
      <c r="D139" s="46" t="s">
        <v>1041</v>
      </c>
      <c r="E139" s="46" t="s">
        <v>419</v>
      </c>
      <c r="F139"/>
      <c r="G139" t="e">
        <v>#N/A</v>
      </c>
      <c r="H139" s="4"/>
      <c r="J139" s="71"/>
      <c r="K139"/>
      <c r="L139" s="5"/>
      <c r="M139"/>
    </row>
    <row r="140" spans="1:13" hidden="1" x14ac:dyDescent="0.25">
      <c r="A140" s="127">
        <v>20012</v>
      </c>
      <c r="B140" s="46" t="s">
        <v>1039</v>
      </c>
      <c r="C140" s="46" t="s">
        <v>1040</v>
      </c>
      <c r="D140" s="46" t="s">
        <v>1046</v>
      </c>
      <c r="E140" s="46" t="s">
        <v>419</v>
      </c>
      <c r="F140" s="35">
        <v>1014001</v>
      </c>
      <c r="G140" t="s">
        <v>543</v>
      </c>
      <c r="H140" s="4"/>
      <c r="J140" s="71"/>
      <c r="K140"/>
      <c r="L140" s="5"/>
      <c r="M140"/>
    </row>
    <row r="141" spans="1:13" hidden="1" x14ac:dyDescent="0.25">
      <c r="A141" s="127">
        <v>20015</v>
      </c>
      <c r="B141" s="46" t="s">
        <v>1039</v>
      </c>
      <c r="C141" s="46" t="s">
        <v>1040</v>
      </c>
      <c r="D141" s="46" t="s">
        <v>1046</v>
      </c>
      <c r="E141" s="46" t="s">
        <v>419</v>
      </c>
      <c r="F141" s="35">
        <v>1014001</v>
      </c>
      <c r="G141" t="s">
        <v>543</v>
      </c>
      <c r="H141" s="4"/>
      <c r="J141" s="71"/>
      <c r="K141"/>
      <c r="L141" s="5"/>
      <c r="M141"/>
    </row>
    <row r="142" spans="1:13" hidden="1" x14ac:dyDescent="0.25">
      <c r="A142" s="127">
        <v>20018</v>
      </c>
      <c r="B142" s="46" t="s">
        <v>1039</v>
      </c>
      <c r="C142" s="46" t="s">
        <v>1040</v>
      </c>
      <c r="D142" s="46" t="s">
        <v>1046</v>
      </c>
      <c r="E142" s="46" t="s">
        <v>419</v>
      </c>
      <c r="F142" s="35">
        <v>1014001</v>
      </c>
      <c r="G142" t="s">
        <v>543</v>
      </c>
      <c r="H142" s="4"/>
      <c r="J142" s="71"/>
      <c r="K142"/>
      <c r="L142" s="5"/>
      <c r="M142"/>
    </row>
    <row r="143" spans="1:13" hidden="1" x14ac:dyDescent="0.25">
      <c r="A143" s="4"/>
      <c r="B143" s="6" t="s">
        <v>184</v>
      </c>
      <c r="C143" s="6" t="s">
        <v>383</v>
      </c>
      <c r="E143" s="4" t="s">
        <v>419</v>
      </c>
      <c r="F143" s="3">
        <v>529001000</v>
      </c>
      <c r="G143" s="11" t="s">
        <v>405</v>
      </c>
      <c r="H143" t="s">
        <v>407</v>
      </c>
      <c r="I143" s="4" t="s">
        <v>231</v>
      </c>
      <c r="J143" s="4" t="s">
        <v>231</v>
      </c>
      <c r="K143" s="71">
        <v>0</v>
      </c>
      <c r="L143" t="str">
        <f>J143</f>
        <v>back up</v>
      </c>
      <c r="M143" s="5">
        <v>0</v>
      </c>
    </row>
    <row r="144" spans="1:13" x14ac:dyDescent="0.25">
      <c r="A144" s="125">
        <v>1765</v>
      </c>
      <c r="B144" s="46" t="s">
        <v>688</v>
      </c>
      <c r="C144" s="46" t="s">
        <v>22</v>
      </c>
      <c r="D144" s="46" t="s">
        <v>40</v>
      </c>
      <c r="E144" s="46" t="s">
        <v>140</v>
      </c>
      <c r="F144" s="35">
        <v>66031000</v>
      </c>
      <c r="G144" t="s">
        <v>560</v>
      </c>
      <c r="H144" s="4"/>
      <c r="I144" s="4">
        <v>12</v>
      </c>
      <c r="J144" s="4" t="s">
        <v>37</v>
      </c>
      <c r="K144">
        <v>12</v>
      </c>
      <c r="L144" s="5" t="s">
        <v>37</v>
      </c>
      <c r="M144">
        <f t="shared" ref="M144:M158" si="0">K144</f>
        <v>12</v>
      </c>
    </row>
    <row r="145" spans="1:13" x14ac:dyDescent="0.25">
      <c r="A145" s="125">
        <v>1769</v>
      </c>
      <c r="B145" s="46" t="s">
        <v>689</v>
      </c>
      <c r="C145" s="46" t="s">
        <v>22</v>
      </c>
      <c r="D145" s="46" t="s">
        <v>40</v>
      </c>
      <c r="E145" s="46" t="s">
        <v>140</v>
      </c>
      <c r="F145" s="35">
        <v>2840001000</v>
      </c>
      <c r="G145" t="s">
        <v>578</v>
      </c>
      <c r="H145" s="4"/>
      <c r="I145" s="4">
        <v>12</v>
      </c>
      <c r="J145" s="4" t="s">
        <v>37</v>
      </c>
      <c r="K145">
        <v>12</v>
      </c>
      <c r="L145" s="5" t="s">
        <v>37</v>
      </c>
      <c r="M145">
        <f t="shared" si="0"/>
        <v>12</v>
      </c>
    </row>
    <row r="146" spans="1:13" x14ac:dyDescent="0.25">
      <c r="A146" s="125">
        <v>2149</v>
      </c>
      <c r="B146" s="46" t="s">
        <v>689</v>
      </c>
      <c r="C146" s="46" t="s">
        <v>708</v>
      </c>
      <c r="D146" s="46">
        <v>15735</v>
      </c>
      <c r="E146" s="46" t="s">
        <v>140</v>
      </c>
      <c r="F146" s="35">
        <v>66011000</v>
      </c>
      <c r="G146" t="s">
        <v>548</v>
      </c>
      <c r="H146" s="4"/>
      <c r="I146" s="4">
        <v>12</v>
      </c>
      <c r="J146" s="4" t="s">
        <v>37</v>
      </c>
      <c r="K146">
        <v>12</v>
      </c>
      <c r="L146" s="5" t="s">
        <v>37</v>
      </c>
      <c r="M146">
        <f t="shared" si="0"/>
        <v>12</v>
      </c>
    </row>
    <row r="147" spans="1:13" x14ac:dyDescent="0.25">
      <c r="A147" s="125">
        <v>2170</v>
      </c>
      <c r="B147" s="46" t="s">
        <v>711</v>
      </c>
      <c r="C147" s="46" t="s">
        <v>200</v>
      </c>
      <c r="D147" s="46" t="s">
        <v>40</v>
      </c>
      <c r="E147" s="46" t="s">
        <v>140</v>
      </c>
      <c r="F147" s="35">
        <v>1014001</v>
      </c>
      <c r="G147" t="s">
        <v>543</v>
      </c>
      <c r="H147" s="4"/>
      <c r="I147" s="4">
        <v>12</v>
      </c>
      <c r="J147" s="4" t="s">
        <v>37</v>
      </c>
      <c r="K147">
        <v>12</v>
      </c>
      <c r="L147" s="5" t="s">
        <v>37</v>
      </c>
      <c r="M147">
        <f t="shared" si="0"/>
        <v>12</v>
      </c>
    </row>
    <row r="148" spans="1:13" x14ac:dyDescent="0.25">
      <c r="A148" s="125">
        <v>2181</v>
      </c>
      <c r="B148" s="46" t="s">
        <v>689</v>
      </c>
      <c r="C148" s="46" t="s">
        <v>712</v>
      </c>
      <c r="D148" s="46" t="s">
        <v>40</v>
      </c>
      <c r="E148" s="46" t="s">
        <v>140</v>
      </c>
      <c r="F148" s="35">
        <v>3319002000</v>
      </c>
      <c r="G148" t="s">
        <v>587</v>
      </c>
      <c r="H148" s="4"/>
      <c r="I148" s="4">
        <v>12</v>
      </c>
      <c r="J148" s="4" t="s">
        <v>37</v>
      </c>
      <c r="K148">
        <v>12</v>
      </c>
      <c r="L148" s="5" t="s">
        <v>37</v>
      </c>
      <c r="M148">
        <f t="shared" si="0"/>
        <v>12</v>
      </c>
    </row>
    <row r="149" spans="1:13" x14ac:dyDescent="0.25">
      <c r="A149" s="125">
        <v>2242</v>
      </c>
      <c r="B149" s="46" t="s">
        <v>688</v>
      </c>
      <c r="C149" s="46" t="s">
        <v>22</v>
      </c>
      <c r="D149" s="46" t="s">
        <v>40</v>
      </c>
      <c r="E149" s="46" t="s">
        <v>140</v>
      </c>
      <c r="F149" s="35">
        <v>1014002</v>
      </c>
      <c r="G149" t="s">
        <v>564</v>
      </c>
      <c r="H149" s="4"/>
      <c r="I149" s="4">
        <v>12</v>
      </c>
      <c r="J149" s="4" t="s">
        <v>37</v>
      </c>
      <c r="K149">
        <v>12</v>
      </c>
      <c r="L149" s="5" t="s">
        <v>37</v>
      </c>
      <c r="M149">
        <f t="shared" si="0"/>
        <v>12</v>
      </c>
    </row>
    <row r="150" spans="1:13" x14ac:dyDescent="0.25">
      <c r="A150" s="125">
        <v>2370</v>
      </c>
      <c r="B150" s="46" t="s">
        <v>689</v>
      </c>
      <c r="C150" s="46" t="s">
        <v>722</v>
      </c>
      <c r="D150" s="46">
        <v>2440</v>
      </c>
      <c r="E150" s="46" t="s">
        <v>140</v>
      </c>
      <c r="F150" s="35">
        <v>3034001000</v>
      </c>
      <c r="G150" t="s">
        <v>662</v>
      </c>
      <c r="H150" s="4"/>
      <c r="I150" s="4">
        <v>12</v>
      </c>
      <c r="J150" s="4" t="s">
        <v>37</v>
      </c>
      <c r="K150">
        <v>12</v>
      </c>
      <c r="L150" s="5" t="s">
        <v>37</v>
      </c>
      <c r="M150">
        <f t="shared" si="0"/>
        <v>12</v>
      </c>
    </row>
    <row r="151" spans="1:13" x14ac:dyDescent="0.25">
      <c r="A151" s="125">
        <v>2387</v>
      </c>
      <c r="B151" s="46" t="s">
        <v>688</v>
      </c>
      <c r="C151" s="46" t="s">
        <v>722</v>
      </c>
      <c r="D151" s="46" t="s">
        <v>40</v>
      </c>
      <c r="E151" s="46" t="s">
        <v>140</v>
      </c>
      <c r="F151" s="35">
        <v>1014001</v>
      </c>
      <c r="G151" t="s">
        <v>543</v>
      </c>
      <c r="H151" s="4"/>
      <c r="I151" s="4">
        <v>12</v>
      </c>
      <c r="J151" s="4" t="s">
        <v>37</v>
      </c>
      <c r="K151">
        <v>12</v>
      </c>
      <c r="L151" s="5" t="s">
        <v>37</v>
      </c>
      <c r="M151">
        <f t="shared" si="0"/>
        <v>12</v>
      </c>
    </row>
    <row r="152" spans="1:13" x14ac:dyDescent="0.25">
      <c r="A152" s="125">
        <v>2397</v>
      </c>
      <c r="B152" s="46" t="s">
        <v>689</v>
      </c>
      <c r="C152" s="46" t="s">
        <v>723</v>
      </c>
      <c r="D152" s="46">
        <v>2440</v>
      </c>
      <c r="E152" s="46" t="s">
        <v>140</v>
      </c>
      <c r="F152" s="35">
        <v>529001000</v>
      </c>
      <c r="G152" t="s">
        <v>590</v>
      </c>
      <c r="H152" s="4"/>
      <c r="I152" s="4">
        <v>12</v>
      </c>
      <c r="J152" s="4" t="s">
        <v>37</v>
      </c>
      <c r="K152">
        <v>12</v>
      </c>
      <c r="L152" s="5" t="s">
        <v>37</v>
      </c>
      <c r="M152">
        <f t="shared" si="0"/>
        <v>12</v>
      </c>
    </row>
    <row r="153" spans="1:13" x14ac:dyDescent="0.25">
      <c r="A153" s="125">
        <v>2490</v>
      </c>
      <c r="B153" s="46" t="s">
        <v>689</v>
      </c>
      <c r="C153" s="46" t="s">
        <v>200</v>
      </c>
      <c r="D153" s="46" t="s">
        <v>40</v>
      </c>
      <c r="E153" s="46" t="s">
        <v>140</v>
      </c>
      <c r="F153" s="35">
        <v>2905001000</v>
      </c>
      <c r="G153" t="s">
        <v>647</v>
      </c>
      <c r="H153" s="4"/>
      <c r="I153" s="4">
        <v>12</v>
      </c>
      <c r="J153" s="4" t="s">
        <v>37</v>
      </c>
      <c r="K153">
        <v>12</v>
      </c>
      <c r="L153" s="5" t="s">
        <v>37</v>
      </c>
      <c r="M153">
        <f t="shared" si="0"/>
        <v>12</v>
      </c>
    </row>
    <row r="154" spans="1:13" x14ac:dyDescent="0.25">
      <c r="A154" s="125">
        <v>2518</v>
      </c>
      <c r="B154" s="46" t="s">
        <v>689</v>
      </c>
      <c r="C154" s="46" t="s">
        <v>724</v>
      </c>
      <c r="D154" s="46" t="s">
        <v>725</v>
      </c>
      <c r="E154" s="46" t="s">
        <v>140</v>
      </c>
      <c r="F154" s="35">
        <v>3135001000</v>
      </c>
      <c r="G154" t="s">
        <v>551</v>
      </c>
      <c r="H154" s="4"/>
      <c r="I154" s="4">
        <v>12</v>
      </c>
      <c r="J154" s="4" t="s">
        <v>37</v>
      </c>
      <c r="K154">
        <v>12</v>
      </c>
      <c r="L154" s="5" t="s">
        <v>37</v>
      </c>
      <c r="M154">
        <f t="shared" si="0"/>
        <v>12</v>
      </c>
    </row>
    <row r="155" spans="1:13" x14ac:dyDescent="0.25">
      <c r="A155" s="125">
        <v>2639</v>
      </c>
      <c r="B155" s="46" t="s">
        <v>689</v>
      </c>
      <c r="C155" s="46" t="s">
        <v>200</v>
      </c>
      <c r="D155" s="46" t="s">
        <v>728</v>
      </c>
      <c r="E155" s="46" t="s">
        <v>140</v>
      </c>
      <c r="F155" s="35">
        <v>66011000</v>
      </c>
      <c r="G155" t="s">
        <v>548</v>
      </c>
      <c r="H155" s="4"/>
      <c r="I155" s="4">
        <v>12</v>
      </c>
      <c r="J155" s="4" t="s">
        <v>37</v>
      </c>
      <c r="K155">
        <v>12</v>
      </c>
      <c r="L155" s="5" t="s">
        <v>37</v>
      </c>
      <c r="M155">
        <f t="shared" si="0"/>
        <v>12</v>
      </c>
    </row>
    <row r="156" spans="1:13" x14ac:dyDescent="0.25">
      <c r="A156" s="125">
        <v>2667</v>
      </c>
      <c r="B156" s="46" t="s">
        <v>688</v>
      </c>
      <c r="C156" s="46" t="s">
        <v>734</v>
      </c>
      <c r="D156" s="46" t="s">
        <v>40</v>
      </c>
      <c r="E156" s="46" t="s">
        <v>140</v>
      </c>
      <c r="F156" s="35">
        <v>66011000</v>
      </c>
      <c r="G156" t="s">
        <v>548</v>
      </c>
      <c r="H156" s="4"/>
      <c r="I156" s="4">
        <v>12</v>
      </c>
      <c r="J156" s="4" t="s">
        <v>37</v>
      </c>
      <c r="K156">
        <v>12</v>
      </c>
      <c r="L156" s="5" t="s">
        <v>37</v>
      </c>
      <c r="M156">
        <f t="shared" si="0"/>
        <v>12</v>
      </c>
    </row>
    <row r="157" spans="1:13" x14ac:dyDescent="0.25">
      <c r="A157" s="125">
        <v>2675</v>
      </c>
      <c r="B157" s="46" t="s">
        <v>688</v>
      </c>
      <c r="C157" s="46" t="s">
        <v>735</v>
      </c>
      <c r="D157" s="46" t="s">
        <v>736</v>
      </c>
      <c r="E157" s="46" t="s">
        <v>140</v>
      </c>
      <c r="F157" s="35">
        <v>66011000</v>
      </c>
      <c r="G157" t="s">
        <v>548</v>
      </c>
      <c r="H157" s="4"/>
      <c r="I157" s="4">
        <v>12</v>
      </c>
      <c r="J157" s="4" t="s">
        <v>37</v>
      </c>
      <c r="K157">
        <v>12</v>
      </c>
      <c r="L157" s="5" t="s">
        <v>37</v>
      </c>
      <c r="M157">
        <f t="shared" si="0"/>
        <v>12</v>
      </c>
    </row>
    <row r="158" spans="1:13" x14ac:dyDescent="0.25">
      <c r="A158" s="125">
        <v>2781</v>
      </c>
      <c r="B158" s="46" t="s">
        <v>689</v>
      </c>
      <c r="C158" s="46" t="s">
        <v>395</v>
      </c>
      <c r="D158" s="46" t="s">
        <v>40</v>
      </c>
      <c r="E158" s="46" t="s">
        <v>140</v>
      </c>
      <c r="F158" s="35">
        <v>165001000</v>
      </c>
      <c r="G158" t="s">
        <v>569</v>
      </c>
      <c r="H158" s="4"/>
      <c r="I158" s="4">
        <v>12</v>
      </c>
      <c r="J158" s="4" t="s">
        <v>37</v>
      </c>
      <c r="K158">
        <v>12</v>
      </c>
      <c r="L158" s="5" t="s">
        <v>37</v>
      </c>
      <c r="M158">
        <f t="shared" si="0"/>
        <v>12</v>
      </c>
    </row>
    <row r="159" spans="1:13" x14ac:dyDescent="0.25">
      <c r="A159" s="16">
        <v>2785</v>
      </c>
      <c r="B159" s="6" t="s">
        <v>140</v>
      </c>
      <c r="C159" s="6"/>
      <c r="D159" s="6"/>
      <c r="E159" s="46" t="s">
        <v>140</v>
      </c>
      <c r="F159" s="46">
        <v>1406010000</v>
      </c>
      <c r="G159" t="s">
        <v>683</v>
      </c>
      <c r="H159" s="11" t="s">
        <v>338</v>
      </c>
      <c r="I159" s="4" t="s">
        <v>304</v>
      </c>
      <c r="J159" s="4" t="s">
        <v>305</v>
      </c>
      <c r="K159" s="71">
        <v>9</v>
      </c>
      <c r="L159" t="s">
        <v>17</v>
      </c>
      <c r="M159" s="5">
        <f>K159/7</f>
        <v>1.2857142857142858</v>
      </c>
    </row>
    <row r="160" spans="1:13" x14ac:dyDescent="0.25">
      <c r="A160" s="125">
        <v>2825</v>
      </c>
      <c r="B160" s="46" t="s">
        <v>689</v>
      </c>
      <c r="C160" s="46" t="s">
        <v>442</v>
      </c>
      <c r="E160" s="46" t="s">
        <v>140</v>
      </c>
      <c r="F160" s="35">
        <v>3154002000</v>
      </c>
      <c r="G160" t="s">
        <v>744</v>
      </c>
      <c r="H160" s="4"/>
      <c r="I160" s="4">
        <v>12</v>
      </c>
      <c r="J160" s="4" t="s">
        <v>37</v>
      </c>
      <c r="K160">
        <v>12</v>
      </c>
      <c r="L160" s="5" t="s">
        <v>37</v>
      </c>
      <c r="M160">
        <f t="shared" ref="M160:M191" si="1">K160</f>
        <v>12</v>
      </c>
    </row>
    <row r="161" spans="1:13" x14ac:dyDescent="0.25">
      <c r="A161" s="125">
        <v>2874</v>
      </c>
      <c r="B161" s="46" t="s">
        <v>689</v>
      </c>
      <c r="C161" s="46" t="s">
        <v>383</v>
      </c>
      <c r="E161" s="46" t="s">
        <v>140</v>
      </c>
      <c r="F161" s="35">
        <v>66031000</v>
      </c>
      <c r="G161" t="s">
        <v>560</v>
      </c>
      <c r="H161" s="4"/>
      <c r="I161" s="4">
        <v>12</v>
      </c>
      <c r="J161" s="4" t="s">
        <v>37</v>
      </c>
      <c r="K161">
        <v>12</v>
      </c>
      <c r="L161" s="5" t="s">
        <v>37</v>
      </c>
      <c r="M161">
        <f t="shared" si="1"/>
        <v>12</v>
      </c>
    </row>
    <row r="162" spans="1:13" x14ac:dyDescent="0.25">
      <c r="A162" s="125">
        <v>2875</v>
      </c>
      <c r="B162" s="46" t="s">
        <v>689</v>
      </c>
      <c r="C162" s="46" t="s">
        <v>383</v>
      </c>
      <c r="D162" s="46" t="s">
        <v>746</v>
      </c>
      <c r="E162" s="46" t="s">
        <v>140</v>
      </c>
      <c r="F162" s="35">
        <v>1023000</v>
      </c>
      <c r="G162" t="s">
        <v>595</v>
      </c>
      <c r="H162" s="4"/>
      <c r="I162" s="4">
        <v>12</v>
      </c>
      <c r="J162" s="4" t="s">
        <v>37</v>
      </c>
      <c r="K162">
        <v>12</v>
      </c>
      <c r="L162" s="5" t="s">
        <v>37</v>
      </c>
      <c r="M162">
        <f t="shared" si="1"/>
        <v>12</v>
      </c>
    </row>
    <row r="163" spans="1:13" x14ac:dyDescent="0.25">
      <c r="A163" s="125">
        <v>2876</v>
      </c>
      <c r="B163" s="46" t="s">
        <v>689</v>
      </c>
      <c r="C163" s="46" t="s">
        <v>383</v>
      </c>
      <c r="E163" s="46" t="s">
        <v>140</v>
      </c>
      <c r="F163" s="35">
        <v>66011000</v>
      </c>
      <c r="G163" t="s">
        <v>548</v>
      </c>
      <c r="H163" s="4"/>
      <c r="I163" s="4">
        <v>12</v>
      </c>
      <c r="J163" s="4" t="s">
        <v>37</v>
      </c>
      <c r="K163">
        <v>12</v>
      </c>
      <c r="L163" s="5" t="s">
        <v>37</v>
      </c>
      <c r="M163">
        <f t="shared" si="1"/>
        <v>12</v>
      </c>
    </row>
    <row r="164" spans="1:13" x14ac:dyDescent="0.25">
      <c r="A164" s="125">
        <v>2904</v>
      </c>
      <c r="B164" s="46" t="s">
        <v>689</v>
      </c>
      <c r="C164" s="46" t="s">
        <v>724</v>
      </c>
      <c r="E164" s="46" t="s">
        <v>140</v>
      </c>
      <c r="F164" s="35">
        <v>1720001000</v>
      </c>
      <c r="G164" t="s">
        <v>694</v>
      </c>
      <c r="H164" s="4"/>
      <c r="I164" s="4">
        <v>12</v>
      </c>
      <c r="J164" s="4" t="s">
        <v>37</v>
      </c>
      <c r="K164">
        <v>12</v>
      </c>
      <c r="L164" s="5" t="s">
        <v>37</v>
      </c>
      <c r="M164">
        <f t="shared" si="1"/>
        <v>12</v>
      </c>
    </row>
    <row r="165" spans="1:13" x14ac:dyDescent="0.25">
      <c r="A165" s="125">
        <v>2916</v>
      </c>
      <c r="B165" s="46" t="s">
        <v>689</v>
      </c>
      <c r="C165" s="46" t="s">
        <v>748</v>
      </c>
      <c r="D165" s="46" t="s">
        <v>749</v>
      </c>
      <c r="E165" s="46" t="s">
        <v>140</v>
      </c>
      <c r="F165" s="35">
        <v>1000003</v>
      </c>
      <c r="G165" t="s">
        <v>602</v>
      </c>
      <c r="H165" s="4"/>
      <c r="I165" s="4">
        <v>12</v>
      </c>
      <c r="J165" s="4" t="s">
        <v>37</v>
      </c>
      <c r="K165">
        <v>12</v>
      </c>
      <c r="L165" s="5" t="s">
        <v>37</v>
      </c>
      <c r="M165">
        <f t="shared" si="1"/>
        <v>12</v>
      </c>
    </row>
    <row r="166" spans="1:13" x14ac:dyDescent="0.25">
      <c r="A166" s="125">
        <v>2922</v>
      </c>
      <c r="B166" s="46" t="s">
        <v>689</v>
      </c>
      <c r="C166" s="46" t="s">
        <v>750</v>
      </c>
      <c r="D166" s="46" t="s">
        <v>746</v>
      </c>
      <c r="E166" s="46" t="s">
        <v>140</v>
      </c>
      <c r="F166" s="35">
        <v>2886002000</v>
      </c>
      <c r="G166" t="s">
        <v>617</v>
      </c>
      <c r="H166" s="4"/>
      <c r="I166" s="4">
        <v>12</v>
      </c>
      <c r="J166" s="4" t="s">
        <v>37</v>
      </c>
      <c r="K166">
        <v>12</v>
      </c>
      <c r="L166" s="5" t="s">
        <v>37</v>
      </c>
      <c r="M166">
        <f t="shared" si="1"/>
        <v>12</v>
      </c>
    </row>
    <row r="167" spans="1:13" x14ac:dyDescent="0.25">
      <c r="A167" s="125">
        <v>2947</v>
      </c>
      <c r="B167" s="46" t="s">
        <v>689</v>
      </c>
      <c r="C167" s="46" t="s">
        <v>724</v>
      </c>
      <c r="D167" s="46" t="s">
        <v>725</v>
      </c>
      <c r="E167" s="46" t="s">
        <v>140</v>
      </c>
      <c r="F167" s="35">
        <v>3156001000</v>
      </c>
      <c r="G167" t="s">
        <v>752</v>
      </c>
      <c r="H167" s="4"/>
      <c r="I167" s="4">
        <v>12</v>
      </c>
      <c r="J167" s="4" t="s">
        <v>37</v>
      </c>
      <c r="K167">
        <v>12</v>
      </c>
      <c r="L167" s="5" t="s">
        <v>37</v>
      </c>
      <c r="M167">
        <f t="shared" si="1"/>
        <v>12</v>
      </c>
    </row>
    <row r="168" spans="1:13" x14ac:dyDescent="0.25">
      <c r="A168" s="125">
        <v>2965</v>
      </c>
      <c r="B168" s="46" t="s">
        <v>688</v>
      </c>
      <c r="C168" s="46" t="s">
        <v>754</v>
      </c>
      <c r="D168" s="46" t="s">
        <v>40</v>
      </c>
      <c r="E168" s="46" t="s">
        <v>140</v>
      </c>
      <c r="F168" s="35">
        <v>3265001000</v>
      </c>
      <c r="G168" t="s">
        <v>599</v>
      </c>
      <c r="H168" s="4"/>
      <c r="I168" s="4">
        <v>12</v>
      </c>
      <c r="J168" s="4" t="s">
        <v>37</v>
      </c>
      <c r="K168">
        <v>12</v>
      </c>
      <c r="L168" s="5" t="s">
        <v>37</v>
      </c>
      <c r="M168">
        <f t="shared" si="1"/>
        <v>12</v>
      </c>
    </row>
    <row r="169" spans="1:13" x14ac:dyDescent="0.25">
      <c r="A169" s="125">
        <v>2979</v>
      </c>
      <c r="B169" s="46" t="s">
        <v>688</v>
      </c>
      <c r="C169" s="46" t="s">
        <v>757</v>
      </c>
      <c r="D169" s="46" t="s">
        <v>758</v>
      </c>
      <c r="E169" s="46" t="s">
        <v>140</v>
      </c>
      <c r="F169" s="35">
        <v>66011000</v>
      </c>
      <c r="G169" t="s">
        <v>548</v>
      </c>
      <c r="H169" s="4"/>
      <c r="I169" s="4">
        <v>12</v>
      </c>
      <c r="J169" s="4" t="s">
        <v>37</v>
      </c>
      <c r="K169">
        <v>12</v>
      </c>
      <c r="L169" s="5" t="s">
        <v>37</v>
      </c>
      <c r="M169">
        <f t="shared" si="1"/>
        <v>12</v>
      </c>
    </row>
    <row r="170" spans="1:13" x14ac:dyDescent="0.25">
      <c r="A170" s="125">
        <v>3069</v>
      </c>
      <c r="B170" s="46" t="s">
        <v>689</v>
      </c>
      <c r="C170" s="46" t="s">
        <v>46</v>
      </c>
      <c r="E170" s="46" t="s">
        <v>140</v>
      </c>
      <c r="F170" s="35">
        <v>1014002</v>
      </c>
      <c r="G170" t="s">
        <v>564</v>
      </c>
      <c r="H170" s="4"/>
      <c r="I170" s="4">
        <v>12</v>
      </c>
      <c r="J170" s="4" t="s">
        <v>37</v>
      </c>
      <c r="K170">
        <v>12</v>
      </c>
      <c r="L170" s="5" t="s">
        <v>37</v>
      </c>
      <c r="M170">
        <f t="shared" si="1"/>
        <v>12</v>
      </c>
    </row>
    <row r="171" spans="1:13" x14ac:dyDescent="0.25">
      <c r="A171" s="125">
        <v>3071</v>
      </c>
      <c r="B171" s="46" t="s">
        <v>689</v>
      </c>
      <c r="C171" s="46" t="s">
        <v>46</v>
      </c>
      <c r="D171" s="46" t="s">
        <v>40</v>
      </c>
      <c r="E171" s="46" t="s">
        <v>140</v>
      </c>
      <c r="F171" s="35">
        <v>2499001000</v>
      </c>
      <c r="G171" t="s">
        <v>665</v>
      </c>
      <c r="H171" s="4"/>
      <c r="I171" s="4">
        <v>12</v>
      </c>
      <c r="J171" s="4" t="s">
        <v>37</v>
      </c>
      <c r="K171">
        <v>12</v>
      </c>
      <c r="L171" s="5" t="s">
        <v>37</v>
      </c>
      <c r="M171">
        <f t="shared" si="1"/>
        <v>12</v>
      </c>
    </row>
    <row r="172" spans="1:13" x14ac:dyDescent="0.25">
      <c r="A172" s="125">
        <v>3083</v>
      </c>
      <c r="B172" s="46" t="s">
        <v>689</v>
      </c>
      <c r="C172" s="46" t="s">
        <v>328</v>
      </c>
      <c r="D172" s="46" t="s">
        <v>40</v>
      </c>
      <c r="E172" s="46" t="s">
        <v>140</v>
      </c>
      <c r="F172" s="35">
        <v>66032000</v>
      </c>
      <c r="G172" t="s">
        <v>563</v>
      </c>
      <c r="H172" s="4"/>
      <c r="I172" s="4">
        <v>12</v>
      </c>
      <c r="J172" s="4" t="s">
        <v>37</v>
      </c>
      <c r="K172">
        <v>12</v>
      </c>
      <c r="L172" s="5" t="s">
        <v>37</v>
      </c>
      <c r="M172">
        <f t="shared" si="1"/>
        <v>12</v>
      </c>
    </row>
    <row r="173" spans="1:13" x14ac:dyDescent="0.25">
      <c r="A173" s="125">
        <v>3084</v>
      </c>
      <c r="B173" s="46" t="s">
        <v>689</v>
      </c>
      <c r="C173" s="46" t="s">
        <v>328</v>
      </c>
      <c r="D173" s="46" t="s">
        <v>40</v>
      </c>
      <c r="E173" s="46" t="s">
        <v>140</v>
      </c>
      <c r="F173" s="35">
        <v>3265004000</v>
      </c>
      <c r="G173" t="s">
        <v>760</v>
      </c>
      <c r="H173" s="4"/>
      <c r="I173" s="4">
        <v>12</v>
      </c>
      <c r="J173" s="4" t="s">
        <v>37</v>
      </c>
      <c r="K173">
        <v>12</v>
      </c>
      <c r="L173" s="5" t="s">
        <v>37</v>
      </c>
      <c r="M173">
        <f t="shared" si="1"/>
        <v>12</v>
      </c>
    </row>
    <row r="174" spans="1:13" x14ac:dyDescent="0.25">
      <c r="A174" s="125">
        <v>3085</v>
      </c>
      <c r="B174" s="46" t="s">
        <v>689</v>
      </c>
      <c r="C174" s="46" t="s">
        <v>328</v>
      </c>
      <c r="D174" s="46" t="s">
        <v>40</v>
      </c>
      <c r="E174" s="46" t="s">
        <v>140</v>
      </c>
      <c r="F174" s="35">
        <v>66032000</v>
      </c>
      <c r="G174" t="s">
        <v>563</v>
      </c>
      <c r="H174" s="4"/>
      <c r="I174" s="4">
        <v>12</v>
      </c>
      <c r="J174" s="4" t="s">
        <v>37</v>
      </c>
      <c r="K174">
        <v>12</v>
      </c>
      <c r="L174" s="5" t="s">
        <v>37</v>
      </c>
      <c r="M174">
        <f t="shared" si="1"/>
        <v>12</v>
      </c>
    </row>
    <row r="175" spans="1:13" x14ac:dyDescent="0.25">
      <c r="A175" s="125">
        <v>3104</v>
      </c>
      <c r="B175" s="46" t="s">
        <v>689</v>
      </c>
      <c r="C175" s="46" t="s">
        <v>763</v>
      </c>
      <c r="D175" s="46" t="s">
        <v>764</v>
      </c>
      <c r="E175" s="46" t="s">
        <v>140</v>
      </c>
      <c r="F175" s="35">
        <v>165001000</v>
      </c>
      <c r="G175" t="s">
        <v>569</v>
      </c>
      <c r="H175" s="4"/>
      <c r="I175" s="4">
        <v>12</v>
      </c>
      <c r="J175" s="4" t="s">
        <v>37</v>
      </c>
      <c r="K175">
        <v>12</v>
      </c>
      <c r="L175" s="5" t="s">
        <v>37</v>
      </c>
      <c r="M175">
        <f t="shared" si="1"/>
        <v>12</v>
      </c>
    </row>
    <row r="176" spans="1:13" x14ac:dyDescent="0.25">
      <c r="A176" s="125">
        <v>3108</v>
      </c>
      <c r="B176" s="46" t="s">
        <v>689</v>
      </c>
      <c r="C176" s="46" t="s">
        <v>328</v>
      </c>
      <c r="D176" s="46" t="s">
        <v>746</v>
      </c>
      <c r="E176" s="46" t="s">
        <v>140</v>
      </c>
      <c r="F176" s="35">
        <v>1406001000</v>
      </c>
      <c r="G176" t="s">
        <v>581</v>
      </c>
      <c r="H176" s="4"/>
      <c r="I176" s="4">
        <v>12</v>
      </c>
      <c r="J176" s="4" t="s">
        <v>37</v>
      </c>
      <c r="K176">
        <v>12</v>
      </c>
      <c r="L176" s="5" t="s">
        <v>37</v>
      </c>
      <c r="M176">
        <f t="shared" si="1"/>
        <v>12</v>
      </c>
    </row>
    <row r="177" spans="1:13" x14ac:dyDescent="0.25">
      <c r="A177" s="125">
        <v>3109</v>
      </c>
      <c r="B177" s="46" t="s">
        <v>689</v>
      </c>
      <c r="C177" s="46" t="s">
        <v>328</v>
      </c>
      <c r="D177" s="46" t="s">
        <v>746</v>
      </c>
      <c r="E177" s="46" t="s">
        <v>140</v>
      </c>
      <c r="F177" s="35">
        <v>1014001</v>
      </c>
      <c r="G177" t="s">
        <v>543</v>
      </c>
      <c r="H177" s="4"/>
      <c r="I177" s="4">
        <v>12</v>
      </c>
      <c r="J177" s="4" t="s">
        <v>37</v>
      </c>
      <c r="K177">
        <v>12</v>
      </c>
      <c r="L177" s="5" t="s">
        <v>37</v>
      </c>
      <c r="M177">
        <f t="shared" si="1"/>
        <v>12</v>
      </c>
    </row>
    <row r="178" spans="1:13" x14ac:dyDescent="0.25">
      <c r="A178" s="125">
        <v>3110</v>
      </c>
      <c r="B178" s="46" t="s">
        <v>689</v>
      </c>
      <c r="C178" s="46" t="s">
        <v>328</v>
      </c>
      <c r="D178" s="46" t="s">
        <v>746</v>
      </c>
      <c r="E178" s="46" t="s">
        <v>140</v>
      </c>
      <c r="F178" s="35">
        <v>66031000</v>
      </c>
      <c r="G178" t="s">
        <v>560</v>
      </c>
      <c r="H178" s="4"/>
      <c r="I178" s="4">
        <v>12</v>
      </c>
      <c r="J178" s="4" t="s">
        <v>37</v>
      </c>
      <c r="K178">
        <v>12</v>
      </c>
      <c r="L178" s="5" t="s">
        <v>37</v>
      </c>
      <c r="M178">
        <f t="shared" si="1"/>
        <v>12</v>
      </c>
    </row>
    <row r="179" spans="1:13" x14ac:dyDescent="0.25">
      <c r="A179" s="125">
        <v>3123</v>
      </c>
      <c r="B179" s="46" t="s">
        <v>689</v>
      </c>
      <c r="C179" s="46" t="s">
        <v>46</v>
      </c>
      <c r="D179" s="46" t="s">
        <v>765</v>
      </c>
      <c r="E179" s="46" t="s">
        <v>140</v>
      </c>
      <c r="F179" s="35">
        <v>1978003000</v>
      </c>
      <c r="G179" t="s">
        <v>650</v>
      </c>
      <c r="H179" s="4"/>
      <c r="I179" s="4">
        <v>12</v>
      </c>
      <c r="J179" s="4" t="s">
        <v>37</v>
      </c>
      <c r="K179">
        <v>12</v>
      </c>
      <c r="L179" s="5" t="s">
        <v>37</v>
      </c>
      <c r="M179">
        <f t="shared" si="1"/>
        <v>12</v>
      </c>
    </row>
    <row r="180" spans="1:13" x14ac:dyDescent="0.25">
      <c r="A180" s="125">
        <v>3124</v>
      </c>
      <c r="B180" s="46" t="s">
        <v>689</v>
      </c>
      <c r="C180" s="46" t="s">
        <v>46</v>
      </c>
      <c r="D180" s="46" t="s">
        <v>765</v>
      </c>
      <c r="E180" s="46" t="s">
        <v>140</v>
      </c>
      <c r="F180" s="35">
        <v>3042058001</v>
      </c>
      <c r="G180" t="s">
        <v>766</v>
      </c>
      <c r="H180" s="4"/>
      <c r="I180" s="4">
        <v>12</v>
      </c>
      <c r="J180" s="4" t="s">
        <v>37</v>
      </c>
      <c r="K180">
        <v>12</v>
      </c>
      <c r="L180" s="5" t="s">
        <v>37</v>
      </c>
      <c r="M180">
        <f t="shared" si="1"/>
        <v>12</v>
      </c>
    </row>
    <row r="181" spans="1:13" x14ac:dyDescent="0.25">
      <c r="A181" s="125">
        <v>3125</v>
      </c>
      <c r="B181" s="46" t="s">
        <v>689</v>
      </c>
      <c r="C181" s="46" t="s">
        <v>46</v>
      </c>
      <c r="D181" s="46" t="s">
        <v>765</v>
      </c>
      <c r="E181" s="46" t="s">
        <v>140</v>
      </c>
      <c r="F181" s="35">
        <v>3042058001</v>
      </c>
      <c r="G181" t="s">
        <v>766</v>
      </c>
      <c r="H181" s="4"/>
      <c r="I181" s="4">
        <v>12</v>
      </c>
      <c r="J181" s="4" t="s">
        <v>37</v>
      </c>
      <c r="K181">
        <v>12</v>
      </c>
      <c r="L181" s="5" t="s">
        <v>37</v>
      </c>
      <c r="M181">
        <f t="shared" si="1"/>
        <v>12</v>
      </c>
    </row>
    <row r="182" spans="1:13" x14ac:dyDescent="0.25">
      <c r="A182" s="125">
        <v>3134</v>
      </c>
      <c r="B182" s="46" t="s">
        <v>689</v>
      </c>
      <c r="C182" s="46" t="s">
        <v>46</v>
      </c>
      <c r="D182" s="46" t="s">
        <v>765</v>
      </c>
      <c r="E182" s="46" t="s">
        <v>140</v>
      </c>
      <c r="F182" s="35">
        <v>1406001000</v>
      </c>
      <c r="G182" t="s">
        <v>581</v>
      </c>
      <c r="H182" s="4"/>
      <c r="I182" s="4">
        <v>12</v>
      </c>
      <c r="J182" s="4" t="s">
        <v>37</v>
      </c>
      <c r="K182">
        <v>12</v>
      </c>
      <c r="L182" s="5" t="s">
        <v>37</v>
      </c>
      <c r="M182">
        <f t="shared" si="1"/>
        <v>12</v>
      </c>
    </row>
    <row r="183" spans="1:13" x14ac:dyDescent="0.25">
      <c r="A183" s="125">
        <v>3140</v>
      </c>
      <c r="B183" s="46" t="s">
        <v>689</v>
      </c>
      <c r="C183" s="46" t="s">
        <v>750</v>
      </c>
      <c r="D183" s="46" t="s">
        <v>768</v>
      </c>
      <c r="E183" s="46" t="s">
        <v>140</v>
      </c>
      <c r="F183" s="35">
        <v>66031000</v>
      </c>
      <c r="G183" t="s">
        <v>560</v>
      </c>
      <c r="H183" s="4"/>
      <c r="I183" s="4">
        <v>12</v>
      </c>
      <c r="J183" s="4" t="s">
        <v>37</v>
      </c>
      <c r="K183">
        <v>12</v>
      </c>
      <c r="L183" s="5" t="s">
        <v>37</v>
      </c>
      <c r="M183">
        <f t="shared" si="1"/>
        <v>12</v>
      </c>
    </row>
    <row r="184" spans="1:13" x14ac:dyDescent="0.25">
      <c r="A184" s="125">
        <v>3148</v>
      </c>
      <c r="B184" s="46" t="s">
        <v>689</v>
      </c>
      <c r="C184" s="46" t="s">
        <v>328</v>
      </c>
      <c r="D184" s="46" t="s">
        <v>40</v>
      </c>
      <c r="E184" s="46" t="s">
        <v>140</v>
      </c>
      <c r="F184" s="35">
        <v>3042060001</v>
      </c>
      <c r="G184" t="s">
        <v>654</v>
      </c>
      <c r="H184" s="4"/>
      <c r="I184" s="4">
        <v>12</v>
      </c>
      <c r="J184" s="4" t="s">
        <v>37</v>
      </c>
      <c r="K184">
        <v>12</v>
      </c>
      <c r="L184" s="5" t="s">
        <v>37</v>
      </c>
      <c r="M184">
        <f t="shared" si="1"/>
        <v>12</v>
      </c>
    </row>
    <row r="185" spans="1:13" x14ac:dyDescent="0.25">
      <c r="A185" s="125">
        <v>3156</v>
      </c>
      <c r="B185" s="46" t="s">
        <v>689</v>
      </c>
      <c r="C185" s="46" t="s">
        <v>200</v>
      </c>
      <c r="D185" s="46" t="s">
        <v>40</v>
      </c>
      <c r="E185" s="46" t="s">
        <v>140</v>
      </c>
      <c r="F185" s="35">
        <v>66031000</v>
      </c>
      <c r="G185" t="s">
        <v>560</v>
      </c>
      <c r="H185" s="4"/>
      <c r="I185" s="4">
        <v>12</v>
      </c>
      <c r="J185" s="4" t="s">
        <v>37</v>
      </c>
      <c r="K185">
        <v>12</v>
      </c>
      <c r="L185" s="5" t="s">
        <v>37</v>
      </c>
      <c r="M185">
        <f t="shared" si="1"/>
        <v>12</v>
      </c>
    </row>
    <row r="186" spans="1:13" x14ac:dyDescent="0.25">
      <c r="A186" s="125">
        <v>3163</v>
      </c>
      <c r="B186" s="46" t="s">
        <v>689</v>
      </c>
      <c r="C186" s="46" t="s">
        <v>46</v>
      </c>
      <c r="D186" s="46" t="s">
        <v>40</v>
      </c>
      <c r="E186" s="46" t="s">
        <v>140</v>
      </c>
      <c r="F186" s="35">
        <v>3042058001</v>
      </c>
      <c r="G186" t="s">
        <v>766</v>
      </c>
      <c r="H186" s="4"/>
      <c r="I186" s="4">
        <v>12</v>
      </c>
      <c r="J186" s="4" t="s">
        <v>37</v>
      </c>
      <c r="K186">
        <v>12</v>
      </c>
      <c r="L186" s="5" t="s">
        <v>37</v>
      </c>
      <c r="M186">
        <f t="shared" si="1"/>
        <v>12</v>
      </c>
    </row>
    <row r="187" spans="1:13" x14ac:dyDescent="0.25">
      <c r="A187" s="125">
        <v>3170</v>
      </c>
      <c r="B187" s="46" t="s">
        <v>689</v>
      </c>
      <c r="C187" s="46" t="s">
        <v>750</v>
      </c>
      <c r="E187" s="46" t="s">
        <v>140</v>
      </c>
      <c r="F187" s="35">
        <v>1014002</v>
      </c>
      <c r="G187" t="s">
        <v>564</v>
      </c>
      <c r="H187" s="4"/>
      <c r="I187" s="4">
        <v>12</v>
      </c>
      <c r="J187" s="4" t="s">
        <v>37</v>
      </c>
      <c r="K187">
        <v>12</v>
      </c>
      <c r="L187" s="5" t="s">
        <v>37</v>
      </c>
      <c r="M187">
        <f t="shared" si="1"/>
        <v>12</v>
      </c>
    </row>
    <row r="188" spans="1:13" x14ac:dyDescent="0.25">
      <c r="A188" s="125">
        <v>3183</v>
      </c>
      <c r="B188" s="46" t="s">
        <v>772</v>
      </c>
      <c r="C188" s="46" t="s">
        <v>328</v>
      </c>
      <c r="D188" s="46" t="s">
        <v>187</v>
      </c>
      <c r="E188" s="46" t="s">
        <v>140</v>
      </c>
      <c r="F188" s="35">
        <v>1550001000</v>
      </c>
      <c r="G188" t="s">
        <v>633</v>
      </c>
      <c r="H188" s="4"/>
      <c r="I188" s="4">
        <v>12</v>
      </c>
      <c r="J188" s="4" t="s">
        <v>37</v>
      </c>
      <c r="K188">
        <v>12</v>
      </c>
      <c r="L188" s="5" t="s">
        <v>37</v>
      </c>
      <c r="M188">
        <f t="shared" si="1"/>
        <v>12</v>
      </c>
    </row>
    <row r="189" spans="1:13" x14ac:dyDescent="0.25">
      <c r="A189" s="125">
        <v>3184</v>
      </c>
      <c r="B189" s="46" t="s">
        <v>772</v>
      </c>
      <c r="C189" s="46" t="s">
        <v>328</v>
      </c>
      <c r="D189" s="46" t="s">
        <v>187</v>
      </c>
      <c r="E189" s="46" t="s">
        <v>140</v>
      </c>
      <c r="F189" s="35">
        <v>66035000</v>
      </c>
      <c r="G189" t="s">
        <v>597</v>
      </c>
      <c r="H189" s="4"/>
      <c r="I189" s="4">
        <v>12</v>
      </c>
      <c r="J189" s="4" t="s">
        <v>37</v>
      </c>
      <c r="K189">
        <v>12</v>
      </c>
      <c r="L189" s="5" t="s">
        <v>37</v>
      </c>
      <c r="M189">
        <f t="shared" si="1"/>
        <v>12</v>
      </c>
    </row>
    <row r="190" spans="1:13" x14ac:dyDescent="0.25">
      <c r="A190" s="125">
        <v>3185</v>
      </c>
      <c r="B190" s="46" t="s">
        <v>772</v>
      </c>
      <c r="C190" s="46" t="s">
        <v>328</v>
      </c>
      <c r="D190" s="46" t="s">
        <v>187</v>
      </c>
      <c r="E190" s="46" t="s">
        <v>140</v>
      </c>
      <c r="F190" s="35">
        <v>1014001</v>
      </c>
      <c r="G190" t="s">
        <v>543</v>
      </c>
      <c r="H190" s="4"/>
      <c r="I190" s="4">
        <v>12</v>
      </c>
      <c r="J190" s="4" t="s">
        <v>37</v>
      </c>
      <c r="K190">
        <v>12</v>
      </c>
      <c r="L190" s="5" t="s">
        <v>37</v>
      </c>
      <c r="M190">
        <f t="shared" si="1"/>
        <v>12</v>
      </c>
    </row>
    <row r="191" spans="1:13" x14ac:dyDescent="0.25">
      <c r="A191" s="125">
        <v>3201</v>
      </c>
      <c r="B191" s="46" t="s">
        <v>689</v>
      </c>
      <c r="C191" s="46" t="s">
        <v>46</v>
      </c>
      <c r="D191" s="46" t="s">
        <v>773</v>
      </c>
      <c r="E191" s="46" t="s">
        <v>140</v>
      </c>
      <c r="F191" s="35">
        <v>3135004000</v>
      </c>
      <c r="G191" t="s">
        <v>673</v>
      </c>
      <c r="H191" s="4"/>
      <c r="I191" s="4">
        <v>12</v>
      </c>
      <c r="J191" s="4" t="s">
        <v>37</v>
      </c>
      <c r="K191">
        <v>12</v>
      </c>
      <c r="L191" s="5" t="s">
        <v>37</v>
      </c>
      <c r="M191">
        <f t="shared" si="1"/>
        <v>12</v>
      </c>
    </row>
    <row r="192" spans="1:13" x14ac:dyDescent="0.25">
      <c r="A192" s="125">
        <v>3223</v>
      </c>
      <c r="B192" s="46" t="s">
        <v>689</v>
      </c>
      <c r="C192" s="46" t="s">
        <v>763</v>
      </c>
      <c r="D192" s="46" t="s">
        <v>764</v>
      </c>
      <c r="E192" s="46" t="s">
        <v>140</v>
      </c>
      <c r="F192" s="35">
        <v>1014002</v>
      </c>
      <c r="G192" t="s">
        <v>564</v>
      </c>
      <c r="H192" s="4"/>
      <c r="I192" s="4">
        <v>12</v>
      </c>
      <c r="J192" s="4" t="s">
        <v>37</v>
      </c>
      <c r="K192">
        <v>12</v>
      </c>
      <c r="L192" s="5" t="s">
        <v>37</v>
      </c>
      <c r="M192">
        <f t="shared" ref="M192:M223" si="2">K192</f>
        <v>12</v>
      </c>
    </row>
    <row r="193" spans="1:13" x14ac:dyDescent="0.25">
      <c r="A193" s="125">
        <v>3230</v>
      </c>
      <c r="B193" s="46" t="s">
        <v>688</v>
      </c>
      <c r="C193" s="46" t="s">
        <v>774</v>
      </c>
      <c r="D193" s="46" t="s">
        <v>775</v>
      </c>
      <c r="E193" s="46" t="s">
        <v>140</v>
      </c>
      <c r="F193" s="35">
        <v>165001000</v>
      </c>
      <c r="G193" t="s">
        <v>569</v>
      </c>
      <c r="H193" s="4"/>
      <c r="I193" s="4">
        <v>12</v>
      </c>
      <c r="J193" s="4" t="s">
        <v>37</v>
      </c>
      <c r="K193">
        <v>12</v>
      </c>
      <c r="L193" s="5" t="s">
        <v>37</v>
      </c>
      <c r="M193">
        <f t="shared" si="2"/>
        <v>12</v>
      </c>
    </row>
    <row r="194" spans="1:13" x14ac:dyDescent="0.25">
      <c r="A194" s="125">
        <v>3232</v>
      </c>
      <c r="B194" s="46" t="s">
        <v>688</v>
      </c>
      <c r="C194" s="46" t="s">
        <v>774</v>
      </c>
      <c r="D194" s="46" t="s">
        <v>775</v>
      </c>
      <c r="E194" s="46" t="s">
        <v>140</v>
      </c>
      <c r="F194" s="35">
        <v>165001000</v>
      </c>
      <c r="G194" t="s">
        <v>569</v>
      </c>
      <c r="H194" s="4"/>
      <c r="I194" s="4">
        <v>12</v>
      </c>
      <c r="J194" s="4" t="s">
        <v>37</v>
      </c>
      <c r="K194">
        <v>12</v>
      </c>
      <c r="L194" s="5" t="s">
        <v>37</v>
      </c>
      <c r="M194">
        <f t="shared" si="2"/>
        <v>12</v>
      </c>
    </row>
    <row r="195" spans="1:13" x14ac:dyDescent="0.25">
      <c r="A195" s="125">
        <v>3238</v>
      </c>
      <c r="B195" s="46" t="s">
        <v>689</v>
      </c>
      <c r="C195" s="46" t="s">
        <v>776</v>
      </c>
      <c r="D195" s="46" t="s">
        <v>764</v>
      </c>
      <c r="E195" s="46" t="s">
        <v>140</v>
      </c>
      <c r="F195" s="35">
        <v>1014002</v>
      </c>
      <c r="G195" t="s">
        <v>564</v>
      </c>
      <c r="H195" s="4"/>
      <c r="I195" s="4">
        <v>12</v>
      </c>
      <c r="J195" s="4" t="s">
        <v>37</v>
      </c>
      <c r="K195">
        <v>12</v>
      </c>
      <c r="L195" s="5" t="s">
        <v>37</v>
      </c>
      <c r="M195">
        <f t="shared" si="2"/>
        <v>12</v>
      </c>
    </row>
    <row r="196" spans="1:13" x14ac:dyDescent="0.25">
      <c r="A196" s="125">
        <v>3240</v>
      </c>
      <c r="B196" s="46" t="s">
        <v>772</v>
      </c>
      <c r="C196" s="46" t="s">
        <v>776</v>
      </c>
      <c r="D196" s="46" t="s">
        <v>764</v>
      </c>
      <c r="E196" s="46" t="s">
        <v>140</v>
      </c>
      <c r="F196" s="35">
        <v>2958001000</v>
      </c>
      <c r="G196" t="s">
        <v>567</v>
      </c>
      <c r="H196" s="4"/>
      <c r="I196" s="4">
        <v>12</v>
      </c>
      <c r="J196" s="4" t="s">
        <v>37</v>
      </c>
      <c r="K196">
        <v>12</v>
      </c>
      <c r="L196" s="5" t="s">
        <v>37</v>
      </c>
      <c r="M196">
        <f t="shared" si="2"/>
        <v>12</v>
      </c>
    </row>
    <row r="197" spans="1:13" x14ac:dyDescent="0.25">
      <c r="A197" s="125">
        <v>3245</v>
      </c>
      <c r="B197" s="46" t="s">
        <v>689</v>
      </c>
      <c r="C197" s="46" t="s">
        <v>776</v>
      </c>
      <c r="D197" s="46" t="s">
        <v>746</v>
      </c>
      <c r="E197" s="46" t="s">
        <v>140</v>
      </c>
      <c r="F197" s="35">
        <v>1014002</v>
      </c>
      <c r="G197" t="s">
        <v>564</v>
      </c>
      <c r="H197" s="4"/>
      <c r="I197" s="4">
        <v>12</v>
      </c>
      <c r="J197" s="4" t="s">
        <v>37</v>
      </c>
      <c r="K197">
        <v>12</v>
      </c>
      <c r="L197" s="5" t="s">
        <v>37</v>
      </c>
      <c r="M197">
        <f t="shared" si="2"/>
        <v>12</v>
      </c>
    </row>
    <row r="198" spans="1:13" x14ac:dyDescent="0.25">
      <c r="A198" s="125">
        <v>3246</v>
      </c>
      <c r="B198" s="46" t="s">
        <v>689</v>
      </c>
      <c r="C198" s="46" t="s">
        <v>149</v>
      </c>
      <c r="D198" s="46" t="s">
        <v>746</v>
      </c>
      <c r="E198" s="46" t="s">
        <v>140</v>
      </c>
      <c r="F198" s="35">
        <v>3135001000</v>
      </c>
      <c r="G198" t="s">
        <v>551</v>
      </c>
      <c r="H198" s="4"/>
      <c r="I198" s="4">
        <v>12</v>
      </c>
      <c r="J198" s="4" t="s">
        <v>37</v>
      </c>
      <c r="K198">
        <v>12</v>
      </c>
      <c r="L198" s="5" t="s">
        <v>37</v>
      </c>
      <c r="M198">
        <f t="shared" si="2"/>
        <v>12</v>
      </c>
    </row>
    <row r="199" spans="1:13" x14ac:dyDescent="0.25">
      <c r="A199" s="125">
        <v>3255</v>
      </c>
      <c r="B199" s="46" t="s">
        <v>689</v>
      </c>
      <c r="C199" s="46" t="s">
        <v>776</v>
      </c>
      <c r="D199" s="46" t="s">
        <v>764</v>
      </c>
      <c r="E199" s="46" t="s">
        <v>140</v>
      </c>
      <c r="F199" s="35">
        <v>3135005000</v>
      </c>
      <c r="G199" t="s">
        <v>713</v>
      </c>
      <c r="H199" s="4"/>
      <c r="I199" s="4">
        <v>12</v>
      </c>
      <c r="J199" s="4" t="s">
        <v>37</v>
      </c>
      <c r="K199">
        <v>12</v>
      </c>
      <c r="L199" s="5" t="s">
        <v>37</v>
      </c>
      <c r="M199">
        <f t="shared" si="2"/>
        <v>12</v>
      </c>
    </row>
    <row r="200" spans="1:13" x14ac:dyDescent="0.25">
      <c r="A200" s="125">
        <v>3265</v>
      </c>
      <c r="B200" s="46" t="s">
        <v>772</v>
      </c>
      <c r="C200" s="46" t="s">
        <v>757</v>
      </c>
      <c r="D200" s="46" t="s">
        <v>746</v>
      </c>
      <c r="E200" s="46" t="s">
        <v>140</v>
      </c>
      <c r="F200" s="35">
        <v>3260001000</v>
      </c>
      <c r="G200" t="s">
        <v>732</v>
      </c>
      <c r="H200" s="4"/>
      <c r="I200" s="4">
        <v>12</v>
      </c>
      <c r="J200" s="4" t="s">
        <v>37</v>
      </c>
      <c r="K200">
        <v>12</v>
      </c>
      <c r="L200" s="5" t="s">
        <v>37</v>
      </c>
      <c r="M200">
        <f t="shared" si="2"/>
        <v>12</v>
      </c>
    </row>
    <row r="201" spans="1:13" x14ac:dyDescent="0.25">
      <c r="A201" s="125">
        <v>3267</v>
      </c>
      <c r="B201" s="46" t="s">
        <v>689</v>
      </c>
      <c r="C201" s="46" t="s">
        <v>757</v>
      </c>
      <c r="D201" s="46" t="s">
        <v>746</v>
      </c>
      <c r="E201" s="46" t="s">
        <v>140</v>
      </c>
      <c r="F201" s="35">
        <v>3260001000</v>
      </c>
      <c r="G201" t="s">
        <v>732</v>
      </c>
      <c r="H201" s="4"/>
      <c r="I201" s="4">
        <v>12</v>
      </c>
      <c r="J201" s="4" t="s">
        <v>37</v>
      </c>
      <c r="K201">
        <v>12</v>
      </c>
      <c r="L201" s="5" t="s">
        <v>37</v>
      </c>
      <c r="M201">
        <f t="shared" si="2"/>
        <v>12</v>
      </c>
    </row>
    <row r="202" spans="1:13" x14ac:dyDescent="0.25">
      <c r="A202" s="125">
        <v>3292</v>
      </c>
      <c r="B202" s="46" t="s">
        <v>772</v>
      </c>
      <c r="C202" s="46" t="s">
        <v>774</v>
      </c>
      <c r="D202" s="46" t="s">
        <v>783</v>
      </c>
      <c r="E202" s="46" t="s">
        <v>140</v>
      </c>
      <c r="F202" s="35">
        <v>66031000</v>
      </c>
      <c r="G202" t="s">
        <v>560</v>
      </c>
      <c r="H202" s="4"/>
      <c r="I202" s="4">
        <v>12</v>
      </c>
      <c r="J202" s="4" t="s">
        <v>37</v>
      </c>
      <c r="K202">
        <v>12</v>
      </c>
      <c r="L202" s="5" t="s">
        <v>37</v>
      </c>
      <c r="M202">
        <f t="shared" si="2"/>
        <v>12</v>
      </c>
    </row>
    <row r="203" spans="1:13" x14ac:dyDescent="0.25">
      <c r="A203" s="125">
        <v>3293</v>
      </c>
      <c r="B203" s="46" t="s">
        <v>772</v>
      </c>
      <c r="C203" s="46" t="s">
        <v>774</v>
      </c>
      <c r="D203" s="46" t="s">
        <v>783</v>
      </c>
      <c r="E203" s="46" t="s">
        <v>140</v>
      </c>
      <c r="F203" s="35">
        <v>1014002</v>
      </c>
      <c r="G203" t="s">
        <v>564</v>
      </c>
      <c r="H203" s="4"/>
      <c r="I203" s="4">
        <v>12</v>
      </c>
      <c r="J203" s="4" t="s">
        <v>37</v>
      </c>
      <c r="K203">
        <v>12</v>
      </c>
      <c r="L203" s="5" t="s">
        <v>37</v>
      </c>
      <c r="M203">
        <f t="shared" si="2"/>
        <v>12</v>
      </c>
    </row>
    <row r="204" spans="1:13" x14ac:dyDescent="0.25">
      <c r="A204" s="125">
        <v>3295</v>
      </c>
      <c r="B204" s="46" t="s">
        <v>772</v>
      </c>
      <c r="C204" s="46" t="s">
        <v>774</v>
      </c>
      <c r="D204" s="46" t="s">
        <v>783</v>
      </c>
      <c r="E204" s="46" t="s">
        <v>140</v>
      </c>
      <c r="F204" s="35">
        <v>2514001000</v>
      </c>
      <c r="G204" t="s">
        <v>623</v>
      </c>
      <c r="H204" s="4"/>
      <c r="I204" s="4">
        <v>12</v>
      </c>
      <c r="J204" s="4" t="s">
        <v>37</v>
      </c>
      <c r="K204">
        <v>12</v>
      </c>
      <c r="L204" s="5" t="s">
        <v>37</v>
      </c>
      <c r="M204">
        <f t="shared" si="2"/>
        <v>12</v>
      </c>
    </row>
    <row r="205" spans="1:13" x14ac:dyDescent="0.25">
      <c r="A205" s="125">
        <v>3303</v>
      </c>
      <c r="B205" s="46" t="s">
        <v>689</v>
      </c>
      <c r="C205" s="46" t="s">
        <v>750</v>
      </c>
      <c r="D205" s="46" t="s">
        <v>746</v>
      </c>
      <c r="E205" s="46" t="s">
        <v>140</v>
      </c>
      <c r="F205" s="35">
        <v>66035000</v>
      </c>
      <c r="G205" t="s">
        <v>597</v>
      </c>
      <c r="H205" s="4"/>
      <c r="I205" s="4">
        <v>12</v>
      </c>
      <c r="J205" s="4" t="s">
        <v>37</v>
      </c>
      <c r="K205">
        <v>12</v>
      </c>
      <c r="L205" s="5" t="s">
        <v>37</v>
      </c>
      <c r="M205">
        <f t="shared" si="2"/>
        <v>12</v>
      </c>
    </row>
    <row r="206" spans="1:13" x14ac:dyDescent="0.25">
      <c r="A206" s="125">
        <v>3325</v>
      </c>
      <c r="B206" s="46" t="s">
        <v>711</v>
      </c>
      <c r="C206" s="46" t="s">
        <v>776</v>
      </c>
      <c r="D206" s="46" t="s">
        <v>787</v>
      </c>
      <c r="E206" s="46" t="s">
        <v>140</v>
      </c>
      <c r="F206" s="35">
        <v>3279001000</v>
      </c>
      <c r="G206" t="s">
        <v>701</v>
      </c>
      <c r="H206" s="4"/>
      <c r="I206" s="4">
        <v>12</v>
      </c>
      <c r="J206" s="4" t="s">
        <v>37</v>
      </c>
      <c r="K206">
        <v>12</v>
      </c>
      <c r="L206" s="5" t="s">
        <v>37</v>
      </c>
      <c r="M206">
        <f t="shared" si="2"/>
        <v>12</v>
      </c>
    </row>
    <row r="207" spans="1:13" x14ac:dyDescent="0.25">
      <c r="A207" s="125">
        <v>3327</v>
      </c>
      <c r="B207" s="46" t="s">
        <v>689</v>
      </c>
      <c r="C207" s="46" t="s">
        <v>788</v>
      </c>
      <c r="D207" s="46" t="s">
        <v>746</v>
      </c>
      <c r="E207" s="46" t="s">
        <v>140</v>
      </c>
      <c r="F207" s="35">
        <v>3182006000</v>
      </c>
      <c r="G207" t="s">
        <v>789</v>
      </c>
      <c r="H207" s="4"/>
      <c r="I207" s="4">
        <v>12</v>
      </c>
      <c r="J207" s="4" t="s">
        <v>37</v>
      </c>
      <c r="K207">
        <v>12</v>
      </c>
      <c r="L207" s="5" t="s">
        <v>37</v>
      </c>
      <c r="M207">
        <f t="shared" si="2"/>
        <v>12</v>
      </c>
    </row>
    <row r="208" spans="1:13" x14ac:dyDescent="0.25">
      <c r="A208" s="125">
        <v>3329</v>
      </c>
      <c r="B208" s="46" t="s">
        <v>772</v>
      </c>
      <c r="C208" s="46" t="s">
        <v>774</v>
      </c>
      <c r="D208" s="46" t="s">
        <v>783</v>
      </c>
      <c r="E208" s="46" t="s">
        <v>140</v>
      </c>
      <c r="F208" s="35">
        <v>1014001</v>
      </c>
      <c r="G208" t="s">
        <v>543</v>
      </c>
      <c r="H208" s="4"/>
      <c r="I208" s="4">
        <v>12</v>
      </c>
      <c r="J208" s="4" t="s">
        <v>37</v>
      </c>
      <c r="K208">
        <v>12</v>
      </c>
      <c r="L208" s="5" t="s">
        <v>37</v>
      </c>
      <c r="M208">
        <f t="shared" si="2"/>
        <v>12</v>
      </c>
    </row>
    <row r="209" spans="1:13" x14ac:dyDescent="0.25">
      <c r="A209" s="125">
        <v>3345</v>
      </c>
      <c r="B209" s="46" t="s">
        <v>689</v>
      </c>
      <c r="C209" s="46" t="s">
        <v>790</v>
      </c>
      <c r="D209" s="46" t="s">
        <v>791</v>
      </c>
      <c r="E209" s="46" t="s">
        <v>140</v>
      </c>
      <c r="F209" s="35">
        <v>2936002000</v>
      </c>
      <c r="G209" t="s">
        <v>668</v>
      </c>
      <c r="H209" s="4"/>
      <c r="I209" s="4">
        <v>12</v>
      </c>
      <c r="J209" s="4" t="s">
        <v>37</v>
      </c>
      <c r="K209">
        <v>12</v>
      </c>
      <c r="L209" s="5" t="s">
        <v>37</v>
      </c>
      <c r="M209">
        <f t="shared" si="2"/>
        <v>12</v>
      </c>
    </row>
    <row r="210" spans="1:13" x14ac:dyDescent="0.25">
      <c r="A210" s="125">
        <v>3352</v>
      </c>
      <c r="B210" s="46" t="s">
        <v>689</v>
      </c>
      <c r="C210" s="46" t="s">
        <v>774</v>
      </c>
      <c r="D210" s="46" t="s">
        <v>746</v>
      </c>
      <c r="E210" s="46" t="s">
        <v>140</v>
      </c>
      <c r="F210" s="35">
        <v>3265001000</v>
      </c>
      <c r="G210" t="s">
        <v>599</v>
      </c>
      <c r="H210" s="4"/>
      <c r="I210" s="4">
        <v>12</v>
      </c>
      <c r="J210" s="4" t="s">
        <v>37</v>
      </c>
      <c r="K210">
        <v>12</v>
      </c>
      <c r="L210" s="5" t="s">
        <v>37</v>
      </c>
      <c r="M210">
        <f t="shared" si="2"/>
        <v>12</v>
      </c>
    </row>
    <row r="211" spans="1:13" x14ac:dyDescent="0.25">
      <c r="A211" s="125">
        <v>3357</v>
      </c>
      <c r="B211" s="46" t="s">
        <v>689</v>
      </c>
      <c r="C211" s="46" t="s">
        <v>750</v>
      </c>
      <c r="D211" s="46" t="s">
        <v>793</v>
      </c>
      <c r="E211" s="46" t="s">
        <v>140</v>
      </c>
      <c r="F211" s="35">
        <v>165001000</v>
      </c>
      <c r="G211" t="s">
        <v>569</v>
      </c>
      <c r="H211" s="4"/>
      <c r="I211" s="4">
        <v>12</v>
      </c>
      <c r="J211" s="4" t="s">
        <v>37</v>
      </c>
      <c r="K211">
        <v>12</v>
      </c>
      <c r="L211" s="5" t="s">
        <v>37</v>
      </c>
      <c r="M211">
        <f t="shared" si="2"/>
        <v>12</v>
      </c>
    </row>
    <row r="212" spans="1:13" x14ac:dyDescent="0.25">
      <c r="A212" s="125">
        <v>3359</v>
      </c>
      <c r="B212" s="46" t="s">
        <v>689</v>
      </c>
      <c r="C212" s="46" t="s">
        <v>750</v>
      </c>
      <c r="D212" s="46" t="s">
        <v>793</v>
      </c>
      <c r="E212" s="46" t="s">
        <v>140</v>
      </c>
      <c r="F212" s="35">
        <v>165001000</v>
      </c>
      <c r="G212" t="s">
        <v>569</v>
      </c>
      <c r="H212" s="4"/>
      <c r="I212" s="4">
        <v>12</v>
      </c>
      <c r="J212" s="4" t="s">
        <v>37</v>
      </c>
      <c r="K212">
        <v>12</v>
      </c>
      <c r="L212" s="5" t="s">
        <v>37</v>
      </c>
      <c r="M212">
        <f t="shared" si="2"/>
        <v>12</v>
      </c>
    </row>
    <row r="213" spans="1:13" x14ac:dyDescent="0.25">
      <c r="A213" s="125">
        <v>3362</v>
      </c>
      <c r="B213" s="46" t="s">
        <v>689</v>
      </c>
      <c r="C213" s="46" t="s">
        <v>750</v>
      </c>
      <c r="D213" s="46" t="s">
        <v>793</v>
      </c>
      <c r="E213" s="46" t="s">
        <v>140</v>
      </c>
      <c r="F213" s="35">
        <v>1720001000</v>
      </c>
      <c r="G213" t="s">
        <v>694</v>
      </c>
      <c r="H213" s="4"/>
      <c r="I213" s="4">
        <v>12</v>
      </c>
      <c r="J213" s="4" t="s">
        <v>37</v>
      </c>
      <c r="K213">
        <v>12</v>
      </c>
      <c r="L213" s="5" t="s">
        <v>37</v>
      </c>
      <c r="M213">
        <f t="shared" si="2"/>
        <v>12</v>
      </c>
    </row>
    <row r="214" spans="1:13" x14ac:dyDescent="0.25">
      <c r="A214" s="125">
        <v>3368</v>
      </c>
      <c r="B214" s="46" t="s">
        <v>689</v>
      </c>
      <c r="C214" s="46" t="s">
        <v>722</v>
      </c>
      <c r="D214" s="46" t="s">
        <v>794</v>
      </c>
      <c r="E214" s="46" t="s">
        <v>140</v>
      </c>
      <c r="F214" s="35">
        <v>2886002000</v>
      </c>
      <c r="G214" s="138" t="s">
        <v>617</v>
      </c>
      <c r="H214" s="4"/>
      <c r="I214" s="4">
        <v>12</v>
      </c>
      <c r="J214" s="4" t="s">
        <v>37</v>
      </c>
      <c r="K214">
        <v>12</v>
      </c>
      <c r="L214" s="5" t="s">
        <v>37</v>
      </c>
      <c r="M214">
        <f t="shared" si="2"/>
        <v>12</v>
      </c>
    </row>
    <row r="215" spans="1:13" x14ac:dyDescent="0.25">
      <c r="A215" s="125">
        <v>3370</v>
      </c>
      <c r="B215" s="46" t="s">
        <v>772</v>
      </c>
      <c r="C215" s="46" t="s">
        <v>722</v>
      </c>
      <c r="D215" s="46" t="s">
        <v>746</v>
      </c>
      <c r="E215" s="46" t="s">
        <v>140</v>
      </c>
      <c r="F215" s="35">
        <v>1014002</v>
      </c>
      <c r="G215" s="138" t="s">
        <v>564</v>
      </c>
      <c r="H215" s="4"/>
      <c r="I215" s="4">
        <v>12</v>
      </c>
      <c r="J215" s="4" t="s">
        <v>37</v>
      </c>
      <c r="K215">
        <v>12</v>
      </c>
      <c r="L215" s="5" t="s">
        <v>37</v>
      </c>
      <c r="M215">
        <f t="shared" si="2"/>
        <v>12</v>
      </c>
    </row>
    <row r="216" spans="1:13" x14ac:dyDescent="0.25">
      <c r="A216" s="125">
        <v>3378</v>
      </c>
      <c r="B216" s="46" t="s">
        <v>689</v>
      </c>
      <c r="C216" s="46" t="s">
        <v>750</v>
      </c>
      <c r="D216" s="46" t="s">
        <v>746</v>
      </c>
      <c r="E216" s="46" t="s">
        <v>140</v>
      </c>
      <c r="F216" s="35">
        <v>529001000</v>
      </c>
      <c r="G216" t="s">
        <v>590</v>
      </c>
      <c r="H216" s="4"/>
      <c r="I216" s="4">
        <v>12</v>
      </c>
      <c r="J216" s="4" t="s">
        <v>37</v>
      </c>
      <c r="K216">
        <v>12</v>
      </c>
      <c r="L216" s="5" t="s">
        <v>37</v>
      </c>
      <c r="M216">
        <f t="shared" si="2"/>
        <v>12</v>
      </c>
    </row>
    <row r="217" spans="1:13" x14ac:dyDescent="0.25">
      <c r="A217" s="125">
        <v>3382</v>
      </c>
      <c r="B217" s="46" t="s">
        <v>689</v>
      </c>
      <c r="C217" s="46" t="s">
        <v>750</v>
      </c>
      <c r="D217" s="46" t="s">
        <v>746</v>
      </c>
      <c r="E217" s="46" t="s">
        <v>140</v>
      </c>
      <c r="F217" s="35">
        <v>165001000</v>
      </c>
      <c r="G217" t="s">
        <v>569</v>
      </c>
      <c r="H217" s="4"/>
      <c r="I217" s="4">
        <v>12</v>
      </c>
      <c r="J217" s="4" t="s">
        <v>37</v>
      </c>
      <c r="K217">
        <v>12</v>
      </c>
      <c r="L217" s="5" t="s">
        <v>37</v>
      </c>
      <c r="M217">
        <f t="shared" si="2"/>
        <v>12</v>
      </c>
    </row>
    <row r="218" spans="1:13" x14ac:dyDescent="0.25">
      <c r="A218" s="125">
        <v>3390</v>
      </c>
      <c r="B218" s="46" t="s">
        <v>689</v>
      </c>
      <c r="C218" s="46" t="s">
        <v>750</v>
      </c>
      <c r="D218" s="46" t="s">
        <v>793</v>
      </c>
      <c r="E218" s="46" t="s">
        <v>140</v>
      </c>
      <c r="F218" s="35">
        <v>1978003000</v>
      </c>
      <c r="G218" t="s">
        <v>650</v>
      </c>
      <c r="H218" s="4"/>
      <c r="I218" s="4">
        <v>12</v>
      </c>
      <c r="J218" s="4" t="s">
        <v>37</v>
      </c>
      <c r="K218">
        <v>12</v>
      </c>
      <c r="L218" s="5" t="s">
        <v>37</v>
      </c>
      <c r="M218">
        <f t="shared" si="2"/>
        <v>12</v>
      </c>
    </row>
    <row r="219" spans="1:13" x14ac:dyDescent="0.25">
      <c r="A219" s="125">
        <v>3401</v>
      </c>
      <c r="B219" s="46" t="s">
        <v>772</v>
      </c>
      <c r="C219" s="46" t="s">
        <v>796</v>
      </c>
      <c r="D219" s="46" t="s">
        <v>797</v>
      </c>
      <c r="E219" s="46" t="s">
        <v>140</v>
      </c>
      <c r="F219" s="35">
        <v>1014002</v>
      </c>
      <c r="G219" t="s">
        <v>564</v>
      </c>
      <c r="H219" s="4"/>
      <c r="I219" s="4">
        <v>12</v>
      </c>
      <c r="J219" s="4" t="s">
        <v>37</v>
      </c>
      <c r="K219">
        <v>12</v>
      </c>
      <c r="L219" s="5" t="s">
        <v>37</v>
      </c>
      <c r="M219">
        <f t="shared" si="2"/>
        <v>12</v>
      </c>
    </row>
    <row r="220" spans="1:13" x14ac:dyDescent="0.25">
      <c r="A220" s="125">
        <v>3409</v>
      </c>
      <c r="B220" s="46" t="s">
        <v>689</v>
      </c>
      <c r="C220" s="46" t="s">
        <v>750</v>
      </c>
      <c r="D220" s="46" t="s">
        <v>746</v>
      </c>
      <c r="E220" s="46" t="s">
        <v>140</v>
      </c>
      <c r="F220" s="35">
        <v>3265001000</v>
      </c>
      <c r="G220" t="s">
        <v>599</v>
      </c>
      <c r="H220" s="4"/>
      <c r="I220" s="4">
        <v>12</v>
      </c>
      <c r="J220" s="4" t="s">
        <v>37</v>
      </c>
      <c r="K220">
        <v>12</v>
      </c>
      <c r="L220" s="5" t="s">
        <v>37</v>
      </c>
      <c r="M220">
        <f t="shared" si="2"/>
        <v>12</v>
      </c>
    </row>
    <row r="221" spans="1:13" x14ac:dyDescent="0.25">
      <c r="A221" s="125">
        <v>3410</v>
      </c>
      <c r="B221" s="46" t="s">
        <v>689</v>
      </c>
      <c r="C221" s="46" t="s">
        <v>750</v>
      </c>
      <c r="D221" s="46" t="s">
        <v>746</v>
      </c>
      <c r="E221" s="46" t="s">
        <v>140</v>
      </c>
      <c r="F221" s="35">
        <v>3042058002</v>
      </c>
      <c r="G221" t="s">
        <v>586</v>
      </c>
      <c r="H221" s="4"/>
      <c r="I221" s="4">
        <v>12</v>
      </c>
      <c r="J221" s="4" t="s">
        <v>37</v>
      </c>
      <c r="K221">
        <v>12</v>
      </c>
      <c r="L221" s="5" t="s">
        <v>37</v>
      </c>
      <c r="M221">
        <f t="shared" si="2"/>
        <v>12</v>
      </c>
    </row>
    <row r="222" spans="1:13" x14ac:dyDescent="0.25">
      <c r="A222" s="125">
        <v>3412</v>
      </c>
      <c r="B222" s="46" t="s">
        <v>689</v>
      </c>
      <c r="C222" s="46" t="s">
        <v>750</v>
      </c>
      <c r="D222" s="46" t="s">
        <v>793</v>
      </c>
      <c r="E222" s="46" t="s">
        <v>140</v>
      </c>
      <c r="F222" s="35">
        <v>66032000</v>
      </c>
      <c r="G222" t="s">
        <v>563</v>
      </c>
      <c r="H222" s="4"/>
      <c r="I222" s="4">
        <v>12</v>
      </c>
      <c r="J222" s="4" t="s">
        <v>37</v>
      </c>
      <c r="K222">
        <v>12</v>
      </c>
      <c r="L222" s="5" t="s">
        <v>37</v>
      </c>
      <c r="M222">
        <f t="shared" si="2"/>
        <v>12</v>
      </c>
    </row>
    <row r="223" spans="1:13" x14ac:dyDescent="0.25">
      <c r="A223" s="125">
        <v>3413</v>
      </c>
      <c r="B223" s="46" t="s">
        <v>689</v>
      </c>
      <c r="C223" s="46" t="s">
        <v>750</v>
      </c>
      <c r="D223" s="46" t="s">
        <v>793</v>
      </c>
      <c r="E223" s="46" t="s">
        <v>140</v>
      </c>
      <c r="F223" s="35">
        <v>66031000</v>
      </c>
      <c r="G223" t="s">
        <v>560</v>
      </c>
      <c r="H223" s="4"/>
      <c r="I223" s="4">
        <v>12</v>
      </c>
      <c r="J223" s="4" t="s">
        <v>37</v>
      </c>
      <c r="K223">
        <v>12</v>
      </c>
      <c r="L223" s="5" t="s">
        <v>37</v>
      </c>
      <c r="M223">
        <f t="shared" si="2"/>
        <v>12</v>
      </c>
    </row>
    <row r="224" spans="1:13" x14ac:dyDescent="0.25">
      <c r="A224" s="125">
        <v>3421</v>
      </c>
      <c r="B224" s="46" t="s">
        <v>689</v>
      </c>
      <c r="C224" s="46" t="s">
        <v>750</v>
      </c>
      <c r="D224" s="46" t="s">
        <v>793</v>
      </c>
      <c r="E224" s="46" t="s">
        <v>140</v>
      </c>
      <c r="F224" s="35">
        <v>2499001000</v>
      </c>
      <c r="G224" t="s">
        <v>665</v>
      </c>
      <c r="H224" s="4"/>
      <c r="I224" s="4">
        <v>12</v>
      </c>
      <c r="J224" s="4" t="s">
        <v>37</v>
      </c>
      <c r="K224">
        <v>12</v>
      </c>
      <c r="L224" s="5" t="s">
        <v>37</v>
      </c>
      <c r="M224">
        <f t="shared" ref="M224:M248" si="3">K224</f>
        <v>12</v>
      </c>
    </row>
    <row r="225" spans="1:13" x14ac:dyDescent="0.25">
      <c r="A225" s="125">
        <v>3422</v>
      </c>
      <c r="B225" s="46" t="s">
        <v>689</v>
      </c>
      <c r="C225" s="46" t="s">
        <v>750</v>
      </c>
      <c r="D225" s="46" t="s">
        <v>793</v>
      </c>
      <c r="E225" s="46" t="s">
        <v>140</v>
      </c>
      <c r="F225" s="35">
        <v>3042058001</v>
      </c>
      <c r="G225" t="s">
        <v>766</v>
      </c>
      <c r="H225" s="4"/>
      <c r="I225" s="4">
        <v>12</v>
      </c>
      <c r="J225" s="4" t="s">
        <v>37</v>
      </c>
      <c r="K225">
        <v>12</v>
      </c>
      <c r="L225" s="5" t="s">
        <v>37</v>
      </c>
      <c r="M225">
        <f t="shared" si="3"/>
        <v>12</v>
      </c>
    </row>
    <row r="226" spans="1:13" x14ac:dyDescent="0.25">
      <c r="A226" s="125">
        <v>3423</v>
      </c>
      <c r="B226" s="46" t="s">
        <v>689</v>
      </c>
      <c r="C226" s="46" t="s">
        <v>750</v>
      </c>
      <c r="D226" s="46" t="s">
        <v>793</v>
      </c>
      <c r="E226" s="46" t="s">
        <v>140</v>
      </c>
      <c r="F226" s="35">
        <v>3135001000</v>
      </c>
      <c r="G226" t="s">
        <v>551</v>
      </c>
      <c r="H226" s="4"/>
      <c r="I226" s="4">
        <v>12</v>
      </c>
      <c r="J226" s="4" t="s">
        <v>37</v>
      </c>
      <c r="K226">
        <v>12</v>
      </c>
      <c r="L226" s="5" t="s">
        <v>37</v>
      </c>
      <c r="M226">
        <f t="shared" si="3"/>
        <v>12</v>
      </c>
    </row>
    <row r="227" spans="1:13" x14ac:dyDescent="0.25">
      <c r="A227" s="125">
        <v>3430</v>
      </c>
      <c r="B227" s="46" t="s">
        <v>772</v>
      </c>
      <c r="C227" s="46" t="s">
        <v>750</v>
      </c>
      <c r="D227" s="46" t="s">
        <v>746</v>
      </c>
      <c r="E227" s="46" t="s">
        <v>140</v>
      </c>
      <c r="F227" s="35">
        <v>3343001000</v>
      </c>
      <c r="G227" t="s">
        <v>582</v>
      </c>
      <c r="H227" s="4"/>
      <c r="I227" s="4">
        <v>12</v>
      </c>
      <c r="J227" s="4" t="s">
        <v>37</v>
      </c>
      <c r="K227">
        <v>12</v>
      </c>
      <c r="L227" s="5" t="s">
        <v>37</v>
      </c>
      <c r="M227">
        <f t="shared" si="3"/>
        <v>12</v>
      </c>
    </row>
    <row r="228" spans="1:13" x14ac:dyDescent="0.25">
      <c r="A228" s="125">
        <v>3441</v>
      </c>
      <c r="B228" s="46" t="s">
        <v>689</v>
      </c>
      <c r="C228" s="46" t="s">
        <v>790</v>
      </c>
      <c r="D228" s="46" t="s">
        <v>798</v>
      </c>
      <c r="E228" s="46" t="s">
        <v>140</v>
      </c>
      <c r="F228" s="35">
        <v>3076001000</v>
      </c>
      <c r="G228" t="s">
        <v>669</v>
      </c>
      <c r="H228" s="4"/>
      <c r="I228" s="4">
        <v>12</v>
      </c>
      <c r="J228" s="4" t="s">
        <v>37</v>
      </c>
      <c r="K228">
        <v>12</v>
      </c>
      <c r="L228" s="5" t="s">
        <v>37</v>
      </c>
      <c r="M228">
        <f t="shared" si="3"/>
        <v>12</v>
      </c>
    </row>
    <row r="229" spans="1:13" x14ac:dyDescent="0.25">
      <c r="A229" s="125">
        <v>3449</v>
      </c>
      <c r="B229" s="46" t="s">
        <v>689</v>
      </c>
      <c r="C229" s="46" t="s">
        <v>750</v>
      </c>
      <c r="D229" s="46" t="s">
        <v>793</v>
      </c>
      <c r="E229" s="46" t="s">
        <v>140</v>
      </c>
      <c r="F229" s="35">
        <v>3265001000</v>
      </c>
      <c r="G229" t="s">
        <v>599</v>
      </c>
      <c r="H229" s="4"/>
      <c r="I229" s="4">
        <v>12</v>
      </c>
      <c r="J229" s="4" t="s">
        <v>37</v>
      </c>
      <c r="K229">
        <v>12</v>
      </c>
      <c r="L229" s="5" t="s">
        <v>37</v>
      </c>
      <c r="M229">
        <f t="shared" si="3"/>
        <v>12</v>
      </c>
    </row>
    <row r="230" spans="1:13" x14ac:dyDescent="0.25">
      <c r="A230" s="125">
        <v>3450</v>
      </c>
      <c r="B230" s="46" t="s">
        <v>689</v>
      </c>
      <c r="C230" s="46" t="s">
        <v>750</v>
      </c>
      <c r="D230" s="46" t="s">
        <v>793</v>
      </c>
      <c r="E230" s="46" t="s">
        <v>140</v>
      </c>
      <c r="F230" s="35">
        <v>66032000</v>
      </c>
      <c r="G230" t="s">
        <v>563</v>
      </c>
      <c r="H230" s="4"/>
      <c r="I230" s="4">
        <v>12</v>
      </c>
      <c r="J230" s="4" t="s">
        <v>37</v>
      </c>
      <c r="K230">
        <v>12</v>
      </c>
      <c r="L230" s="5" t="s">
        <v>37</v>
      </c>
      <c r="M230">
        <f t="shared" si="3"/>
        <v>12</v>
      </c>
    </row>
    <row r="231" spans="1:13" x14ac:dyDescent="0.25">
      <c r="A231" s="125">
        <v>3451</v>
      </c>
      <c r="B231" s="46" t="s">
        <v>689</v>
      </c>
      <c r="C231" s="46" t="s">
        <v>750</v>
      </c>
      <c r="D231" s="46" t="s">
        <v>793</v>
      </c>
      <c r="E231" s="46" t="s">
        <v>140</v>
      </c>
      <c r="F231" s="35">
        <v>165001000</v>
      </c>
      <c r="G231" t="s">
        <v>569</v>
      </c>
      <c r="H231" s="4"/>
      <c r="I231" s="4">
        <v>12</v>
      </c>
      <c r="J231" s="4" t="s">
        <v>37</v>
      </c>
      <c r="K231">
        <v>12</v>
      </c>
      <c r="L231" s="5" t="s">
        <v>37</v>
      </c>
      <c r="M231">
        <f t="shared" si="3"/>
        <v>12</v>
      </c>
    </row>
    <row r="232" spans="1:13" x14ac:dyDescent="0.25">
      <c r="A232" s="125">
        <v>3452</v>
      </c>
      <c r="B232" s="46" t="s">
        <v>689</v>
      </c>
      <c r="C232" s="46" t="s">
        <v>750</v>
      </c>
      <c r="D232" s="46" t="s">
        <v>793</v>
      </c>
      <c r="E232" s="46" t="s">
        <v>140</v>
      </c>
      <c r="F232" s="35">
        <v>1321001000</v>
      </c>
      <c r="G232" t="s">
        <v>666</v>
      </c>
      <c r="H232" s="4"/>
      <c r="I232" s="4">
        <v>12</v>
      </c>
      <c r="J232" s="4" t="s">
        <v>37</v>
      </c>
      <c r="K232">
        <v>12</v>
      </c>
      <c r="L232" s="5" t="s">
        <v>37</v>
      </c>
      <c r="M232">
        <f t="shared" si="3"/>
        <v>12</v>
      </c>
    </row>
    <row r="233" spans="1:13" x14ac:dyDescent="0.25">
      <c r="A233" s="125">
        <v>3455</v>
      </c>
      <c r="B233" s="46" t="s">
        <v>689</v>
      </c>
      <c r="C233" s="46" t="s">
        <v>155</v>
      </c>
      <c r="D233" s="46" t="s">
        <v>799</v>
      </c>
      <c r="E233" s="46" t="s">
        <v>140</v>
      </c>
      <c r="F233" s="35">
        <v>165001000</v>
      </c>
      <c r="G233" t="s">
        <v>569</v>
      </c>
      <c r="H233" s="4"/>
      <c r="I233" s="4">
        <v>12</v>
      </c>
      <c r="J233" s="4" t="s">
        <v>37</v>
      </c>
      <c r="K233">
        <v>12</v>
      </c>
      <c r="L233" s="5" t="s">
        <v>37</v>
      </c>
      <c r="M233">
        <f t="shared" si="3"/>
        <v>12</v>
      </c>
    </row>
    <row r="234" spans="1:13" x14ac:dyDescent="0.25">
      <c r="A234" s="125">
        <v>3457</v>
      </c>
      <c r="B234" s="46" t="s">
        <v>689</v>
      </c>
      <c r="C234" s="46" t="s">
        <v>155</v>
      </c>
      <c r="D234" s="46" t="s">
        <v>799</v>
      </c>
      <c r="E234" s="46" t="s">
        <v>140</v>
      </c>
      <c r="F234" s="35">
        <v>165001000</v>
      </c>
      <c r="G234" t="s">
        <v>569</v>
      </c>
      <c r="H234" s="4"/>
      <c r="I234" s="4">
        <v>12</v>
      </c>
      <c r="J234" s="4" t="s">
        <v>37</v>
      </c>
      <c r="K234">
        <v>12</v>
      </c>
      <c r="L234" s="5" t="s">
        <v>37</v>
      </c>
      <c r="M234">
        <f t="shared" si="3"/>
        <v>12</v>
      </c>
    </row>
    <row r="235" spans="1:13" x14ac:dyDescent="0.25">
      <c r="A235" s="125">
        <v>3459</v>
      </c>
      <c r="B235" s="46" t="s">
        <v>689</v>
      </c>
      <c r="C235" s="46" t="s">
        <v>155</v>
      </c>
      <c r="D235" s="46" t="s">
        <v>799</v>
      </c>
      <c r="E235" s="46" t="s">
        <v>140</v>
      </c>
      <c r="F235" s="35">
        <v>2499001000</v>
      </c>
      <c r="G235" t="s">
        <v>665</v>
      </c>
      <c r="H235" s="4"/>
      <c r="I235" s="4">
        <v>12</v>
      </c>
      <c r="J235" s="4" t="s">
        <v>37</v>
      </c>
      <c r="K235">
        <v>12</v>
      </c>
      <c r="L235" s="5" t="s">
        <v>37</v>
      </c>
      <c r="M235">
        <f t="shared" si="3"/>
        <v>12</v>
      </c>
    </row>
    <row r="236" spans="1:13" x14ac:dyDescent="0.25">
      <c r="A236" s="125">
        <v>3461</v>
      </c>
      <c r="B236" s="46" t="s">
        <v>689</v>
      </c>
      <c r="C236" s="46" t="s">
        <v>155</v>
      </c>
      <c r="D236" s="46" t="s">
        <v>799</v>
      </c>
      <c r="E236" s="46" t="s">
        <v>140</v>
      </c>
      <c r="F236" s="35">
        <v>2499001000</v>
      </c>
      <c r="G236" t="s">
        <v>665</v>
      </c>
      <c r="H236" s="4"/>
      <c r="I236" s="4">
        <v>12</v>
      </c>
      <c r="J236" s="4" t="s">
        <v>37</v>
      </c>
      <c r="K236">
        <v>12</v>
      </c>
      <c r="L236" s="5" t="s">
        <v>37</v>
      </c>
      <c r="M236">
        <f t="shared" si="3"/>
        <v>12</v>
      </c>
    </row>
    <row r="237" spans="1:13" x14ac:dyDescent="0.25">
      <c r="A237" s="125">
        <v>3467</v>
      </c>
      <c r="B237" s="46" t="s">
        <v>689</v>
      </c>
      <c r="C237" s="46" t="s">
        <v>155</v>
      </c>
      <c r="D237" s="46" t="s">
        <v>799</v>
      </c>
      <c r="E237" s="46" t="s">
        <v>140</v>
      </c>
      <c r="F237" s="35">
        <v>66011000</v>
      </c>
      <c r="G237" t="s">
        <v>548</v>
      </c>
      <c r="H237" s="4"/>
      <c r="I237" s="4">
        <v>12</v>
      </c>
      <c r="J237" s="4" t="s">
        <v>37</v>
      </c>
      <c r="K237">
        <v>12</v>
      </c>
      <c r="L237" s="5" t="s">
        <v>37</v>
      </c>
      <c r="M237">
        <f t="shared" si="3"/>
        <v>12</v>
      </c>
    </row>
    <row r="238" spans="1:13" x14ac:dyDescent="0.25">
      <c r="A238" s="125">
        <v>3469</v>
      </c>
      <c r="B238" s="46" t="s">
        <v>689</v>
      </c>
      <c r="C238" s="46" t="s">
        <v>155</v>
      </c>
      <c r="D238" s="46" t="s">
        <v>799</v>
      </c>
      <c r="E238" s="46" t="s">
        <v>140</v>
      </c>
      <c r="F238" s="35">
        <v>3042058001</v>
      </c>
      <c r="G238" t="s">
        <v>766</v>
      </c>
      <c r="H238" s="4"/>
      <c r="I238" s="4">
        <v>12</v>
      </c>
      <c r="J238" s="4" t="s">
        <v>37</v>
      </c>
      <c r="K238">
        <v>12</v>
      </c>
      <c r="L238" s="5" t="s">
        <v>37</v>
      </c>
      <c r="M238">
        <f t="shared" si="3"/>
        <v>12</v>
      </c>
    </row>
    <row r="239" spans="1:13" x14ac:dyDescent="0.25">
      <c r="A239" s="125">
        <v>3476</v>
      </c>
      <c r="B239" s="46" t="s">
        <v>689</v>
      </c>
      <c r="C239" s="46" t="s">
        <v>155</v>
      </c>
      <c r="D239" s="46" t="s">
        <v>799</v>
      </c>
      <c r="E239" s="46" t="s">
        <v>140</v>
      </c>
      <c r="F239" s="35">
        <v>3034001000</v>
      </c>
      <c r="G239" t="s">
        <v>662</v>
      </c>
      <c r="H239" s="4"/>
      <c r="I239" s="4">
        <v>12</v>
      </c>
      <c r="J239" s="4" t="s">
        <v>37</v>
      </c>
      <c r="K239">
        <v>12</v>
      </c>
      <c r="L239" s="5" t="s">
        <v>37</v>
      </c>
      <c r="M239">
        <f t="shared" si="3"/>
        <v>12</v>
      </c>
    </row>
    <row r="240" spans="1:13" x14ac:dyDescent="0.25">
      <c r="A240" s="125">
        <v>3478</v>
      </c>
      <c r="B240" s="46" t="s">
        <v>802</v>
      </c>
      <c r="C240" s="46" t="s">
        <v>800</v>
      </c>
      <c r="D240" s="46" t="s">
        <v>803</v>
      </c>
      <c r="E240" s="46" t="s">
        <v>140</v>
      </c>
      <c r="F240" s="35">
        <v>1014001</v>
      </c>
      <c r="G240" t="s">
        <v>543</v>
      </c>
      <c r="H240" s="4"/>
      <c r="I240" s="4">
        <v>12</v>
      </c>
      <c r="J240" s="4" t="s">
        <v>37</v>
      </c>
      <c r="K240">
        <v>12</v>
      </c>
      <c r="L240" s="5" t="s">
        <v>37</v>
      </c>
      <c r="M240">
        <f t="shared" si="3"/>
        <v>12</v>
      </c>
    </row>
    <row r="241" spans="1:13" x14ac:dyDescent="0.25">
      <c r="A241" s="127">
        <v>3501</v>
      </c>
      <c r="B241" s="46" t="s">
        <v>1031</v>
      </c>
      <c r="C241" s="46" t="s">
        <v>805</v>
      </c>
      <c r="D241" s="46" t="s">
        <v>1032</v>
      </c>
      <c r="E241" s="46" t="s">
        <v>140</v>
      </c>
      <c r="F241" s="35">
        <v>1925007000</v>
      </c>
      <c r="G241" t="s">
        <v>721</v>
      </c>
      <c r="H241" s="4"/>
      <c r="I241" s="4">
        <v>12</v>
      </c>
      <c r="J241" s="4" t="s">
        <v>37</v>
      </c>
      <c r="K241">
        <v>12</v>
      </c>
      <c r="L241" s="5" t="s">
        <v>37</v>
      </c>
      <c r="M241">
        <f t="shared" si="3"/>
        <v>12</v>
      </c>
    </row>
    <row r="242" spans="1:13" x14ac:dyDescent="0.25">
      <c r="A242" s="125">
        <v>3504</v>
      </c>
      <c r="B242" s="46" t="s">
        <v>807</v>
      </c>
      <c r="C242" s="46" t="s">
        <v>777</v>
      </c>
      <c r="D242" s="46" t="s">
        <v>808</v>
      </c>
      <c r="E242" s="46" t="s">
        <v>140</v>
      </c>
      <c r="F242" s="35">
        <v>3042088002</v>
      </c>
      <c r="G242" t="s">
        <v>782</v>
      </c>
      <c r="H242" s="4"/>
      <c r="I242" s="4">
        <v>12</v>
      </c>
      <c r="J242" s="4" t="s">
        <v>37</v>
      </c>
      <c r="K242">
        <v>12</v>
      </c>
      <c r="L242" s="5" t="s">
        <v>37</v>
      </c>
      <c r="M242">
        <f t="shared" si="3"/>
        <v>12</v>
      </c>
    </row>
    <row r="243" spans="1:13" x14ac:dyDescent="0.25">
      <c r="A243" s="125">
        <v>3507</v>
      </c>
      <c r="B243" s="46" t="s">
        <v>689</v>
      </c>
      <c r="C243" s="46" t="s">
        <v>750</v>
      </c>
      <c r="D243" s="46" t="s">
        <v>793</v>
      </c>
      <c r="E243" s="46" t="s">
        <v>140</v>
      </c>
      <c r="F243" s="35">
        <v>1014001</v>
      </c>
      <c r="G243" t="s">
        <v>543</v>
      </c>
      <c r="H243" s="4"/>
      <c r="I243" s="4">
        <v>12</v>
      </c>
      <c r="J243" s="4" t="s">
        <v>37</v>
      </c>
      <c r="K243">
        <v>12</v>
      </c>
      <c r="L243" s="5" t="s">
        <v>37</v>
      </c>
      <c r="M243">
        <f t="shared" si="3"/>
        <v>12</v>
      </c>
    </row>
    <row r="244" spans="1:13" x14ac:dyDescent="0.25">
      <c r="A244" s="125">
        <v>3509</v>
      </c>
      <c r="B244" s="46" t="s">
        <v>689</v>
      </c>
      <c r="C244" s="46" t="s">
        <v>777</v>
      </c>
      <c r="D244" s="46" t="s">
        <v>812</v>
      </c>
      <c r="E244" s="46" t="s">
        <v>140</v>
      </c>
      <c r="F244" s="35">
        <v>3042088001</v>
      </c>
      <c r="G244" t="s">
        <v>785</v>
      </c>
      <c r="H244" s="4"/>
      <c r="I244" s="4">
        <v>12</v>
      </c>
      <c r="J244" s="4" t="s">
        <v>37</v>
      </c>
      <c r="K244">
        <v>12</v>
      </c>
      <c r="L244" s="5" t="s">
        <v>37</v>
      </c>
      <c r="M244">
        <f t="shared" si="3"/>
        <v>12</v>
      </c>
    </row>
    <row r="245" spans="1:13" x14ac:dyDescent="0.25">
      <c r="A245" s="125">
        <v>3519</v>
      </c>
      <c r="B245" s="46" t="s">
        <v>689</v>
      </c>
      <c r="C245" s="46" t="s">
        <v>155</v>
      </c>
      <c r="D245" s="46" t="s">
        <v>799</v>
      </c>
      <c r="E245" s="46" t="s">
        <v>140</v>
      </c>
      <c r="F245" s="35">
        <v>3379001000</v>
      </c>
      <c r="G245" t="s">
        <v>813</v>
      </c>
      <c r="H245" s="4"/>
      <c r="I245" s="4">
        <v>12</v>
      </c>
      <c r="J245" s="4" t="s">
        <v>37</v>
      </c>
      <c r="K245">
        <v>12</v>
      </c>
      <c r="L245" s="5" t="s">
        <v>37</v>
      </c>
      <c r="M245">
        <f t="shared" si="3"/>
        <v>12</v>
      </c>
    </row>
    <row r="246" spans="1:13" x14ac:dyDescent="0.25">
      <c r="A246" s="125">
        <v>3522</v>
      </c>
      <c r="B246" s="46" t="s">
        <v>689</v>
      </c>
      <c r="C246" s="46" t="s">
        <v>155</v>
      </c>
      <c r="D246" s="46" t="s">
        <v>799</v>
      </c>
      <c r="E246" s="46" t="s">
        <v>140</v>
      </c>
      <c r="F246" s="35">
        <v>3076003000</v>
      </c>
      <c r="G246" t="s">
        <v>814</v>
      </c>
      <c r="H246" s="4"/>
      <c r="I246" s="4">
        <v>12</v>
      </c>
      <c r="J246" s="4" t="s">
        <v>37</v>
      </c>
      <c r="K246">
        <v>12</v>
      </c>
      <c r="L246" s="5" t="s">
        <v>37</v>
      </c>
      <c r="M246">
        <f t="shared" si="3"/>
        <v>12</v>
      </c>
    </row>
    <row r="247" spans="1:13" x14ac:dyDescent="0.25">
      <c r="A247" s="127">
        <v>20002</v>
      </c>
      <c r="B247" s="46" t="s">
        <v>1044</v>
      </c>
      <c r="C247" s="46" t="s">
        <v>1040</v>
      </c>
      <c r="D247" s="46" t="s">
        <v>1045</v>
      </c>
      <c r="E247" s="46" t="s">
        <v>140</v>
      </c>
      <c r="F247" s="35">
        <v>1068013000</v>
      </c>
      <c r="G247" t="s">
        <v>611</v>
      </c>
      <c r="H247" s="4"/>
      <c r="I247" s="4">
        <v>12</v>
      </c>
      <c r="J247" s="4" t="s">
        <v>37</v>
      </c>
      <c r="K247">
        <v>12</v>
      </c>
      <c r="L247" s="5" t="s">
        <v>37</v>
      </c>
      <c r="M247">
        <f t="shared" si="3"/>
        <v>12</v>
      </c>
    </row>
    <row r="248" spans="1:13" x14ac:dyDescent="0.25">
      <c r="A248" s="127">
        <v>20005</v>
      </c>
      <c r="B248" s="46" t="s">
        <v>1044</v>
      </c>
      <c r="C248" s="46" t="s">
        <v>1040</v>
      </c>
      <c r="D248" s="46" t="s">
        <v>1045</v>
      </c>
      <c r="E248" s="46" t="s">
        <v>140</v>
      </c>
      <c r="F248" s="35">
        <v>66011000</v>
      </c>
      <c r="G248" t="s">
        <v>548</v>
      </c>
      <c r="H248" s="4"/>
      <c r="I248" s="4">
        <v>12</v>
      </c>
      <c r="J248" s="4" t="s">
        <v>37</v>
      </c>
      <c r="K248">
        <v>12</v>
      </c>
      <c r="L248" s="5" t="s">
        <v>37</v>
      </c>
      <c r="M248">
        <f t="shared" si="3"/>
        <v>12</v>
      </c>
    </row>
    <row r="249" spans="1:13" x14ac:dyDescent="0.25">
      <c r="A249" s="127">
        <v>20008</v>
      </c>
      <c r="B249" s="46" t="s">
        <v>1044</v>
      </c>
      <c r="C249" s="46" t="s">
        <v>1040</v>
      </c>
      <c r="D249" s="46" t="s">
        <v>1045</v>
      </c>
      <c r="E249" s="46" t="s">
        <v>140</v>
      </c>
      <c r="F249" s="35">
        <v>1014001</v>
      </c>
      <c r="G249" t="s">
        <v>543</v>
      </c>
      <c r="H249" s="4"/>
      <c r="J249" s="71"/>
      <c r="K249"/>
      <c r="L249" s="5"/>
      <c r="M249"/>
    </row>
    <row r="250" spans="1:13" x14ac:dyDescent="0.25">
      <c r="A250" s="127">
        <v>20011</v>
      </c>
      <c r="B250" s="46" t="s">
        <v>1044</v>
      </c>
      <c r="C250" s="46" t="s">
        <v>1040</v>
      </c>
      <c r="D250" s="46" t="s">
        <v>1045</v>
      </c>
      <c r="E250" s="46" t="s">
        <v>140</v>
      </c>
      <c r="F250" s="35">
        <v>1014001</v>
      </c>
      <c r="G250" t="s">
        <v>543</v>
      </c>
      <c r="H250" s="4"/>
      <c r="J250" s="71"/>
      <c r="K250"/>
      <c r="L250" s="5"/>
      <c r="M250"/>
    </row>
    <row r="251" spans="1:13" x14ac:dyDescent="0.25">
      <c r="A251" s="127">
        <v>20014</v>
      </c>
      <c r="B251" s="46" t="s">
        <v>1048</v>
      </c>
      <c r="C251" s="46" t="s">
        <v>1040</v>
      </c>
      <c r="D251" s="46" t="s">
        <v>1049</v>
      </c>
      <c r="E251" s="46" t="s">
        <v>140</v>
      </c>
      <c r="F251" s="35">
        <v>1014001</v>
      </c>
      <c r="G251" t="s">
        <v>543</v>
      </c>
      <c r="H251" s="4"/>
      <c r="J251" s="71"/>
      <c r="K251"/>
      <c r="L251" s="5"/>
      <c r="M251"/>
    </row>
    <row r="252" spans="1:13" x14ac:dyDescent="0.25">
      <c r="A252" s="127">
        <v>20017</v>
      </c>
      <c r="B252" s="46" t="s">
        <v>1048</v>
      </c>
      <c r="C252" s="46" t="s">
        <v>1040</v>
      </c>
      <c r="D252" s="46" t="s">
        <v>1049</v>
      </c>
      <c r="E252" s="46" t="s">
        <v>140</v>
      </c>
      <c r="F252" s="35">
        <v>1014001</v>
      </c>
      <c r="G252" t="s">
        <v>543</v>
      </c>
      <c r="H252" s="4"/>
      <c r="J252" s="71"/>
      <c r="K252"/>
      <c r="L252" s="5"/>
      <c r="M252"/>
    </row>
    <row r="253" spans="1:13" x14ac:dyDescent="0.25">
      <c r="A253" s="127">
        <v>20020</v>
      </c>
      <c r="B253" s="46" t="s">
        <v>1048</v>
      </c>
      <c r="C253" s="46" t="s">
        <v>1040</v>
      </c>
      <c r="D253" s="46" t="s">
        <v>1049</v>
      </c>
      <c r="E253" s="46" t="s">
        <v>140</v>
      </c>
      <c r="F253" s="35">
        <v>1014001</v>
      </c>
      <c r="G253" t="s">
        <v>543</v>
      </c>
      <c r="H253" s="4"/>
      <c r="J253" s="71"/>
      <c r="K253"/>
      <c r="L253" s="5"/>
      <c r="M253"/>
    </row>
    <row r="254" spans="1:13" x14ac:dyDescent="0.25">
      <c r="A254" s="16">
        <v>5</v>
      </c>
      <c r="B254" s="6" t="s">
        <v>18</v>
      </c>
      <c r="C254" s="38" t="s">
        <v>11</v>
      </c>
      <c r="D254" s="6" t="s">
        <v>19</v>
      </c>
      <c r="E254" s="4" t="s">
        <v>13</v>
      </c>
      <c r="F254" s="3">
        <v>3135001000</v>
      </c>
      <c r="G254" s="11" t="s">
        <v>462</v>
      </c>
      <c r="H254" s="11" t="s">
        <v>463</v>
      </c>
      <c r="I254" s="4" t="s">
        <v>494</v>
      </c>
      <c r="J254" s="4" t="s">
        <v>487</v>
      </c>
      <c r="K254" s="71">
        <v>4</v>
      </c>
      <c r="L254" t="s">
        <v>17</v>
      </c>
      <c r="M254" s="5">
        <f>K254/7</f>
        <v>0.5714285714285714</v>
      </c>
    </row>
    <row r="255" spans="1:13" x14ac:dyDescent="0.25">
      <c r="A255" s="123">
        <v>6</v>
      </c>
      <c r="B255" s="76" t="s">
        <v>18</v>
      </c>
      <c r="C255" s="76" t="s">
        <v>11</v>
      </c>
      <c r="D255" s="76" t="s">
        <v>19</v>
      </c>
      <c r="E255" s="4" t="s">
        <v>13</v>
      </c>
      <c r="F255" s="76">
        <v>3370003000</v>
      </c>
      <c r="G255" t="s">
        <v>552</v>
      </c>
      <c r="H255" t="s">
        <v>879</v>
      </c>
      <c r="I255" s="4" t="s">
        <v>880</v>
      </c>
      <c r="J255" s="4" t="s">
        <v>858</v>
      </c>
      <c r="K255" s="71">
        <v>12</v>
      </c>
      <c r="L255" t="s">
        <v>21</v>
      </c>
      <c r="M255">
        <f>K255/30</f>
        <v>0.4</v>
      </c>
    </row>
    <row r="256" spans="1:13" x14ac:dyDescent="0.25">
      <c r="A256" s="99">
        <v>7</v>
      </c>
      <c r="B256" s="77" t="s">
        <v>18</v>
      </c>
      <c r="C256" s="77" t="s">
        <v>11</v>
      </c>
      <c r="D256" s="77" t="s">
        <v>40</v>
      </c>
      <c r="E256" s="10" t="s">
        <v>13</v>
      </c>
      <c r="F256" s="77">
        <v>43001000</v>
      </c>
      <c r="G256" s="9" t="s">
        <v>553</v>
      </c>
      <c r="H256" s="9" t="s">
        <v>504</v>
      </c>
      <c r="I256" s="10" t="s">
        <v>881</v>
      </c>
      <c r="J256" s="10"/>
      <c r="K256" s="107"/>
      <c r="L256" s="9"/>
      <c r="M256" s="9"/>
    </row>
    <row r="257" spans="1:13" x14ac:dyDescent="0.25">
      <c r="A257" s="16">
        <v>8</v>
      </c>
      <c r="B257" s="6" t="s">
        <v>18</v>
      </c>
      <c r="C257" s="6" t="s">
        <v>11</v>
      </c>
      <c r="D257" s="6" t="s">
        <v>40</v>
      </c>
      <c r="E257" s="4" t="s">
        <v>13</v>
      </c>
      <c r="F257" s="3">
        <v>165005000</v>
      </c>
      <c r="G257" s="11" t="s">
        <v>426</v>
      </c>
      <c r="H257" s="11" t="s">
        <v>407</v>
      </c>
      <c r="I257" s="4" t="s">
        <v>290</v>
      </c>
      <c r="J257" s="4" t="s">
        <v>352</v>
      </c>
      <c r="K257" s="71">
        <v>1</v>
      </c>
      <c r="L257" t="s">
        <v>17</v>
      </c>
      <c r="M257" s="5">
        <f>K257/7</f>
        <v>0.14285714285714285</v>
      </c>
    </row>
    <row r="258" spans="1:13" x14ac:dyDescent="0.25">
      <c r="A258" s="16">
        <v>11</v>
      </c>
      <c r="B258" s="6" t="s">
        <v>70</v>
      </c>
      <c r="C258" s="6" t="s">
        <v>39</v>
      </c>
      <c r="D258" s="6" t="s">
        <v>19</v>
      </c>
      <c r="E258" s="4" t="s">
        <v>13</v>
      </c>
      <c r="F258" s="3">
        <v>66011000</v>
      </c>
      <c r="G258" s="11" t="s">
        <v>440</v>
      </c>
      <c r="H258" t="s">
        <v>521</v>
      </c>
      <c r="I258" s="4" t="s">
        <v>522</v>
      </c>
      <c r="J258" s="4" t="s">
        <v>522</v>
      </c>
      <c r="K258" s="71">
        <v>0</v>
      </c>
      <c r="L258" t="str">
        <f>J258</f>
        <v>Operativos</v>
      </c>
      <c r="M258" s="5">
        <f>K258</f>
        <v>0</v>
      </c>
    </row>
    <row r="259" spans="1:13" x14ac:dyDescent="0.25">
      <c r="A259" s="16">
        <v>18</v>
      </c>
      <c r="B259" s="6" t="s">
        <v>10</v>
      </c>
      <c r="C259" s="6" t="s">
        <v>22</v>
      </c>
      <c r="E259" s="4" t="s">
        <v>13</v>
      </c>
      <c r="F259" s="3">
        <v>212007000</v>
      </c>
      <c r="G259" s="11" t="s">
        <v>209</v>
      </c>
      <c r="H259" s="11" t="s">
        <v>337</v>
      </c>
      <c r="I259" s="4" t="s">
        <v>138</v>
      </c>
      <c r="J259" s="4" t="s">
        <v>204</v>
      </c>
      <c r="K259" s="71">
        <v>2</v>
      </c>
      <c r="L259" t="s">
        <v>21</v>
      </c>
      <c r="M259" s="5">
        <f>K259/30</f>
        <v>6.6666666666666666E-2</v>
      </c>
    </row>
    <row r="260" spans="1:13" x14ac:dyDescent="0.25">
      <c r="A260" s="16">
        <v>23</v>
      </c>
      <c r="B260" s="6" t="s">
        <v>18</v>
      </c>
      <c r="C260" s="6" t="s">
        <v>39</v>
      </c>
      <c r="D260" s="6" t="s">
        <v>40</v>
      </c>
      <c r="E260" s="4" t="s">
        <v>13</v>
      </c>
      <c r="F260" s="3">
        <v>3207001000</v>
      </c>
      <c r="G260" s="11" t="s">
        <v>190</v>
      </c>
      <c r="H260" s="11" t="s">
        <v>337</v>
      </c>
      <c r="I260" s="4" t="s">
        <v>138</v>
      </c>
      <c r="J260" s="4" t="s">
        <v>172</v>
      </c>
      <c r="K260" s="71">
        <v>6</v>
      </c>
      <c r="L260" t="s">
        <v>17</v>
      </c>
      <c r="M260" s="5">
        <f>K260/7</f>
        <v>0.8571428571428571</v>
      </c>
    </row>
    <row r="261" spans="1:13" x14ac:dyDescent="0.25">
      <c r="A261" s="125">
        <v>26</v>
      </c>
      <c r="B261" s="46" t="s">
        <v>18</v>
      </c>
      <c r="C261" s="46" t="s">
        <v>11</v>
      </c>
      <c r="D261" s="46" t="s">
        <v>19</v>
      </c>
      <c r="E261" s="4" t="s">
        <v>13</v>
      </c>
      <c r="F261" s="46">
        <v>43006000</v>
      </c>
      <c r="G261" t="s">
        <v>555</v>
      </c>
      <c r="H261" t="s">
        <v>504</v>
      </c>
      <c r="I261" s="4" t="s">
        <v>493</v>
      </c>
      <c r="J261" s="4" t="s">
        <v>492</v>
      </c>
      <c r="K261" s="71">
        <v>2</v>
      </c>
      <c r="L261" t="s">
        <v>37</v>
      </c>
      <c r="M261" s="5">
        <f>K261</f>
        <v>2</v>
      </c>
    </row>
    <row r="262" spans="1:13" x14ac:dyDescent="0.25">
      <c r="A262" s="16">
        <v>30</v>
      </c>
      <c r="B262" s="6" t="s">
        <v>10</v>
      </c>
      <c r="C262" s="6" t="s">
        <v>39</v>
      </c>
      <c r="D262" s="6" t="s">
        <v>54</v>
      </c>
      <c r="E262" s="4" t="s">
        <v>13</v>
      </c>
      <c r="F262" s="3">
        <v>1068020000</v>
      </c>
      <c r="G262" s="11" t="s">
        <v>55</v>
      </c>
      <c r="H262" s="11" t="s">
        <v>339</v>
      </c>
      <c r="I262" s="4" t="s">
        <v>56</v>
      </c>
      <c r="J262" s="4" t="s">
        <v>16</v>
      </c>
      <c r="K262" s="71">
        <v>0.5</v>
      </c>
      <c r="L262" t="s">
        <v>17</v>
      </c>
      <c r="M262" s="5">
        <f>K262/7</f>
        <v>7.1428571428571425E-2</v>
      </c>
    </row>
    <row r="263" spans="1:13" x14ac:dyDescent="0.25">
      <c r="A263" s="125">
        <v>31</v>
      </c>
      <c r="B263" s="46" t="s">
        <v>10</v>
      </c>
      <c r="C263" s="46" t="s">
        <v>22</v>
      </c>
      <c r="D263" s="46" t="s">
        <v>23</v>
      </c>
      <c r="E263" s="4" t="s">
        <v>13</v>
      </c>
      <c r="F263" s="46">
        <v>43006000</v>
      </c>
      <c r="G263" t="s">
        <v>555</v>
      </c>
      <c r="H263" t="s">
        <v>504</v>
      </c>
      <c r="I263" s="4" t="s">
        <v>494</v>
      </c>
      <c r="J263" s="4" t="s">
        <v>523</v>
      </c>
      <c r="K263" s="71">
        <v>4</v>
      </c>
      <c r="L263" t="s">
        <v>17</v>
      </c>
      <c r="M263">
        <f>K263/7</f>
        <v>0.5714285714285714</v>
      </c>
    </row>
    <row r="264" spans="1:13" x14ac:dyDescent="0.25">
      <c r="A264" s="123">
        <v>35</v>
      </c>
      <c r="B264" s="76" t="s">
        <v>10</v>
      </c>
      <c r="C264" s="76" t="s">
        <v>22</v>
      </c>
      <c r="D264" s="76" t="s">
        <v>23</v>
      </c>
      <c r="E264" s="4" t="s">
        <v>13</v>
      </c>
      <c r="F264" s="76">
        <v>2886003000</v>
      </c>
      <c r="G264" t="s">
        <v>556</v>
      </c>
      <c r="H264" t="s">
        <v>467</v>
      </c>
      <c r="I264" s="4" t="s">
        <v>485</v>
      </c>
      <c r="J264" s="4" t="s">
        <v>235</v>
      </c>
      <c r="K264" s="71">
        <v>2</v>
      </c>
      <c r="L264" t="s">
        <v>17</v>
      </c>
      <c r="M264">
        <f>2/7</f>
        <v>0.2857142857142857</v>
      </c>
    </row>
    <row r="265" spans="1:13" x14ac:dyDescent="0.25">
      <c r="A265" s="16">
        <v>40</v>
      </c>
      <c r="B265" s="6" t="s">
        <v>18</v>
      </c>
      <c r="C265" s="6" t="s">
        <v>11</v>
      </c>
      <c r="D265" s="6" t="s">
        <v>19</v>
      </c>
      <c r="E265" s="4" t="s">
        <v>13</v>
      </c>
      <c r="F265" s="3">
        <v>2126001000</v>
      </c>
      <c r="G265" s="11" t="s">
        <v>264</v>
      </c>
      <c r="H265" s="11" t="s">
        <v>265</v>
      </c>
      <c r="I265" s="19" t="s">
        <v>266</v>
      </c>
      <c r="J265" s="19" t="s">
        <v>267</v>
      </c>
      <c r="K265" s="71">
        <v>12</v>
      </c>
      <c r="L265" t="s">
        <v>17</v>
      </c>
      <c r="M265" s="5">
        <f>K265/7</f>
        <v>1.7142857142857142</v>
      </c>
    </row>
    <row r="266" spans="1:13" x14ac:dyDescent="0.25">
      <c r="A266" s="16">
        <v>41</v>
      </c>
      <c r="B266" s="6" t="s">
        <v>18</v>
      </c>
      <c r="C266" s="6" t="s">
        <v>11</v>
      </c>
      <c r="D266" s="6" t="s">
        <v>19</v>
      </c>
      <c r="E266" s="4" t="s">
        <v>13</v>
      </c>
      <c r="F266" s="3">
        <v>66011000</v>
      </c>
      <c r="G266" s="11" t="s">
        <v>440</v>
      </c>
      <c r="H266" s="11" t="s">
        <v>521</v>
      </c>
      <c r="I266" s="4">
        <v>2</v>
      </c>
      <c r="J266" s="4" t="s">
        <v>513</v>
      </c>
      <c r="K266" s="71">
        <v>2</v>
      </c>
      <c r="L266" t="s">
        <v>37</v>
      </c>
      <c r="M266" s="5">
        <f>K266</f>
        <v>2</v>
      </c>
    </row>
    <row r="267" spans="1:13" x14ac:dyDescent="0.25">
      <c r="A267" s="94">
        <v>46</v>
      </c>
      <c r="B267" s="6" t="s">
        <v>18</v>
      </c>
      <c r="C267" s="6" t="s">
        <v>11</v>
      </c>
      <c r="D267" s="6" t="s">
        <v>19</v>
      </c>
      <c r="E267" s="4" t="s">
        <v>13</v>
      </c>
      <c r="F267" s="3">
        <v>2798001000</v>
      </c>
      <c r="G267" s="11" t="s">
        <v>346</v>
      </c>
      <c r="H267" t="s">
        <v>342</v>
      </c>
      <c r="I267" s="4" t="s">
        <v>231</v>
      </c>
      <c r="J267" s="4" t="s">
        <v>231</v>
      </c>
      <c r="K267" s="71">
        <v>0</v>
      </c>
      <c r="L267" t="str">
        <f>J267</f>
        <v>back up</v>
      </c>
      <c r="M267" s="5">
        <f>K267</f>
        <v>0</v>
      </c>
    </row>
    <row r="268" spans="1:13" x14ac:dyDescent="0.25">
      <c r="A268" s="16">
        <v>49</v>
      </c>
      <c r="B268" s="6" t="s">
        <v>18</v>
      </c>
      <c r="C268" s="6" t="s">
        <v>11</v>
      </c>
      <c r="D268" s="6" t="s">
        <v>41</v>
      </c>
      <c r="E268" s="4" t="s">
        <v>13</v>
      </c>
      <c r="F268" s="3">
        <v>2548095000</v>
      </c>
      <c r="G268" s="11" t="s">
        <v>368</v>
      </c>
      <c r="H268" s="11" t="s">
        <v>350</v>
      </c>
      <c r="I268" s="4" t="s">
        <v>369</v>
      </c>
      <c r="J268" s="4" t="s">
        <v>370</v>
      </c>
      <c r="K268" s="105">
        <f>40/60</f>
        <v>0.66666666666666663</v>
      </c>
      <c r="L268" t="s">
        <v>21</v>
      </c>
      <c r="M268" s="5">
        <f>K268/30</f>
        <v>2.222222222222222E-2</v>
      </c>
    </row>
    <row r="269" spans="1:13" x14ac:dyDescent="0.25">
      <c r="A269" s="16">
        <v>56</v>
      </c>
      <c r="B269" s="6" t="s">
        <v>10</v>
      </c>
      <c r="C269" s="6" t="s">
        <v>11</v>
      </c>
      <c r="D269" s="6" t="s">
        <v>12</v>
      </c>
      <c r="E269" s="4" t="s">
        <v>13</v>
      </c>
      <c r="F269" s="3">
        <v>3288001000</v>
      </c>
      <c r="G269" s="11" t="s">
        <v>117</v>
      </c>
      <c r="H269" s="11" t="s">
        <v>64</v>
      </c>
      <c r="I269" s="4">
        <v>20</v>
      </c>
      <c r="J269" s="4" t="s">
        <v>75</v>
      </c>
      <c r="K269" s="71">
        <v>20</v>
      </c>
      <c r="L269" t="s">
        <v>21</v>
      </c>
      <c r="M269" s="5">
        <f>K269/30</f>
        <v>0.66666666666666663</v>
      </c>
    </row>
    <row r="270" spans="1:13" x14ac:dyDescent="0.25">
      <c r="A270" s="125">
        <v>62</v>
      </c>
      <c r="B270" s="46" t="s">
        <v>70</v>
      </c>
      <c r="C270" s="46" t="s">
        <v>11</v>
      </c>
      <c r="D270" s="46" t="s">
        <v>19</v>
      </c>
      <c r="E270" s="4" t="s">
        <v>13</v>
      </c>
      <c r="F270" s="46">
        <v>1165000000</v>
      </c>
      <c r="G270" t="s">
        <v>559</v>
      </c>
      <c r="H270" t="s">
        <v>856</v>
      </c>
      <c r="I270" s="4" t="s">
        <v>494</v>
      </c>
      <c r="J270" s="4" t="s">
        <v>523</v>
      </c>
      <c r="K270" s="71">
        <v>4</v>
      </c>
      <c r="L270" t="s">
        <v>17</v>
      </c>
      <c r="M270">
        <f>K270/7</f>
        <v>0.5714285714285714</v>
      </c>
    </row>
    <row r="271" spans="1:13" x14ac:dyDescent="0.25">
      <c r="A271" s="16">
        <v>65</v>
      </c>
      <c r="B271" s="6" t="s">
        <v>18</v>
      </c>
      <c r="C271" s="6" t="s">
        <v>11</v>
      </c>
      <c r="D271" s="6" t="s">
        <v>19</v>
      </c>
      <c r="E271" s="4" t="s">
        <v>13</v>
      </c>
      <c r="F271" s="3">
        <v>66031000</v>
      </c>
      <c r="G271" s="11" t="s">
        <v>500</v>
      </c>
      <c r="H271" s="11" t="s">
        <v>498</v>
      </c>
      <c r="I271" s="4">
        <v>4</v>
      </c>
      <c r="J271" s="4" t="s">
        <v>20</v>
      </c>
      <c r="K271" s="71">
        <f>I271</f>
        <v>4</v>
      </c>
      <c r="L271" t="s">
        <v>21</v>
      </c>
      <c r="M271" s="5">
        <f>K271/30</f>
        <v>0.13333333333333333</v>
      </c>
    </row>
    <row r="272" spans="1:13" x14ac:dyDescent="0.25">
      <c r="A272" s="16">
        <v>66</v>
      </c>
      <c r="B272" s="6" t="s">
        <v>206</v>
      </c>
      <c r="C272" s="6" t="s">
        <v>11</v>
      </c>
      <c r="E272" s="4" t="s">
        <v>13</v>
      </c>
      <c r="F272" s="3">
        <v>3042104001</v>
      </c>
      <c r="G272" s="11" t="s">
        <v>205</v>
      </c>
      <c r="H272" s="11" t="s">
        <v>337</v>
      </c>
      <c r="I272" s="4" t="s">
        <v>138</v>
      </c>
      <c r="J272" s="4" t="s">
        <v>143</v>
      </c>
      <c r="K272" s="71">
        <v>2</v>
      </c>
      <c r="L272" t="s">
        <v>37</v>
      </c>
      <c r="M272" s="5">
        <f>K272</f>
        <v>2</v>
      </c>
    </row>
    <row r="273" spans="1:13" x14ac:dyDescent="0.25">
      <c r="A273" s="16">
        <v>68</v>
      </c>
      <c r="B273" s="6" t="s">
        <v>18</v>
      </c>
      <c r="C273" s="6" t="s">
        <v>39</v>
      </c>
      <c r="D273" s="6" t="s">
        <v>40</v>
      </c>
      <c r="E273" s="4" t="s">
        <v>13</v>
      </c>
      <c r="F273" s="3">
        <v>3328001000</v>
      </c>
      <c r="G273" s="11" t="s">
        <v>429</v>
      </c>
      <c r="H273" s="11" t="s">
        <v>428</v>
      </c>
      <c r="I273" s="4" t="s">
        <v>290</v>
      </c>
      <c r="J273" s="4" t="s">
        <v>352</v>
      </c>
      <c r="K273" s="71">
        <v>1</v>
      </c>
      <c r="L273" t="s">
        <v>17</v>
      </c>
      <c r="M273" s="5">
        <f>K273/7</f>
        <v>0.14285714285714285</v>
      </c>
    </row>
    <row r="274" spans="1:13" x14ac:dyDescent="0.25">
      <c r="A274" s="16">
        <v>85</v>
      </c>
      <c r="B274" s="38" t="s">
        <v>100</v>
      </c>
      <c r="C274" s="38" t="s">
        <v>11</v>
      </c>
      <c r="D274" s="6"/>
      <c r="E274" s="4" t="s">
        <v>13</v>
      </c>
      <c r="F274" s="46">
        <v>3116001000</v>
      </c>
      <c r="G274" s="11" t="s">
        <v>96</v>
      </c>
      <c r="H274" s="11" t="s">
        <v>64</v>
      </c>
      <c r="I274" s="4">
        <v>15</v>
      </c>
      <c r="J274" s="4" t="s">
        <v>99</v>
      </c>
      <c r="K274" s="71">
        <v>15</v>
      </c>
      <c r="L274" t="s">
        <v>21</v>
      </c>
      <c r="M274" s="5">
        <f>K274/30</f>
        <v>0.5</v>
      </c>
    </row>
    <row r="275" spans="1:13" x14ac:dyDescent="0.25">
      <c r="A275" s="16">
        <v>87</v>
      </c>
      <c r="B275" s="6" t="s">
        <v>70</v>
      </c>
      <c r="C275" s="6" t="s">
        <v>11</v>
      </c>
      <c r="D275" s="6" t="s">
        <v>19</v>
      </c>
      <c r="E275" s="4" t="s">
        <v>13</v>
      </c>
      <c r="F275" s="3">
        <v>1165000000</v>
      </c>
      <c r="G275" s="11" t="s">
        <v>216</v>
      </c>
      <c r="H275" s="11" t="s">
        <v>215</v>
      </c>
      <c r="I275" s="4">
        <v>3</v>
      </c>
      <c r="J275" s="4" t="s">
        <v>16</v>
      </c>
      <c r="K275" s="71">
        <v>3</v>
      </c>
      <c r="L275" t="s">
        <v>17</v>
      </c>
      <c r="M275" s="5">
        <f>K275/7</f>
        <v>0.42857142857142855</v>
      </c>
    </row>
    <row r="276" spans="1:13" x14ac:dyDescent="0.25">
      <c r="A276" s="16">
        <v>90</v>
      </c>
      <c r="B276" s="6" t="s">
        <v>70</v>
      </c>
      <c r="C276" s="6" t="s">
        <v>39</v>
      </c>
      <c r="D276" s="6" t="s">
        <v>40</v>
      </c>
      <c r="E276" s="4" t="s">
        <v>13</v>
      </c>
      <c r="F276" s="3">
        <v>153002000</v>
      </c>
      <c r="G276" s="11" t="s">
        <v>497</v>
      </c>
      <c r="H276" s="11" t="s">
        <v>498</v>
      </c>
      <c r="I276" s="4">
        <v>8</v>
      </c>
      <c r="J276" s="4" t="s">
        <v>20</v>
      </c>
      <c r="K276" s="71">
        <f>I276</f>
        <v>8</v>
      </c>
      <c r="L276" t="s">
        <v>21</v>
      </c>
      <c r="M276" s="5">
        <f>K276/30</f>
        <v>0.26666666666666666</v>
      </c>
    </row>
    <row r="277" spans="1:13" x14ac:dyDescent="0.25">
      <c r="A277" s="16">
        <v>91</v>
      </c>
      <c r="B277" s="6" t="s">
        <v>18</v>
      </c>
      <c r="C277" s="6" t="s">
        <v>39</v>
      </c>
      <c r="D277" s="6" t="s">
        <v>49</v>
      </c>
      <c r="E277" s="4" t="s">
        <v>13</v>
      </c>
      <c r="F277" s="3">
        <v>66032000</v>
      </c>
      <c r="G277" s="11" t="s">
        <v>503</v>
      </c>
      <c r="H277" s="11" t="s">
        <v>498</v>
      </c>
      <c r="I277" s="4">
        <v>12</v>
      </c>
      <c r="J277" s="4" t="s">
        <v>20</v>
      </c>
      <c r="K277" s="71">
        <f>I277</f>
        <v>12</v>
      </c>
      <c r="L277" t="s">
        <v>21</v>
      </c>
      <c r="M277" s="5">
        <f>K277/30</f>
        <v>0.4</v>
      </c>
    </row>
    <row r="278" spans="1:13" x14ac:dyDescent="0.25">
      <c r="A278" s="125">
        <v>92</v>
      </c>
      <c r="B278" s="46" t="s">
        <v>18</v>
      </c>
      <c r="C278" s="46" t="s">
        <v>39</v>
      </c>
      <c r="D278" s="46" t="s">
        <v>40</v>
      </c>
      <c r="E278" s="46" t="s">
        <v>13</v>
      </c>
      <c r="F278" s="35">
        <v>1014002</v>
      </c>
      <c r="G278" t="s">
        <v>564</v>
      </c>
    </row>
    <row r="279" spans="1:13" x14ac:dyDescent="0.25">
      <c r="A279" s="16">
        <v>94</v>
      </c>
      <c r="B279" s="6" t="s">
        <v>18</v>
      </c>
      <c r="C279" s="6" t="s">
        <v>11</v>
      </c>
      <c r="D279" s="6" t="s">
        <v>268</v>
      </c>
      <c r="E279" s="4" t="s">
        <v>13</v>
      </c>
      <c r="F279" s="3">
        <v>2126001000</v>
      </c>
      <c r="G279" s="11" t="s">
        <v>264</v>
      </c>
      <c r="H279" s="11" t="s">
        <v>265</v>
      </c>
      <c r="I279" s="19" t="s">
        <v>266</v>
      </c>
      <c r="J279" s="19" t="s">
        <v>269</v>
      </c>
      <c r="K279" s="71">
        <v>18</v>
      </c>
      <c r="L279" t="s">
        <v>17</v>
      </c>
      <c r="M279" s="5">
        <f>K279/7</f>
        <v>2.5714285714285716</v>
      </c>
    </row>
    <row r="280" spans="1:13" x14ac:dyDescent="0.25">
      <c r="A280" s="91">
        <v>96</v>
      </c>
      <c r="B280" s="39" t="s">
        <v>10</v>
      </c>
      <c r="C280" s="39" t="s">
        <v>11</v>
      </c>
      <c r="D280" s="39" t="s">
        <v>26</v>
      </c>
      <c r="E280" s="7" t="s">
        <v>13</v>
      </c>
      <c r="F280" s="33">
        <v>3234001000</v>
      </c>
      <c r="G280" s="33" t="s">
        <v>382</v>
      </c>
      <c r="H280" s="8" t="s">
        <v>380</v>
      </c>
      <c r="I280" s="7"/>
      <c r="J280" s="7" t="s">
        <v>542</v>
      </c>
      <c r="K280" s="106"/>
      <c r="L280" s="8"/>
      <c r="M280" s="30"/>
    </row>
    <row r="281" spans="1:13" x14ac:dyDescent="0.25">
      <c r="A281" s="16">
        <v>97</v>
      </c>
      <c r="B281" s="6" t="s">
        <v>10</v>
      </c>
      <c r="C281" s="6" t="s">
        <v>76</v>
      </c>
      <c r="D281" s="6" t="s">
        <v>77</v>
      </c>
      <c r="E281" s="4" t="s">
        <v>13</v>
      </c>
      <c r="F281" s="3">
        <v>18001000</v>
      </c>
      <c r="G281" t="s">
        <v>817</v>
      </c>
      <c r="H281" s="11" t="s">
        <v>64</v>
      </c>
      <c r="I281" s="4">
        <v>20</v>
      </c>
      <c r="J281" s="4" t="s">
        <v>75</v>
      </c>
      <c r="K281" s="71">
        <v>20</v>
      </c>
      <c r="L281" t="s">
        <v>21</v>
      </c>
      <c r="M281" s="5">
        <f>K281/30</f>
        <v>0.66666666666666663</v>
      </c>
    </row>
    <row r="282" spans="1:13" x14ac:dyDescent="0.25">
      <c r="A282" s="92">
        <v>101</v>
      </c>
      <c r="B282" s="40" t="s">
        <v>222</v>
      </c>
      <c r="C282" s="40" t="s">
        <v>22</v>
      </c>
      <c r="D282" s="40" t="s">
        <v>397</v>
      </c>
      <c r="E282" s="10" t="s">
        <v>13</v>
      </c>
      <c r="F282" s="61">
        <v>3182003000</v>
      </c>
      <c r="G282" s="12" t="s">
        <v>398</v>
      </c>
      <c r="H282" s="9"/>
      <c r="I282" s="10"/>
      <c r="J282" s="10" t="s">
        <v>550</v>
      </c>
      <c r="K282" s="107"/>
      <c r="L282" s="9"/>
      <c r="M282" s="13"/>
    </row>
    <row r="283" spans="1:13" x14ac:dyDescent="0.25">
      <c r="A283" s="125">
        <v>102</v>
      </c>
      <c r="B283" s="46" t="s">
        <v>10</v>
      </c>
      <c r="C283" s="46" t="s">
        <v>22</v>
      </c>
      <c r="D283" s="46" t="s">
        <v>23</v>
      </c>
      <c r="E283" s="4" t="s">
        <v>13</v>
      </c>
      <c r="F283" s="35">
        <v>1014001</v>
      </c>
      <c r="G283" t="s">
        <v>543</v>
      </c>
    </row>
    <row r="284" spans="1:13" x14ac:dyDescent="0.25">
      <c r="A284" s="125">
        <v>103</v>
      </c>
      <c r="B284" s="46" t="s">
        <v>10</v>
      </c>
      <c r="C284" s="46" t="s">
        <v>11</v>
      </c>
      <c r="D284" s="46" t="s">
        <v>26</v>
      </c>
      <c r="E284" s="4" t="s">
        <v>13</v>
      </c>
      <c r="F284" s="35">
        <v>1014001</v>
      </c>
      <c r="G284" t="s">
        <v>543</v>
      </c>
    </row>
    <row r="285" spans="1:13" x14ac:dyDescent="0.25">
      <c r="A285" s="16">
        <v>104</v>
      </c>
      <c r="B285" s="6" t="s">
        <v>10</v>
      </c>
      <c r="C285" s="6" t="s">
        <v>11</v>
      </c>
      <c r="D285" s="6" t="s">
        <v>26</v>
      </c>
      <c r="E285" s="4" t="s">
        <v>13</v>
      </c>
      <c r="F285" s="3">
        <v>2958001000</v>
      </c>
      <c r="G285" s="11" t="s">
        <v>367</v>
      </c>
      <c r="H285" s="11" t="s">
        <v>350</v>
      </c>
      <c r="I285" s="4" t="s">
        <v>358</v>
      </c>
      <c r="J285" s="4" t="s">
        <v>352</v>
      </c>
      <c r="K285" s="71">
        <v>0.5</v>
      </c>
      <c r="L285" t="s">
        <v>17</v>
      </c>
      <c r="M285" s="5">
        <f>K285/7</f>
        <v>7.1428571428571425E-2</v>
      </c>
    </row>
    <row r="286" spans="1:13" x14ac:dyDescent="0.25">
      <c r="A286" s="125">
        <v>106</v>
      </c>
      <c r="B286" s="46" t="s">
        <v>18</v>
      </c>
      <c r="C286" s="46" t="s">
        <v>11</v>
      </c>
      <c r="D286" s="46" t="s">
        <v>19</v>
      </c>
      <c r="E286" s="4" t="s">
        <v>13</v>
      </c>
      <c r="F286" s="35">
        <v>1014001</v>
      </c>
      <c r="G286" t="s">
        <v>543</v>
      </c>
    </row>
    <row r="287" spans="1:13" x14ac:dyDescent="0.25">
      <c r="A287" s="16">
        <v>109</v>
      </c>
      <c r="B287" s="3" t="s">
        <v>70</v>
      </c>
      <c r="C287" s="3" t="s">
        <v>11</v>
      </c>
      <c r="D287" s="46" t="s">
        <v>19</v>
      </c>
      <c r="E287" s="4" t="s">
        <v>13</v>
      </c>
      <c r="F287" s="46">
        <v>1014001</v>
      </c>
      <c r="G287" t="s">
        <v>543</v>
      </c>
      <c r="M287"/>
    </row>
    <row r="288" spans="1:13" x14ac:dyDescent="0.25">
      <c r="A288" s="16">
        <v>112</v>
      </c>
      <c r="B288" s="6" t="s">
        <v>18</v>
      </c>
      <c r="C288" s="6" t="s">
        <v>39</v>
      </c>
      <c r="D288" s="6" t="s">
        <v>49</v>
      </c>
      <c r="E288" s="4" t="s">
        <v>13</v>
      </c>
      <c r="F288" s="3">
        <v>2558002000</v>
      </c>
      <c r="G288" s="11" t="s">
        <v>94</v>
      </c>
      <c r="H288" s="11" t="s">
        <v>64</v>
      </c>
      <c r="I288" s="4">
        <v>20</v>
      </c>
      <c r="J288" s="4" t="s">
        <v>75</v>
      </c>
      <c r="K288" s="71">
        <v>20</v>
      </c>
      <c r="L288" t="s">
        <v>21</v>
      </c>
      <c r="M288" s="5">
        <f>K288/30</f>
        <v>0.66666666666666663</v>
      </c>
    </row>
    <row r="289" spans="1:13" x14ac:dyDescent="0.25">
      <c r="A289" s="123">
        <v>113</v>
      </c>
      <c r="B289" s="76" t="s">
        <v>10</v>
      </c>
      <c r="C289" s="76" t="s">
        <v>39</v>
      </c>
      <c r="D289" s="76">
        <v>2815</v>
      </c>
      <c r="E289" s="4" t="s">
        <v>13</v>
      </c>
      <c r="F289" s="76">
        <v>66031000</v>
      </c>
      <c r="G289" t="s">
        <v>560</v>
      </c>
      <c r="H289" t="s">
        <v>879</v>
      </c>
      <c r="I289" s="4" t="s">
        <v>880</v>
      </c>
      <c r="J289" s="4" t="s">
        <v>858</v>
      </c>
      <c r="K289" s="71">
        <v>12</v>
      </c>
      <c r="L289" t="s">
        <v>21</v>
      </c>
      <c r="M289">
        <f>12/30</f>
        <v>0.4</v>
      </c>
    </row>
    <row r="290" spans="1:13" x14ac:dyDescent="0.25">
      <c r="A290" s="16">
        <v>119</v>
      </c>
      <c r="B290" s="6" t="s">
        <v>10</v>
      </c>
      <c r="C290" s="6" t="s">
        <v>22</v>
      </c>
      <c r="D290" s="6" t="s">
        <v>23</v>
      </c>
      <c r="E290" s="4" t="s">
        <v>13</v>
      </c>
      <c r="F290" s="3">
        <v>1165004000</v>
      </c>
      <c r="G290" s="11" t="s">
        <v>218</v>
      </c>
      <c r="H290" s="11" t="s">
        <v>215</v>
      </c>
      <c r="I290" s="4">
        <v>2</v>
      </c>
      <c r="J290" s="4" t="s">
        <v>16</v>
      </c>
      <c r="K290" s="71">
        <v>2</v>
      </c>
      <c r="L290" t="s">
        <v>17</v>
      </c>
      <c r="M290" s="5">
        <f>K290/7</f>
        <v>0.2857142857142857</v>
      </c>
    </row>
    <row r="291" spans="1:13" x14ac:dyDescent="0.25">
      <c r="A291" s="16">
        <v>120</v>
      </c>
      <c r="B291" s="6" t="s">
        <v>10</v>
      </c>
      <c r="C291" s="6" t="s">
        <v>11</v>
      </c>
      <c r="D291" s="6" t="s">
        <v>26</v>
      </c>
      <c r="E291" s="4" t="s">
        <v>13</v>
      </c>
      <c r="F291" s="3">
        <v>1507003000</v>
      </c>
      <c r="G291" t="s">
        <v>568</v>
      </c>
      <c r="H291" s="11" t="s">
        <v>64</v>
      </c>
      <c r="I291" s="4">
        <v>20</v>
      </c>
      <c r="J291" s="4" t="s">
        <v>75</v>
      </c>
      <c r="K291" s="71">
        <v>20</v>
      </c>
      <c r="L291" t="s">
        <v>21</v>
      </c>
      <c r="M291" s="5">
        <f>K291/30</f>
        <v>0.66666666666666663</v>
      </c>
    </row>
    <row r="292" spans="1:13" x14ac:dyDescent="0.25">
      <c r="A292" s="16">
        <v>123</v>
      </c>
      <c r="B292" s="6" t="s">
        <v>18</v>
      </c>
      <c r="C292" s="6" t="s">
        <v>39</v>
      </c>
      <c r="E292" s="4" t="s">
        <v>13</v>
      </c>
      <c r="F292" s="3">
        <v>165001000</v>
      </c>
      <c r="G292" s="3" t="s">
        <v>319</v>
      </c>
      <c r="H292" s="11" t="s">
        <v>338</v>
      </c>
      <c r="I292" s="4" t="s">
        <v>321</v>
      </c>
      <c r="J292" s="4" t="s">
        <v>17</v>
      </c>
      <c r="K292" s="71">
        <v>10</v>
      </c>
      <c r="L292" t="s">
        <v>17</v>
      </c>
      <c r="M292" s="5">
        <f>K292/7</f>
        <v>1.4285714285714286</v>
      </c>
    </row>
    <row r="293" spans="1:13" x14ac:dyDescent="0.25">
      <c r="A293" s="125">
        <v>124</v>
      </c>
      <c r="B293" s="46" t="s">
        <v>18</v>
      </c>
      <c r="C293" s="46" t="s">
        <v>22</v>
      </c>
      <c r="D293" s="46" t="s">
        <v>236</v>
      </c>
      <c r="E293" s="4" t="s">
        <v>13</v>
      </c>
      <c r="F293" s="35">
        <v>1000012</v>
      </c>
      <c r="G293" t="s">
        <v>570</v>
      </c>
    </row>
    <row r="294" spans="1:13" x14ac:dyDescent="0.25">
      <c r="A294" s="123">
        <v>125</v>
      </c>
      <c r="B294" s="76" t="s">
        <v>18</v>
      </c>
      <c r="C294" s="76" t="s">
        <v>11</v>
      </c>
      <c r="D294" s="76" t="s">
        <v>19</v>
      </c>
      <c r="E294" s="4" t="s">
        <v>13</v>
      </c>
      <c r="F294" s="76">
        <v>193012000</v>
      </c>
      <c r="G294" t="s">
        <v>571</v>
      </c>
      <c r="H294" t="s">
        <v>339</v>
      </c>
      <c r="I294" s="4" t="s">
        <v>882</v>
      </c>
      <c r="J294" s="4" t="s">
        <v>492</v>
      </c>
      <c r="K294" s="71">
        <f>20/60</f>
        <v>0.33333333333333331</v>
      </c>
      <c r="L294" t="s">
        <v>37</v>
      </c>
      <c r="M294">
        <f>K294</f>
        <v>0.33333333333333331</v>
      </c>
    </row>
    <row r="295" spans="1:13" x14ac:dyDescent="0.25">
      <c r="A295" s="16">
        <v>129</v>
      </c>
      <c r="B295" s="3" t="s">
        <v>18</v>
      </c>
      <c r="C295" s="3" t="s">
        <v>11</v>
      </c>
      <c r="D295" s="3" t="s">
        <v>41</v>
      </c>
      <c r="E295" s="4" t="s">
        <v>13</v>
      </c>
      <c r="F295" s="3">
        <v>157002000</v>
      </c>
      <c r="G295" t="s">
        <v>572</v>
      </c>
      <c r="H295" s="11" t="s">
        <v>64</v>
      </c>
      <c r="I295" s="4">
        <v>20</v>
      </c>
      <c r="J295" s="4" t="s">
        <v>75</v>
      </c>
      <c r="K295" s="71">
        <v>20</v>
      </c>
      <c r="L295" t="s">
        <v>21</v>
      </c>
      <c r="M295" s="5">
        <f>K295/30</f>
        <v>0.66666666666666663</v>
      </c>
    </row>
    <row r="296" spans="1:13" x14ac:dyDescent="0.25">
      <c r="A296" s="16">
        <v>135</v>
      </c>
      <c r="B296" s="6" t="s">
        <v>18</v>
      </c>
      <c r="C296" s="6" t="s">
        <v>39</v>
      </c>
      <c r="D296" s="6" t="s">
        <v>49</v>
      </c>
      <c r="E296" s="4" t="s">
        <v>13</v>
      </c>
      <c r="F296" s="46">
        <v>1068001000</v>
      </c>
      <c r="G296" s="11" t="s">
        <v>386</v>
      </c>
      <c r="H296" s="11" t="s">
        <v>380</v>
      </c>
      <c r="I296" s="4" t="s">
        <v>304</v>
      </c>
      <c r="J296" s="4" t="s">
        <v>352</v>
      </c>
      <c r="K296" s="71">
        <v>3</v>
      </c>
      <c r="L296" t="s">
        <v>17</v>
      </c>
      <c r="M296" s="5">
        <f>K296/7</f>
        <v>0.42857142857142855</v>
      </c>
    </row>
    <row r="297" spans="1:13" x14ac:dyDescent="0.25">
      <c r="A297" s="16">
        <v>138</v>
      </c>
      <c r="B297" s="3" t="s">
        <v>18</v>
      </c>
      <c r="C297" s="3" t="s">
        <v>11</v>
      </c>
      <c r="D297" s="3" t="s">
        <v>41</v>
      </c>
      <c r="E297" s="4" t="s">
        <v>13</v>
      </c>
      <c r="F297" s="3">
        <v>165008000</v>
      </c>
      <c r="G297" t="s">
        <v>574</v>
      </c>
      <c r="H297" s="11" t="s">
        <v>64</v>
      </c>
      <c r="I297" s="4">
        <v>10</v>
      </c>
      <c r="J297" s="4" t="s">
        <v>115</v>
      </c>
      <c r="K297" s="71">
        <v>10</v>
      </c>
      <c r="L297" t="s">
        <v>21</v>
      </c>
      <c r="M297" s="5">
        <f>K297/30</f>
        <v>0.33333333333333331</v>
      </c>
    </row>
    <row r="298" spans="1:13" x14ac:dyDescent="0.25">
      <c r="A298" s="16">
        <v>139</v>
      </c>
      <c r="B298" s="6" t="s">
        <v>10</v>
      </c>
      <c r="C298" s="6" t="s">
        <v>22</v>
      </c>
      <c r="D298" s="6" t="s">
        <v>23</v>
      </c>
      <c r="E298" s="4" t="s">
        <v>13</v>
      </c>
      <c r="F298" s="3">
        <v>1165000000</v>
      </c>
      <c r="G298" s="11" t="s">
        <v>216</v>
      </c>
      <c r="H298" s="11" t="s">
        <v>215</v>
      </c>
      <c r="I298" s="4">
        <v>4</v>
      </c>
      <c r="J298" s="4" t="s">
        <v>16</v>
      </c>
      <c r="K298" s="71">
        <v>4</v>
      </c>
      <c r="L298" t="s">
        <v>17</v>
      </c>
      <c r="M298" s="5">
        <f>K298/7</f>
        <v>0.5714285714285714</v>
      </c>
    </row>
    <row r="299" spans="1:13" x14ac:dyDescent="0.25">
      <c r="A299" s="125">
        <v>147</v>
      </c>
      <c r="B299" s="46" t="s">
        <v>43</v>
      </c>
      <c r="C299" s="46" t="s">
        <v>395</v>
      </c>
      <c r="D299" s="46" t="s">
        <v>575</v>
      </c>
      <c r="E299" s="4" t="s">
        <v>13</v>
      </c>
      <c r="F299" s="46">
        <v>43006000</v>
      </c>
      <c r="G299" t="s">
        <v>555</v>
      </c>
      <c r="H299" t="s">
        <v>504</v>
      </c>
      <c r="I299" s="4" t="s">
        <v>493</v>
      </c>
      <c r="J299" s="4" t="s">
        <v>492</v>
      </c>
      <c r="K299" s="71">
        <v>2</v>
      </c>
      <c r="L299" t="s">
        <v>37</v>
      </c>
      <c r="M299">
        <f>K299</f>
        <v>2</v>
      </c>
    </row>
    <row r="300" spans="1:13" x14ac:dyDescent="0.25">
      <c r="A300" s="16">
        <v>150</v>
      </c>
      <c r="B300" s="6" t="s">
        <v>10</v>
      </c>
      <c r="C300" s="6" t="s">
        <v>22</v>
      </c>
      <c r="D300" s="6" t="s">
        <v>23</v>
      </c>
      <c r="E300" s="4" t="s">
        <v>13</v>
      </c>
      <c r="F300" s="3">
        <v>18001000</v>
      </c>
      <c r="G300" t="s">
        <v>818</v>
      </c>
      <c r="H300" s="11" t="s">
        <v>64</v>
      </c>
      <c r="I300" s="4">
        <v>20</v>
      </c>
      <c r="J300" s="4" t="s">
        <v>75</v>
      </c>
      <c r="K300" s="71">
        <v>20</v>
      </c>
      <c r="L300" t="s">
        <v>21</v>
      </c>
      <c r="M300" s="5">
        <f>K300/30</f>
        <v>0.66666666666666663</v>
      </c>
    </row>
    <row r="301" spans="1:13" x14ac:dyDescent="0.25">
      <c r="A301" s="125">
        <v>152</v>
      </c>
      <c r="B301" s="46" t="s">
        <v>10</v>
      </c>
      <c r="C301" s="46" t="s">
        <v>22</v>
      </c>
      <c r="D301" s="46" t="s">
        <v>23</v>
      </c>
      <c r="E301" s="4" t="s">
        <v>13</v>
      </c>
      <c r="F301" s="35">
        <v>1000002</v>
      </c>
      <c r="G301" t="s">
        <v>576</v>
      </c>
    </row>
    <row r="302" spans="1:13" x14ac:dyDescent="0.25">
      <c r="A302" s="16">
        <v>155</v>
      </c>
      <c r="B302" s="6" t="s">
        <v>10</v>
      </c>
      <c r="C302" s="6" t="s">
        <v>76</v>
      </c>
      <c r="D302" s="6" t="s">
        <v>87</v>
      </c>
      <c r="E302" s="4" t="s">
        <v>13</v>
      </c>
      <c r="F302" s="3">
        <v>2499009000</v>
      </c>
      <c r="G302" s="11" t="s">
        <v>422</v>
      </c>
      <c r="H302" t="s">
        <v>407</v>
      </c>
      <c r="I302" s="4" t="s">
        <v>231</v>
      </c>
      <c r="J302" s="4" t="s">
        <v>231</v>
      </c>
      <c r="K302" s="71">
        <v>0</v>
      </c>
      <c r="L302" t="str">
        <f>J302</f>
        <v>back up</v>
      </c>
      <c r="M302" s="5">
        <v>0</v>
      </c>
    </row>
    <row r="303" spans="1:13" x14ac:dyDescent="0.25">
      <c r="A303" s="16">
        <v>156</v>
      </c>
      <c r="B303" s="6" t="s">
        <v>10</v>
      </c>
      <c r="C303" s="6" t="s">
        <v>22</v>
      </c>
      <c r="D303" s="6" t="s">
        <v>23</v>
      </c>
      <c r="E303" s="4" t="s">
        <v>13</v>
      </c>
      <c r="F303" s="3">
        <v>3042049000</v>
      </c>
      <c r="G303" t="s">
        <v>577</v>
      </c>
      <c r="H303" s="11" t="s">
        <v>64</v>
      </c>
      <c r="I303" s="4">
        <v>20</v>
      </c>
      <c r="J303" s="4" t="s">
        <v>75</v>
      </c>
      <c r="K303" s="71">
        <v>20</v>
      </c>
      <c r="L303" t="s">
        <v>21</v>
      </c>
      <c r="M303" s="5">
        <f>K303/30</f>
        <v>0.66666666666666663</v>
      </c>
    </row>
    <row r="304" spans="1:13" x14ac:dyDescent="0.25">
      <c r="A304" s="16">
        <v>161</v>
      </c>
      <c r="B304" s="6" t="s">
        <v>18</v>
      </c>
      <c r="C304" s="6" t="s">
        <v>39</v>
      </c>
      <c r="D304" s="6" t="s">
        <v>40</v>
      </c>
      <c r="E304" s="4" t="s">
        <v>13</v>
      </c>
      <c r="F304" s="3">
        <v>153002000</v>
      </c>
      <c r="G304" s="11" t="s">
        <v>497</v>
      </c>
      <c r="H304" s="11" t="s">
        <v>498</v>
      </c>
      <c r="I304" s="4">
        <v>10</v>
      </c>
      <c r="J304" s="4" t="s">
        <v>20</v>
      </c>
      <c r="K304" s="71">
        <f>I304</f>
        <v>10</v>
      </c>
      <c r="L304" t="s">
        <v>21</v>
      </c>
      <c r="M304" s="5">
        <f>K304/30</f>
        <v>0.33333333333333331</v>
      </c>
    </row>
    <row r="305" spans="1:13" x14ac:dyDescent="0.25">
      <c r="A305" s="16">
        <v>165</v>
      </c>
      <c r="B305" s="6" t="s">
        <v>10</v>
      </c>
      <c r="C305" s="6" t="s">
        <v>11</v>
      </c>
      <c r="D305" s="6" t="s">
        <v>26</v>
      </c>
      <c r="E305" s="4" t="s">
        <v>13</v>
      </c>
      <c r="F305" s="3">
        <v>2840001000</v>
      </c>
      <c r="G305" s="11" t="s">
        <v>349</v>
      </c>
      <c r="H305" s="11" t="s">
        <v>350</v>
      </c>
      <c r="I305" s="4" t="s">
        <v>290</v>
      </c>
      <c r="J305" s="4" t="s">
        <v>351</v>
      </c>
      <c r="K305" s="71">
        <v>2</v>
      </c>
      <c r="L305" t="s">
        <v>17</v>
      </c>
      <c r="M305" s="5">
        <f>K305/7</f>
        <v>0.2857142857142857</v>
      </c>
    </row>
    <row r="306" spans="1:13" x14ac:dyDescent="0.25">
      <c r="A306" s="16">
        <v>166</v>
      </c>
      <c r="B306" s="6" t="s">
        <v>70</v>
      </c>
      <c r="C306" s="6" t="s">
        <v>22</v>
      </c>
      <c r="D306" s="6" t="s">
        <v>78</v>
      </c>
      <c r="E306" s="4" t="s">
        <v>13</v>
      </c>
      <c r="F306" s="3">
        <v>18001000</v>
      </c>
      <c r="G306" t="s">
        <v>819</v>
      </c>
      <c r="H306" s="11" t="s">
        <v>64</v>
      </c>
      <c r="I306" s="4" t="s">
        <v>880</v>
      </c>
      <c r="J306" s="4" t="s">
        <v>79</v>
      </c>
      <c r="K306" s="71">
        <v>12</v>
      </c>
      <c r="L306" t="s">
        <v>21</v>
      </c>
      <c r="M306" s="5">
        <f>K306/30</f>
        <v>0.4</v>
      </c>
    </row>
    <row r="307" spans="1:13" x14ac:dyDescent="0.25">
      <c r="A307" s="16">
        <v>167</v>
      </c>
      <c r="B307" s="6" t="s">
        <v>10</v>
      </c>
      <c r="C307" s="6" t="s">
        <v>11</v>
      </c>
      <c r="D307" s="6" t="s">
        <v>26</v>
      </c>
      <c r="E307" s="4" t="s">
        <v>13</v>
      </c>
      <c r="F307" s="3">
        <v>2548094000</v>
      </c>
      <c r="G307" s="11" t="s">
        <v>177</v>
      </c>
      <c r="H307" s="11" t="s">
        <v>337</v>
      </c>
      <c r="I307" s="4" t="s">
        <v>138</v>
      </c>
      <c r="J307" s="4" t="s">
        <v>169</v>
      </c>
      <c r="K307" s="71">
        <v>4</v>
      </c>
      <c r="L307" t="s">
        <v>21</v>
      </c>
      <c r="M307" s="5">
        <f>K307/30</f>
        <v>0.13333333333333333</v>
      </c>
    </row>
    <row r="308" spans="1:13" x14ac:dyDescent="0.25">
      <c r="A308" s="16">
        <v>170</v>
      </c>
      <c r="B308" s="6" t="s">
        <v>10</v>
      </c>
      <c r="C308" s="6" t="s">
        <v>11</v>
      </c>
      <c r="D308" s="6"/>
      <c r="E308" s="4" t="s">
        <v>13</v>
      </c>
      <c r="F308" s="3">
        <v>1848001000</v>
      </c>
      <c r="G308" s="11" t="s">
        <v>413</v>
      </c>
      <c r="H308" s="11" t="s">
        <v>407</v>
      </c>
      <c r="I308" s="4" t="s">
        <v>290</v>
      </c>
      <c r="J308" s="4" t="s">
        <v>352</v>
      </c>
      <c r="K308" s="71">
        <v>1</v>
      </c>
      <c r="L308" t="s">
        <v>17</v>
      </c>
      <c r="M308" s="5">
        <f>K308/7</f>
        <v>0.14285714285714285</v>
      </c>
    </row>
    <row r="309" spans="1:13" ht="15.75" x14ac:dyDescent="0.25">
      <c r="A309" s="126">
        <v>175</v>
      </c>
      <c r="B309" s="58" t="s">
        <v>70</v>
      </c>
      <c r="C309" s="58" t="s">
        <v>11</v>
      </c>
      <c r="D309" s="58" t="s">
        <v>19</v>
      </c>
      <c r="E309" s="4" t="s">
        <v>13</v>
      </c>
      <c r="F309" s="56">
        <v>1014001</v>
      </c>
      <c r="G309" s="45" t="s">
        <v>543</v>
      </c>
      <c r="H309" s="89"/>
      <c r="I309" s="68"/>
      <c r="J309" s="104"/>
      <c r="M309"/>
    </row>
    <row r="310" spans="1:13" x14ac:dyDescent="0.25">
      <c r="A310" s="95">
        <v>176</v>
      </c>
      <c r="B310" s="54" t="s">
        <v>18</v>
      </c>
      <c r="C310" s="54" t="s">
        <v>22</v>
      </c>
      <c r="D310" s="54" t="s">
        <v>579</v>
      </c>
      <c r="E310" s="7" t="s">
        <v>13</v>
      </c>
      <c r="F310" s="54">
        <v>43001000</v>
      </c>
      <c r="G310" s="8" t="s">
        <v>553</v>
      </c>
      <c r="H310" s="115"/>
      <c r="I310" s="116"/>
      <c r="J310" s="7"/>
      <c r="K310" s="106"/>
      <c r="L310" s="8"/>
      <c r="M310" s="8"/>
    </row>
    <row r="311" spans="1:13" x14ac:dyDescent="0.25">
      <c r="A311" s="16">
        <v>178</v>
      </c>
      <c r="B311" s="6" t="s">
        <v>18</v>
      </c>
      <c r="C311" s="6" t="s">
        <v>39</v>
      </c>
      <c r="D311" s="6" t="s">
        <v>49</v>
      </c>
      <c r="E311" s="4" t="s">
        <v>13</v>
      </c>
      <c r="F311" s="3">
        <v>3292001000</v>
      </c>
      <c r="G311" s="11" t="s">
        <v>363</v>
      </c>
      <c r="H311" s="11" t="s">
        <v>350</v>
      </c>
      <c r="I311" s="4">
        <v>2</v>
      </c>
      <c r="J311" s="4" t="s">
        <v>513</v>
      </c>
      <c r="K311" s="71">
        <v>2</v>
      </c>
      <c r="L311" t="s">
        <v>37</v>
      </c>
      <c r="M311" s="5">
        <f>K311</f>
        <v>2</v>
      </c>
    </row>
    <row r="312" spans="1:13" x14ac:dyDescent="0.25">
      <c r="A312" s="126">
        <v>180</v>
      </c>
      <c r="B312" s="41" t="s">
        <v>240</v>
      </c>
      <c r="E312" s="4" t="s">
        <v>13</v>
      </c>
      <c r="F312" s="11">
        <v>3127001000</v>
      </c>
      <c r="G312" s="11" t="s">
        <v>233</v>
      </c>
      <c r="H312" t="s">
        <v>227</v>
      </c>
      <c r="I312" s="4" t="s">
        <v>522</v>
      </c>
      <c r="J312" s="4" t="s">
        <v>522</v>
      </c>
      <c r="K312" s="71">
        <v>0</v>
      </c>
      <c r="L312" t="str">
        <f>J312</f>
        <v>Operativos</v>
      </c>
      <c r="M312" s="5">
        <v>0</v>
      </c>
    </row>
    <row r="313" spans="1:13" x14ac:dyDescent="0.25">
      <c r="A313" s="125">
        <v>185</v>
      </c>
      <c r="B313" s="46" t="s">
        <v>18</v>
      </c>
      <c r="C313" s="46" t="s">
        <v>39</v>
      </c>
      <c r="D313" s="46" t="s">
        <v>40</v>
      </c>
      <c r="E313" s="4" t="s">
        <v>13</v>
      </c>
      <c r="F313" s="35">
        <v>1014002</v>
      </c>
      <c r="G313" t="s">
        <v>564</v>
      </c>
    </row>
    <row r="314" spans="1:13" x14ac:dyDescent="0.25">
      <c r="A314" s="16">
        <v>186</v>
      </c>
      <c r="B314" s="6" t="s">
        <v>18</v>
      </c>
      <c r="C314" s="6" t="s">
        <v>39</v>
      </c>
      <c r="D314" s="6" t="s">
        <v>49</v>
      </c>
      <c r="E314" s="4" t="s">
        <v>13</v>
      </c>
      <c r="F314" s="3">
        <v>2679001000</v>
      </c>
      <c r="G314" s="11" t="s">
        <v>50</v>
      </c>
      <c r="H314" s="11" t="s">
        <v>339</v>
      </c>
      <c r="I314" s="4" t="s">
        <v>51</v>
      </c>
      <c r="J314" s="4" t="s">
        <v>16</v>
      </c>
      <c r="K314" s="105">
        <f>20/60</f>
        <v>0.33333333333333331</v>
      </c>
      <c r="L314" t="s">
        <v>17</v>
      </c>
      <c r="M314" s="5">
        <f t="shared" ref="M314:M321" si="4">K314/7</f>
        <v>4.7619047619047616E-2</v>
      </c>
    </row>
    <row r="315" spans="1:13" x14ac:dyDescent="0.25">
      <c r="A315" s="16">
        <v>189</v>
      </c>
      <c r="B315" s="6" t="s">
        <v>10</v>
      </c>
      <c r="C315" s="6" t="s">
        <v>11</v>
      </c>
      <c r="D315" s="6" t="s">
        <v>26</v>
      </c>
      <c r="E315" s="4" t="s">
        <v>13</v>
      </c>
      <c r="F315" s="3">
        <v>2126001000</v>
      </c>
      <c r="G315" s="11" t="s">
        <v>264</v>
      </c>
      <c r="H315" s="11" t="s">
        <v>265</v>
      </c>
      <c r="I315" s="19" t="s">
        <v>239</v>
      </c>
      <c r="J315" s="19" t="s">
        <v>270</v>
      </c>
      <c r="K315" s="71">
        <v>4</v>
      </c>
      <c r="L315" t="s">
        <v>17</v>
      </c>
      <c r="M315" s="5">
        <f t="shared" si="4"/>
        <v>0.5714285714285714</v>
      </c>
    </row>
    <row r="316" spans="1:13" x14ac:dyDescent="0.25">
      <c r="A316" s="16">
        <v>190</v>
      </c>
      <c r="B316" s="6" t="s">
        <v>10</v>
      </c>
      <c r="C316" s="6" t="s">
        <v>76</v>
      </c>
      <c r="D316" s="6" t="s">
        <v>87</v>
      </c>
      <c r="E316" s="4" t="s">
        <v>13</v>
      </c>
      <c r="F316" s="3">
        <v>66011000</v>
      </c>
      <c r="G316" s="11" t="s">
        <v>440</v>
      </c>
      <c r="H316" s="11" t="s">
        <v>521</v>
      </c>
      <c r="I316" s="4">
        <v>1</v>
      </c>
      <c r="J316" s="4" t="s">
        <v>487</v>
      </c>
      <c r="K316" s="71">
        <v>1</v>
      </c>
      <c r="L316" t="s">
        <v>17</v>
      </c>
      <c r="M316" s="5">
        <f t="shared" si="4"/>
        <v>0.14285714285714285</v>
      </c>
    </row>
    <row r="317" spans="1:13" x14ac:dyDescent="0.25">
      <c r="A317" s="16">
        <v>198</v>
      </c>
      <c r="B317" s="6" t="s">
        <v>18</v>
      </c>
      <c r="C317" s="6" t="s">
        <v>39</v>
      </c>
      <c r="D317" s="6" t="s">
        <v>49</v>
      </c>
      <c r="E317" s="4" t="s">
        <v>13</v>
      </c>
      <c r="F317" s="3">
        <v>1165000000</v>
      </c>
      <c r="G317" s="11" t="s">
        <v>216</v>
      </c>
      <c r="H317" s="11" t="s">
        <v>215</v>
      </c>
      <c r="I317" s="4">
        <v>4</v>
      </c>
      <c r="J317" s="4" t="s">
        <v>16</v>
      </c>
      <c r="K317" s="71">
        <v>4</v>
      </c>
      <c r="L317" t="s">
        <v>17</v>
      </c>
      <c r="M317" s="5">
        <f t="shared" si="4"/>
        <v>0.5714285714285714</v>
      </c>
    </row>
    <row r="318" spans="1:13" x14ac:dyDescent="0.25">
      <c r="A318" s="16">
        <v>199</v>
      </c>
      <c r="B318" s="6" t="s">
        <v>18</v>
      </c>
      <c r="C318" s="6" t="s">
        <v>39</v>
      </c>
      <c r="D318" s="6" t="s">
        <v>391</v>
      </c>
      <c r="E318" s="4" t="s">
        <v>13</v>
      </c>
      <c r="F318" s="3">
        <v>1406001000</v>
      </c>
      <c r="G318" s="11" t="s">
        <v>392</v>
      </c>
      <c r="H318" s="11" t="s">
        <v>380</v>
      </c>
      <c r="I318" s="4" t="s">
        <v>296</v>
      </c>
      <c r="J318" s="4" t="s">
        <v>352</v>
      </c>
      <c r="K318" s="71">
        <v>0.67</v>
      </c>
      <c r="L318" t="s">
        <v>17</v>
      </c>
      <c r="M318" s="5">
        <f t="shared" si="4"/>
        <v>9.5714285714285724E-2</v>
      </c>
    </row>
    <row r="319" spans="1:13" x14ac:dyDescent="0.25">
      <c r="A319" s="16">
        <v>200</v>
      </c>
      <c r="B319" s="6" t="s">
        <v>18</v>
      </c>
      <c r="C319" s="6" t="s">
        <v>39</v>
      </c>
      <c r="D319" s="6" t="s">
        <v>40</v>
      </c>
      <c r="E319" s="4" t="s">
        <v>13</v>
      </c>
      <c r="F319" s="3">
        <v>3343001000</v>
      </c>
      <c r="G319" s="11" t="s">
        <v>514</v>
      </c>
      <c r="H319" s="11" t="s">
        <v>428</v>
      </c>
      <c r="I319" s="4">
        <v>2</v>
      </c>
      <c r="J319" s="4" t="s">
        <v>487</v>
      </c>
      <c r="K319" s="71">
        <v>2</v>
      </c>
      <c r="L319" t="s">
        <v>17</v>
      </c>
      <c r="M319" s="5">
        <f t="shared" si="4"/>
        <v>0.2857142857142857</v>
      </c>
    </row>
    <row r="320" spans="1:13" x14ac:dyDescent="0.25">
      <c r="A320" s="125">
        <v>203</v>
      </c>
      <c r="B320" s="46" t="s">
        <v>18</v>
      </c>
      <c r="C320" s="46" t="s">
        <v>11</v>
      </c>
      <c r="D320" s="46" t="s">
        <v>41</v>
      </c>
      <c r="E320" s="4" t="s">
        <v>13</v>
      </c>
      <c r="F320" s="46">
        <v>43006000</v>
      </c>
      <c r="G320" t="s">
        <v>555</v>
      </c>
      <c r="H320" t="s">
        <v>504</v>
      </c>
      <c r="I320" s="4" t="s">
        <v>494</v>
      </c>
      <c r="J320" s="4" t="s">
        <v>523</v>
      </c>
      <c r="K320" s="71">
        <v>4</v>
      </c>
      <c r="L320" t="s">
        <v>17</v>
      </c>
      <c r="M320" s="5">
        <f t="shared" si="4"/>
        <v>0.5714285714285714</v>
      </c>
    </row>
    <row r="321" spans="1:13" x14ac:dyDescent="0.25">
      <c r="A321" s="16">
        <v>211</v>
      </c>
      <c r="B321" s="6" t="s">
        <v>10</v>
      </c>
      <c r="C321" s="6" t="s">
        <v>22</v>
      </c>
      <c r="D321" s="6" t="s">
        <v>23</v>
      </c>
      <c r="E321" s="4" t="s">
        <v>13</v>
      </c>
      <c r="F321" s="3">
        <v>2514002000</v>
      </c>
      <c r="G321" s="11" t="s">
        <v>434</v>
      </c>
      <c r="H321" s="11" t="s">
        <v>428</v>
      </c>
      <c r="I321" s="4" t="s">
        <v>358</v>
      </c>
      <c r="J321" s="4" t="s">
        <v>352</v>
      </c>
      <c r="K321" s="71">
        <v>0.5</v>
      </c>
      <c r="L321" t="s">
        <v>17</v>
      </c>
      <c r="M321" s="5">
        <f t="shared" si="4"/>
        <v>7.1428571428571425E-2</v>
      </c>
    </row>
    <row r="322" spans="1:13" x14ac:dyDescent="0.25">
      <c r="A322" s="16">
        <v>212</v>
      </c>
      <c r="B322" s="6" t="s">
        <v>10</v>
      </c>
      <c r="C322" s="6" t="s">
        <v>11</v>
      </c>
      <c r="D322" s="6"/>
      <c r="E322" s="4" t="s">
        <v>13</v>
      </c>
      <c r="F322" s="46">
        <v>127001000</v>
      </c>
      <c r="G322" t="s">
        <v>584</v>
      </c>
      <c r="H322" s="11" t="s">
        <v>64</v>
      </c>
      <c r="I322" s="4" t="s">
        <v>880</v>
      </c>
      <c r="J322" s="4" t="s">
        <v>79</v>
      </c>
      <c r="K322" s="71">
        <v>12</v>
      </c>
      <c r="L322" t="s">
        <v>21</v>
      </c>
      <c r="M322" s="5">
        <f>K322/30</f>
        <v>0.4</v>
      </c>
    </row>
    <row r="323" spans="1:13" x14ac:dyDescent="0.25">
      <c r="A323" s="16">
        <v>213</v>
      </c>
      <c r="B323" s="6" t="s">
        <v>10</v>
      </c>
      <c r="C323" s="6" t="s">
        <v>76</v>
      </c>
      <c r="D323" s="6" t="s">
        <v>87</v>
      </c>
      <c r="E323" s="4" t="s">
        <v>13</v>
      </c>
      <c r="F323" s="3">
        <v>1165000000</v>
      </c>
      <c r="G323" s="11" t="s">
        <v>216</v>
      </c>
      <c r="H323" s="11" t="s">
        <v>215</v>
      </c>
      <c r="I323" s="4">
        <v>4</v>
      </c>
      <c r="J323" s="4" t="s">
        <v>16</v>
      </c>
      <c r="K323" s="71">
        <v>4</v>
      </c>
      <c r="L323" t="s">
        <v>17</v>
      </c>
      <c r="M323" s="5">
        <f>K323/7</f>
        <v>0.5714285714285714</v>
      </c>
    </row>
    <row r="324" spans="1:13" x14ac:dyDescent="0.25">
      <c r="A324" s="92">
        <v>219</v>
      </c>
      <c r="B324" s="40" t="s">
        <v>10</v>
      </c>
      <c r="C324" s="40" t="s">
        <v>76</v>
      </c>
      <c r="D324" s="40" t="s">
        <v>87</v>
      </c>
      <c r="E324" s="10" t="s">
        <v>13</v>
      </c>
      <c r="F324" s="61">
        <v>165001000</v>
      </c>
      <c r="G324" s="12" t="s">
        <v>319</v>
      </c>
      <c r="H324" s="9" t="s">
        <v>338</v>
      </c>
      <c r="I324" s="10"/>
      <c r="J324" s="10" t="s">
        <v>323</v>
      </c>
      <c r="K324" s="107"/>
      <c r="L324" s="9"/>
      <c r="M324" s="13"/>
    </row>
    <row r="325" spans="1:13" x14ac:dyDescent="0.25">
      <c r="A325" s="16">
        <v>224</v>
      </c>
      <c r="B325" s="6" t="s">
        <v>10</v>
      </c>
      <c r="C325" s="6" t="s">
        <v>22</v>
      </c>
      <c r="D325" s="6" t="s">
        <v>23</v>
      </c>
      <c r="E325" s="4" t="s">
        <v>13</v>
      </c>
      <c r="F325" s="3">
        <v>153001000</v>
      </c>
      <c r="G325" s="11" t="s">
        <v>63</v>
      </c>
      <c r="H325" s="11" t="s">
        <v>64</v>
      </c>
      <c r="I325" s="4">
        <v>40</v>
      </c>
      <c r="J325" s="4" t="s">
        <v>65</v>
      </c>
      <c r="K325" s="71">
        <v>40</v>
      </c>
      <c r="L325" t="s">
        <v>21</v>
      </c>
      <c r="M325" s="5">
        <f>K325/30</f>
        <v>1.3333333333333333</v>
      </c>
    </row>
    <row r="326" spans="1:13" x14ac:dyDescent="0.25">
      <c r="A326" s="16">
        <v>227</v>
      </c>
      <c r="B326" s="6" t="s">
        <v>18</v>
      </c>
      <c r="C326" s="6" t="s">
        <v>11</v>
      </c>
      <c r="D326" s="6" t="s">
        <v>19</v>
      </c>
      <c r="E326" s="4" t="s">
        <v>13</v>
      </c>
      <c r="F326" s="3">
        <v>3300202000</v>
      </c>
      <c r="G326" s="11" t="s">
        <v>354</v>
      </c>
      <c r="H326" t="s">
        <v>350</v>
      </c>
      <c r="I326" s="4" t="s">
        <v>231</v>
      </c>
      <c r="J326" s="4" t="s">
        <v>231</v>
      </c>
      <c r="K326" s="71">
        <v>0</v>
      </c>
      <c r="L326" t="str">
        <f>J326</f>
        <v>back up</v>
      </c>
      <c r="M326" s="5">
        <f>K326</f>
        <v>0</v>
      </c>
    </row>
    <row r="327" spans="1:13" x14ac:dyDescent="0.25">
      <c r="A327" s="16">
        <v>228</v>
      </c>
      <c r="B327" s="6" t="s">
        <v>18</v>
      </c>
      <c r="C327" s="6" t="s">
        <v>39</v>
      </c>
      <c r="D327" s="6" t="s">
        <v>40</v>
      </c>
      <c r="E327" s="4" t="s">
        <v>13</v>
      </c>
      <c r="F327" s="3">
        <v>165001000</v>
      </c>
      <c r="G327" s="11" t="s">
        <v>319</v>
      </c>
      <c r="H327" s="11" t="s">
        <v>338</v>
      </c>
      <c r="I327" s="4" t="s">
        <v>321</v>
      </c>
      <c r="J327" s="4" t="s">
        <v>17</v>
      </c>
      <c r="K327" s="71">
        <v>10</v>
      </c>
      <c r="L327" t="s">
        <v>17</v>
      </c>
      <c r="M327" s="5">
        <f>K327/7</f>
        <v>1.4285714285714286</v>
      </c>
    </row>
    <row r="328" spans="1:13" x14ac:dyDescent="0.25">
      <c r="A328" s="16">
        <v>231</v>
      </c>
      <c r="B328" s="6" t="s">
        <v>18</v>
      </c>
      <c r="C328" s="6" t="s">
        <v>11</v>
      </c>
      <c r="D328" s="6" t="s">
        <v>19</v>
      </c>
      <c r="E328" s="4" t="s">
        <v>13</v>
      </c>
      <c r="F328" s="3">
        <v>2840001000</v>
      </c>
      <c r="G328" s="11" t="s">
        <v>349</v>
      </c>
      <c r="H328" s="11" t="s">
        <v>350</v>
      </c>
      <c r="I328" s="4" t="s">
        <v>296</v>
      </c>
      <c r="J328" s="4" t="s">
        <v>352</v>
      </c>
      <c r="K328" s="105">
        <f>40/60</f>
        <v>0.66666666666666663</v>
      </c>
      <c r="L328" t="s">
        <v>17</v>
      </c>
      <c r="M328" s="5">
        <f>K328/7</f>
        <v>9.5238095238095233E-2</v>
      </c>
    </row>
    <row r="329" spans="1:13" x14ac:dyDescent="0.25">
      <c r="A329" s="29">
        <v>232</v>
      </c>
      <c r="B329" s="40" t="s">
        <v>18</v>
      </c>
      <c r="C329" s="40" t="s">
        <v>11</v>
      </c>
      <c r="D329" s="40" t="s">
        <v>41</v>
      </c>
      <c r="E329" s="10" t="s">
        <v>13</v>
      </c>
      <c r="F329" s="61">
        <v>1000011</v>
      </c>
      <c r="G329" s="12" t="s">
        <v>165</v>
      </c>
      <c r="H329" s="9"/>
      <c r="I329" s="10"/>
      <c r="J329" s="10"/>
      <c r="K329" s="107">
        <v>0</v>
      </c>
      <c r="L329" s="9"/>
      <c r="M329" s="13"/>
    </row>
    <row r="330" spans="1:13" x14ac:dyDescent="0.25">
      <c r="A330" s="16">
        <v>234</v>
      </c>
      <c r="B330" s="6" t="s">
        <v>18</v>
      </c>
      <c r="C330" s="6" t="s">
        <v>39</v>
      </c>
      <c r="D330" s="6" t="s">
        <v>40</v>
      </c>
      <c r="E330" s="4" t="s">
        <v>13</v>
      </c>
      <c r="F330" s="3">
        <v>3135001000</v>
      </c>
      <c r="G330" s="11" t="s">
        <v>462</v>
      </c>
      <c r="H330" s="11" t="s">
        <v>463</v>
      </c>
      <c r="I330" s="4" t="s">
        <v>494</v>
      </c>
      <c r="J330" s="4" t="s">
        <v>487</v>
      </c>
      <c r="K330" s="71">
        <v>4</v>
      </c>
      <c r="L330" t="s">
        <v>17</v>
      </c>
      <c r="M330" s="5">
        <f>K330/7</f>
        <v>0.5714285714285714</v>
      </c>
    </row>
    <row r="331" spans="1:13" x14ac:dyDescent="0.25">
      <c r="A331" s="16">
        <v>237</v>
      </c>
      <c r="B331" s="6" t="s">
        <v>18</v>
      </c>
      <c r="C331" s="6" t="s">
        <v>11</v>
      </c>
      <c r="D331" s="6" t="s">
        <v>19</v>
      </c>
      <c r="E331" s="4" t="s">
        <v>13</v>
      </c>
      <c r="F331" s="3">
        <v>2548018000</v>
      </c>
      <c r="G331" s="11" t="s">
        <v>58</v>
      </c>
      <c r="H331" s="11" t="s">
        <v>339</v>
      </c>
      <c r="I331" s="4" t="s">
        <v>53</v>
      </c>
      <c r="J331" s="4" t="s">
        <v>20</v>
      </c>
      <c r="K331" s="71">
        <v>1</v>
      </c>
      <c r="L331" t="s">
        <v>21</v>
      </c>
      <c r="M331" s="5">
        <f>K331/30</f>
        <v>3.3333333333333333E-2</v>
      </c>
    </row>
    <row r="332" spans="1:13" x14ac:dyDescent="0.25">
      <c r="A332" s="16">
        <v>242</v>
      </c>
      <c r="B332" s="6" t="s">
        <v>18</v>
      </c>
      <c r="C332" s="6" t="s">
        <v>39</v>
      </c>
      <c r="D332" s="6" t="s">
        <v>40</v>
      </c>
      <c r="E332" s="4" t="s">
        <v>13</v>
      </c>
      <c r="F332" s="3">
        <v>3042058002</v>
      </c>
      <c r="G332" s="11" t="s">
        <v>210</v>
      </c>
      <c r="H332" s="11" t="s">
        <v>211</v>
      </c>
      <c r="I332" s="4" t="s">
        <v>212</v>
      </c>
      <c r="J332" s="4" t="s">
        <v>172</v>
      </c>
      <c r="K332" s="71">
        <v>9</v>
      </c>
      <c r="L332" t="s">
        <v>17</v>
      </c>
      <c r="M332" s="5">
        <f>K332/7</f>
        <v>1.2857142857142858</v>
      </c>
    </row>
    <row r="333" spans="1:13" x14ac:dyDescent="0.25">
      <c r="A333" s="16">
        <v>246</v>
      </c>
      <c r="B333" s="3" t="s">
        <v>10</v>
      </c>
      <c r="C333" s="3" t="s">
        <v>22</v>
      </c>
      <c r="D333" s="3" t="s">
        <v>23</v>
      </c>
      <c r="E333" s="4" t="s">
        <v>13</v>
      </c>
      <c r="F333" s="3">
        <v>3319002000</v>
      </c>
      <c r="G333" t="s">
        <v>848</v>
      </c>
      <c r="H333" s="11" t="s">
        <v>64</v>
      </c>
      <c r="I333" s="4">
        <v>20</v>
      </c>
      <c r="J333" s="4" t="s">
        <v>135</v>
      </c>
      <c r="K333" s="71">
        <v>20</v>
      </c>
      <c r="L333" t="s">
        <v>21</v>
      </c>
      <c r="M333" s="5">
        <f>K333/30</f>
        <v>0.66666666666666663</v>
      </c>
    </row>
    <row r="334" spans="1:13" x14ac:dyDescent="0.25">
      <c r="A334" s="16">
        <v>247</v>
      </c>
      <c r="B334" s="6" t="s">
        <v>10</v>
      </c>
      <c r="C334" s="6" t="s">
        <v>22</v>
      </c>
      <c r="D334" s="6" t="s">
        <v>23</v>
      </c>
      <c r="E334" s="4" t="s">
        <v>13</v>
      </c>
      <c r="F334" s="3">
        <v>3234007000</v>
      </c>
      <c r="G334" s="11" t="s">
        <v>427</v>
      </c>
      <c r="H334" s="11" t="s">
        <v>428</v>
      </c>
      <c r="I334" s="4" t="s">
        <v>358</v>
      </c>
      <c r="J334" s="4" t="s">
        <v>353</v>
      </c>
      <c r="K334" s="71">
        <v>1</v>
      </c>
      <c r="L334" t="s">
        <v>17</v>
      </c>
      <c r="M334" s="5">
        <f>K334/7</f>
        <v>0.14285714285714285</v>
      </c>
    </row>
    <row r="335" spans="1:13" x14ac:dyDescent="0.25">
      <c r="A335" s="16">
        <v>253</v>
      </c>
      <c r="B335" s="6" t="s">
        <v>10</v>
      </c>
      <c r="C335" s="6" t="s">
        <v>11</v>
      </c>
      <c r="D335" s="6" t="s">
        <v>26</v>
      </c>
      <c r="E335" s="4" t="s">
        <v>13</v>
      </c>
      <c r="F335" s="3">
        <v>3365001000</v>
      </c>
      <c r="G335" t="s">
        <v>536</v>
      </c>
      <c r="H335" s="11" t="s">
        <v>428</v>
      </c>
      <c r="I335" s="4">
        <v>2</v>
      </c>
      <c r="J335" s="4" t="s">
        <v>487</v>
      </c>
      <c r="K335" s="71">
        <v>2</v>
      </c>
      <c r="L335" t="s">
        <v>17</v>
      </c>
      <c r="M335" s="5">
        <f>K335/7</f>
        <v>0.2857142857142857</v>
      </c>
    </row>
    <row r="336" spans="1:13" x14ac:dyDescent="0.25">
      <c r="A336" s="125">
        <v>254</v>
      </c>
      <c r="B336" s="46" t="s">
        <v>18</v>
      </c>
      <c r="C336" s="46" t="s">
        <v>39</v>
      </c>
      <c r="D336" s="46" t="s">
        <v>40</v>
      </c>
      <c r="E336" s="46" t="s">
        <v>13</v>
      </c>
      <c r="F336" s="35">
        <v>1014002</v>
      </c>
      <c r="G336" t="s">
        <v>564</v>
      </c>
    </row>
    <row r="337" spans="1:13" x14ac:dyDescent="0.25">
      <c r="A337" s="16">
        <v>255</v>
      </c>
      <c r="B337" s="6" t="s">
        <v>70</v>
      </c>
      <c r="C337" s="6" t="s">
        <v>39</v>
      </c>
      <c r="D337" s="6" t="s">
        <v>40</v>
      </c>
      <c r="E337" s="4" t="s">
        <v>13</v>
      </c>
      <c r="F337" s="3">
        <v>2126013000</v>
      </c>
      <c r="G337" s="11" t="s">
        <v>123</v>
      </c>
      <c r="H337" s="11" t="s">
        <v>64</v>
      </c>
      <c r="I337" s="4">
        <v>10</v>
      </c>
      <c r="J337" s="4" t="s">
        <v>103</v>
      </c>
      <c r="K337" s="71">
        <v>10</v>
      </c>
      <c r="L337" t="s">
        <v>21</v>
      </c>
      <c r="M337" s="5">
        <f>K337/30</f>
        <v>0.33333333333333331</v>
      </c>
    </row>
    <row r="338" spans="1:13" x14ac:dyDescent="0.25">
      <c r="A338" s="16">
        <v>257</v>
      </c>
      <c r="B338" s="3" t="s">
        <v>10</v>
      </c>
      <c r="C338" s="3" t="s">
        <v>76</v>
      </c>
      <c r="D338" s="3" t="s">
        <v>87</v>
      </c>
      <c r="E338" s="4" t="s">
        <v>13</v>
      </c>
      <c r="F338" s="3">
        <v>3319002000</v>
      </c>
      <c r="G338" t="s">
        <v>848</v>
      </c>
      <c r="H338" s="11" t="s">
        <v>64</v>
      </c>
      <c r="I338" s="4">
        <v>20</v>
      </c>
      <c r="J338" s="4" t="s">
        <v>135</v>
      </c>
      <c r="K338" s="71">
        <v>20</v>
      </c>
      <c r="L338" t="s">
        <v>21</v>
      </c>
      <c r="M338">
        <f>K338/30</f>
        <v>0.66666666666666663</v>
      </c>
    </row>
    <row r="339" spans="1:13" x14ac:dyDescent="0.25">
      <c r="A339" s="16">
        <v>259</v>
      </c>
      <c r="B339" s="6" t="s">
        <v>10</v>
      </c>
      <c r="C339" s="6" t="s">
        <v>39</v>
      </c>
      <c r="D339" s="6">
        <v>2815</v>
      </c>
      <c r="E339" s="4" t="s">
        <v>13</v>
      </c>
      <c r="F339" s="3">
        <v>153002000</v>
      </c>
      <c r="G339" s="11" t="s">
        <v>497</v>
      </c>
      <c r="H339" s="11" t="s">
        <v>498</v>
      </c>
      <c r="I339" s="4">
        <v>10</v>
      </c>
      <c r="J339" s="4" t="s">
        <v>20</v>
      </c>
      <c r="K339" s="71">
        <f>I339</f>
        <v>10</v>
      </c>
      <c r="L339" t="s">
        <v>21</v>
      </c>
      <c r="M339" s="5">
        <f>K339/30</f>
        <v>0.33333333333333331</v>
      </c>
    </row>
    <row r="340" spans="1:13" x14ac:dyDescent="0.25">
      <c r="A340" s="16">
        <v>262</v>
      </c>
      <c r="B340" s="3" t="s">
        <v>18</v>
      </c>
      <c r="C340" s="3" t="s">
        <v>11</v>
      </c>
      <c r="D340" s="3" t="s">
        <v>19</v>
      </c>
      <c r="E340" s="4" t="s">
        <v>13</v>
      </c>
      <c r="F340" s="3">
        <v>212001000</v>
      </c>
      <c r="G340" s="11" t="s">
        <v>834</v>
      </c>
      <c r="H340" s="11" t="s">
        <v>829</v>
      </c>
      <c r="I340" s="4">
        <v>5</v>
      </c>
      <c r="J340" s="4" t="s">
        <v>20</v>
      </c>
      <c r="K340" s="71">
        <v>5</v>
      </c>
      <c r="L340" t="s">
        <v>21</v>
      </c>
      <c r="M340">
        <f>K340/30</f>
        <v>0.16666666666666666</v>
      </c>
    </row>
    <row r="341" spans="1:13" x14ac:dyDescent="0.25">
      <c r="A341" s="91">
        <v>263</v>
      </c>
      <c r="B341" s="39" t="s">
        <v>219</v>
      </c>
      <c r="C341" s="39" t="s">
        <v>22</v>
      </c>
      <c r="D341" s="39" t="s">
        <v>220</v>
      </c>
      <c r="E341" s="7" t="s">
        <v>13</v>
      </c>
      <c r="F341" s="57">
        <v>1165000000</v>
      </c>
      <c r="G341" s="33" t="s">
        <v>216</v>
      </c>
      <c r="H341" s="8" t="s">
        <v>215</v>
      </c>
      <c r="I341" s="7"/>
      <c r="J341" s="7" t="s">
        <v>529</v>
      </c>
      <c r="K341" s="106"/>
      <c r="L341" s="8"/>
      <c r="M341" s="30"/>
    </row>
    <row r="342" spans="1:13" x14ac:dyDescent="0.25">
      <c r="A342" s="16">
        <v>265</v>
      </c>
      <c r="B342" s="3" t="s">
        <v>10</v>
      </c>
      <c r="C342" s="3" t="s">
        <v>22</v>
      </c>
      <c r="D342" s="3" t="s">
        <v>23</v>
      </c>
      <c r="E342" s="4" t="s">
        <v>13</v>
      </c>
      <c r="F342" s="3">
        <v>212001000</v>
      </c>
      <c r="G342" s="11" t="s">
        <v>834</v>
      </c>
      <c r="H342" s="11" t="s">
        <v>829</v>
      </c>
      <c r="I342" s="4">
        <v>8</v>
      </c>
      <c r="J342" s="4" t="s">
        <v>128</v>
      </c>
      <c r="K342" s="71">
        <v>8</v>
      </c>
      <c r="L342" t="s">
        <v>21</v>
      </c>
      <c r="M342">
        <f>8/30</f>
        <v>0.26666666666666666</v>
      </c>
    </row>
    <row r="343" spans="1:13" x14ac:dyDescent="0.25">
      <c r="A343" s="16">
        <v>267</v>
      </c>
      <c r="B343" s="6" t="s">
        <v>10</v>
      </c>
      <c r="C343" s="6" t="s">
        <v>39</v>
      </c>
      <c r="D343" s="6">
        <v>2815</v>
      </c>
      <c r="E343" s="4" t="s">
        <v>13</v>
      </c>
      <c r="F343" s="3">
        <v>3042058002</v>
      </c>
      <c r="G343" s="11" t="s">
        <v>210</v>
      </c>
      <c r="H343" s="11" t="s">
        <v>211</v>
      </c>
      <c r="I343" s="4" t="s">
        <v>144</v>
      </c>
      <c r="J343" s="4" t="s">
        <v>143</v>
      </c>
      <c r="K343" s="71">
        <v>1</v>
      </c>
      <c r="L343" t="s">
        <v>37</v>
      </c>
      <c r="M343" s="5">
        <f>K343</f>
        <v>1</v>
      </c>
    </row>
    <row r="344" spans="1:13" x14ac:dyDescent="0.25">
      <c r="A344" s="16">
        <v>272</v>
      </c>
      <c r="B344" s="6" t="s">
        <v>10</v>
      </c>
      <c r="C344" s="6" t="s">
        <v>11</v>
      </c>
      <c r="D344" s="6" t="s">
        <v>26</v>
      </c>
      <c r="E344" s="4" t="s">
        <v>13</v>
      </c>
      <c r="F344" s="3">
        <v>1033000</v>
      </c>
      <c r="G344" s="11" t="s">
        <v>116</v>
      </c>
      <c r="H344" s="11" t="s">
        <v>64</v>
      </c>
      <c r="I344" s="4">
        <v>20</v>
      </c>
      <c r="J344" s="4" t="s">
        <v>75</v>
      </c>
      <c r="K344" s="71">
        <v>20</v>
      </c>
      <c r="L344" t="s">
        <v>21</v>
      </c>
      <c r="M344" s="5">
        <f>K344/30</f>
        <v>0.66666666666666663</v>
      </c>
    </row>
    <row r="345" spans="1:13" x14ac:dyDescent="0.25">
      <c r="A345" s="16">
        <v>276</v>
      </c>
      <c r="B345" s="6" t="s">
        <v>10</v>
      </c>
      <c r="C345" s="6" t="s">
        <v>11</v>
      </c>
      <c r="D345" s="6" t="s">
        <v>26</v>
      </c>
      <c r="E345" s="4" t="s">
        <v>13</v>
      </c>
      <c r="F345" s="3">
        <v>529001000</v>
      </c>
      <c r="G345" s="11" t="s">
        <v>405</v>
      </c>
      <c r="H345" s="11" t="s">
        <v>407</v>
      </c>
      <c r="I345" s="4" t="s">
        <v>290</v>
      </c>
      <c r="J345" s="4" t="s">
        <v>353</v>
      </c>
      <c r="K345" s="71">
        <v>2</v>
      </c>
      <c r="L345" t="s">
        <v>17</v>
      </c>
      <c r="M345" s="5">
        <f>K345/7</f>
        <v>0.2857142857142857</v>
      </c>
    </row>
    <row r="346" spans="1:13" x14ac:dyDescent="0.25">
      <c r="A346" s="16">
        <v>277</v>
      </c>
      <c r="B346" s="6" t="s">
        <v>10</v>
      </c>
      <c r="C346" s="6" t="s">
        <v>11</v>
      </c>
      <c r="D346" s="6" t="s">
        <v>26</v>
      </c>
      <c r="E346" s="4" t="s">
        <v>13</v>
      </c>
      <c r="F346" s="46">
        <v>1014001</v>
      </c>
      <c r="G346" s="11" t="s">
        <v>543</v>
      </c>
    </row>
    <row r="347" spans="1:13" x14ac:dyDescent="0.25">
      <c r="A347" s="16">
        <v>279</v>
      </c>
      <c r="B347" s="6" t="s">
        <v>10</v>
      </c>
      <c r="C347" s="6" t="s">
        <v>11</v>
      </c>
      <c r="D347" s="6" t="s">
        <v>113</v>
      </c>
      <c r="E347" s="4" t="s">
        <v>13</v>
      </c>
      <c r="F347" s="3">
        <v>1967003000</v>
      </c>
      <c r="G347" s="11" t="s">
        <v>114</v>
      </c>
      <c r="H347" s="11" t="s">
        <v>64</v>
      </c>
      <c r="I347" s="4">
        <v>20</v>
      </c>
      <c r="J347" s="4" t="s">
        <v>75</v>
      </c>
      <c r="K347" s="71">
        <v>20</v>
      </c>
      <c r="L347" t="s">
        <v>21</v>
      </c>
      <c r="M347" s="5">
        <f>K347/30</f>
        <v>0.66666666666666663</v>
      </c>
    </row>
    <row r="348" spans="1:13" x14ac:dyDescent="0.25">
      <c r="A348" s="94">
        <v>280</v>
      </c>
      <c r="B348" s="6" t="s">
        <v>10</v>
      </c>
      <c r="C348" s="6" t="s">
        <v>11</v>
      </c>
      <c r="D348" s="6" t="s">
        <v>26</v>
      </c>
      <c r="E348" s="4" t="s">
        <v>13</v>
      </c>
      <c r="F348" s="3">
        <v>2936001000</v>
      </c>
      <c r="G348" s="11" t="s">
        <v>341</v>
      </c>
      <c r="H348" s="11" t="s">
        <v>342</v>
      </c>
      <c r="I348" s="19" t="s">
        <v>290</v>
      </c>
      <c r="J348" s="4" t="s">
        <v>343</v>
      </c>
      <c r="K348" s="71">
        <v>1</v>
      </c>
      <c r="L348" t="s">
        <v>17</v>
      </c>
      <c r="M348" s="5">
        <f>K348/7</f>
        <v>0.14285714285714285</v>
      </c>
    </row>
    <row r="349" spans="1:13" x14ac:dyDescent="0.25">
      <c r="A349" s="16">
        <v>281</v>
      </c>
      <c r="B349" s="6" t="s">
        <v>18</v>
      </c>
      <c r="C349" s="6" t="s">
        <v>11</v>
      </c>
      <c r="D349" s="6" t="s">
        <v>19</v>
      </c>
      <c r="E349" s="4" t="s">
        <v>13</v>
      </c>
      <c r="F349" s="3">
        <v>193012000</v>
      </c>
      <c r="G349" s="11" t="s">
        <v>34</v>
      </c>
      <c r="H349" s="11" t="s">
        <v>339</v>
      </c>
      <c r="I349" s="4" t="s">
        <v>38</v>
      </c>
      <c r="J349" s="4" t="s">
        <v>36</v>
      </c>
      <c r="K349" s="71">
        <v>3</v>
      </c>
      <c r="L349" t="s">
        <v>37</v>
      </c>
      <c r="M349" s="5">
        <f>K349</f>
        <v>3</v>
      </c>
    </row>
    <row r="350" spans="1:13" x14ac:dyDescent="0.25">
      <c r="A350" s="125">
        <v>285</v>
      </c>
      <c r="B350" s="46" t="s">
        <v>10</v>
      </c>
      <c r="C350" s="46" t="s">
        <v>11</v>
      </c>
      <c r="D350" s="46" t="s">
        <v>26</v>
      </c>
      <c r="E350" s="46" t="s">
        <v>13</v>
      </c>
      <c r="F350" s="35">
        <v>1045000</v>
      </c>
      <c r="G350" t="s">
        <v>591</v>
      </c>
      <c r="H350" s="46" t="s">
        <v>380</v>
      </c>
      <c r="I350" s="4">
        <v>2</v>
      </c>
      <c r="J350" s="4" t="s">
        <v>17</v>
      </c>
      <c r="K350" s="71">
        <v>2</v>
      </c>
      <c r="L350" t="s">
        <v>17</v>
      </c>
      <c r="M350" s="5">
        <f>K350/7</f>
        <v>0.2857142857142857</v>
      </c>
    </row>
    <row r="351" spans="1:13" x14ac:dyDescent="0.25">
      <c r="A351" s="16">
        <v>286</v>
      </c>
      <c r="B351" s="6" t="s">
        <v>10</v>
      </c>
      <c r="C351" s="6" t="s">
        <v>11</v>
      </c>
      <c r="D351" s="6" t="s">
        <v>26</v>
      </c>
      <c r="E351" s="4" t="s">
        <v>13</v>
      </c>
      <c r="F351" s="3">
        <v>2126001000</v>
      </c>
      <c r="G351" s="11" t="s">
        <v>264</v>
      </c>
      <c r="H351" s="11" t="s">
        <v>265</v>
      </c>
      <c r="I351" s="19" t="s">
        <v>239</v>
      </c>
      <c r="J351" s="19" t="s">
        <v>271</v>
      </c>
      <c r="K351" s="71">
        <v>5</v>
      </c>
      <c r="L351" t="s">
        <v>17</v>
      </c>
      <c r="M351" s="5">
        <f>K351/7</f>
        <v>0.7142857142857143</v>
      </c>
    </row>
    <row r="352" spans="1:13" x14ac:dyDescent="0.25">
      <c r="A352" s="125">
        <v>287</v>
      </c>
      <c r="B352" s="46" t="s">
        <v>10</v>
      </c>
      <c r="C352" s="46" t="s">
        <v>11</v>
      </c>
      <c r="D352" s="46" t="s">
        <v>26</v>
      </c>
      <c r="E352" s="4" t="s">
        <v>13</v>
      </c>
      <c r="F352" s="46">
        <v>1165002000</v>
      </c>
      <c r="G352" t="s">
        <v>592</v>
      </c>
      <c r="H352" t="s">
        <v>856</v>
      </c>
      <c r="I352" s="4" t="s">
        <v>493</v>
      </c>
      <c r="J352" s="4" t="s">
        <v>523</v>
      </c>
      <c r="K352" s="71">
        <v>2</v>
      </c>
      <c r="L352" t="s">
        <v>17</v>
      </c>
      <c r="M352" s="5">
        <f>K352/7</f>
        <v>0.2857142857142857</v>
      </c>
    </row>
    <row r="353" spans="1:13" x14ac:dyDescent="0.25">
      <c r="A353" s="16">
        <v>290</v>
      </c>
      <c r="B353" s="6" t="s">
        <v>10</v>
      </c>
      <c r="C353" s="6" t="s">
        <v>11</v>
      </c>
      <c r="D353" s="6" t="s">
        <v>12</v>
      </c>
      <c r="E353" s="4" t="s">
        <v>13</v>
      </c>
      <c r="F353" s="3">
        <v>3234004000</v>
      </c>
      <c r="G353" s="11" t="s">
        <v>14</v>
      </c>
      <c r="H353" s="11" t="s">
        <v>339</v>
      </c>
      <c r="I353" s="4" t="s">
        <v>15</v>
      </c>
      <c r="J353" s="4" t="s">
        <v>16</v>
      </c>
      <c r="K353" s="71">
        <v>0.5</v>
      </c>
      <c r="L353" t="s">
        <v>17</v>
      </c>
      <c r="M353" s="5">
        <f>K353/7</f>
        <v>7.1428571428571425E-2</v>
      </c>
    </row>
    <row r="354" spans="1:13" x14ac:dyDescent="0.25">
      <c r="A354" s="16">
        <v>292</v>
      </c>
      <c r="B354" s="6" t="s">
        <v>10</v>
      </c>
      <c r="C354" s="6" t="s">
        <v>11</v>
      </c>
      <c r="D354" s="6" t="s">
        <v>26</v>
      </c>
      <c r="E354" s="4" t="s">
        <v>13</v>
      </c>
      <c r="F354" s="3">
        <v>2641003000</v>
      </c>
      <c r="G354" s="11" t="s">
        <v>472</v>
      </c>
      <c r="H354" s="11" t="s">
        <v>467</v>
      </c>
      <c r="I354" s="4">
        <v>2</v>
      </c>
      <c r="J354" s="4" t="s">
        <v>492</v>
      </c>
      <c r="K354" s="71">
        <v>2</v>
      </c>
      <c r="L354" t="s">
        <v>37</v>
      </c>
      <c r="M354" s="5">
        <f>K354</f>
        <v>2</v>
      </c>
    </row>
    <row r="355" spans="1:13" x14ac:dyDescent="0.25">
      <c r="A355" s="16">
        <v>297</v>
      </c>
      <c r="B355" s="6" t="s">
        <v>18</v>
      </c>
      <c r="C355" s="6" t="s">
        <v>39</v>
      </c>
      <c r="D355" s="6" t="s">
        <v>40</v>
      </c>
      <c r="E355" s="4" t="s">
        <v>13</v>
      </c>
      <c r="F355" s="3">
        <v>3042058002</v>
      </c>
      <c r="G355" s="11" t="s">
        <v>210</v>
      </c>
      <c r="H355" s="11" t="s">
        <v>211</v>
      </c>
      <c r="I355" s="4" t="s">
        <v>144</v>
      </c>
      <c r="J355" s="4" t="s">
        <v>172</v>
      </c>
      <c r="K355" s="71">
        <v>3</v>
      </c>
      <c r="L355" t="s">
        <v>17</v>
      </c>
      <c r="M355" s="5">
        <f>K355/7</f>
        <v>0.42857142857142855</v>
      </c>
    </row>
    <row r="356" spans="1:13" x14ac:dyDescent="0.25">
      <c r="A356" s="125">
        <v>302</v>
      </c>
      <c r="B356" s="46" t="s">
        <v>70</v>
      </c>
      <c r="C356" s="46" t="s">
        <v>39</v>
      </c>
      <c r="D356" s="46" t="s">
        <v>49</v>
      </c>
      <c r="E356" s="4" t="s">
        <v>13</v>
      </c>
      <c r="F356" s="46">
        <v>1068012000</v>
      </c>
      <c r="G356" t="s">
        <v>594</v>
      </c>
      <c r="H356" t="s">
        <v>519</v>
      </c>
      <c r="I356" s="4" t="s">
        <v>239</v>
      </c>
      <c r="J356" s="4" t="s">
        <v>235</v>
      </c>
      <c r="K356" s="71">
        <v>2</v>
      </c>
      <c r="L356" t="s">
        <v>17</v>
      </c>
      <c r="M356" s="5">
        <f>K356/7</f>
        <v>0.2857142857142857</v>
      </c>
    </row>
    <row r="357" spans="1:13" x14ac:dyDescent="0.25">
      <c r="A357" s="16">
        <v>305</v>
      </c>
      <c r="B357" s="6" t="s">
        <v>10</v>
      </c>
      <c r="C357" s="6" t="s">
        <v>11</v>
      </c>
      <c r="D357" s="6" t="s">
        <v>26</v>
      </c>
      <c r="E357" s="4" t="s">
        <v>13</v>
      </c>
      <c r="F357" s="3">
        <v>1023000</v>
      </c>
      <c r="G357" s="11" t="s">
        <v>311</v>
      </c>
      <c r="H357" t="s">
        <v>338</v>
      </c>
      <c r="I357" s="4" t="s">
        <v>231</v>
      </c>
      <c r="J357" s="4" t="s">
        <v>231</v>
      </c>
      <c r="K357" s="71">
        <v>0</v>
      </c>
      <c r="L357" t="str">
        <f>J357</f>
        <v>back up</v>
      </c>
      <c r="M357" s="5">
        <v>0</v>
      </c>
    </row>
    <row r="358" spans="1:13" x14ac:dyDescent="0.25">
      <c r="A358" s="125">
        <v>308</v>
      </c>
      <c r="B358" s="46" t="s">
        <v>10</v>
      </c>
      <c r="C358" s="46" t="s">
        <v>22</v>
      </c>
      <c r="D358" s="46" t="s">
        <v>23</v>
      </c>
      <c r="E358" s="4" t="s">
        <v>13</v>
      </c>
      <c r="F358" s="35">
        <v>1014001</v>
      </c>
      <c r="G358" t="s">
        <v>543</v>
      </c>
      <c r="H358" s="4"/>
      <c r="J358" s="71"/>
      <c r="K358"/>
      <c r="L358" s="5"/>
      <c r="M358"/>
    </row>
    <row r="359" spans="1:13" x14ac:dyDescent="0.25">
      <c r="A359" s="125">
        <v>310</v>
      </c>
      <c r="B359" s="46" t="s">
        <v>10</v>
      </c>
      <c r="C359" s="46" t="s">
        <v>76</v>
      </c>
      <c r="D359" s="46" t="s">
        <v>87</v>
      </c>
      <c r="E359" s="4" t="s">
        <v>13</v>
      </c>
      <c r="F359" s="35">
        <v>1014001</v>
      </c>
      <c r="G359" t="s">
        <v>543</v>
      </c>
      <c r="H359" s="4"/>
      <c r="J359" s="71"/>
      <c r="K359"/>
      <c r="L359" s="5"/>
      <c r="M359"/>
    </row>
    <row r="360" spans="1:13" x14ac:dyDescent="0.25">
      <c r="A360" s="16">
        <v>313</v>
      </c>
      <c r="B360" s="6" t="s">
        <v>18</v>
      </c>
      <c r="C360" s="6" t="s">
        <v>39</v>
      </c>
      <c r="D360" s="6" t="s">
        <v>49</v>
      </c>
      <c r="E360" s="4" t="s">
        <v>13</v>
      </c>
      <c r="F360" s="3">
        <v>1165000000</v>
      </c>
      <c r="G360" s="11" t="s">
        <v>216</v>
      </c>
      <c r="H360" s="11" t="s">
        <v>215</v>
      </c>
      <c r="I360" s="4">
        <v>4</v>
      </c>
      <c r="K360" s="71">
        <v>4</v>
      </c>
      <c r="L360" t="s">
        <v>17</v>
      </c>
      <c r="M360" s="5">
        <f>K360/7</f>
        <v>0.5714285714285714</v>
      </c>
    </row>
    <row r="361" spans="1:13" x14ac:dyDescent="0.25">
      <c r="A361" s="125">
        <v>315</v>
      </c>
      <c r="B361" s="46" t="s">
        <v>18</v>
      </c>
      <c r="C361" s="46" t="s">
        <v>39</v>
      </c>
      <c r="D361" s="46" t="s">
        <v>49</v>
      </c>
      <c r="E361" s="4" t="s">
        <v>13</v>
      </c>
      <c r="F361" s="46">
        <v>43006000</v>
      </c>
      <c r="G361" t="s">
        <v>555</v>
      </c>
      <c r="H361" t="s">
        <v>504</v>
      </c>
      <c r="I361" s="4" t="s">
        <v>494</v>
      </c>
      <c r="J361" s="4" t="s">
        <v>523</v>
      </c>
      <c r="K361" s="71">
        <v>4</v>
      </c>
      <c r="L361" t="s">
        <v>17</v>
      </c>
      <c r="M361" s="5">
        <f>K361/7</f>
        <v>0.5714285714285714</v>
      </c>
    </row>
    <row r="362" spans="1:13" x14ac:dyDescent="0.25">
      <c r="A362" s="123">
        <v>316</v>
      </c>
      <c r="B362" s="76" t="s">
        <v>10</v>
      </c>
      <c r="C362" s="76" t="s">
        <v>76</v>
      </c>
      <c r="D362" s="76" t="s">
        <v>87</v>
      </c>
      <c r="E362" s="4" t="s">
        <v>13</v>
      </c>
      <c r="F362" s="76">
        <v>2890001000</v>
      </c>
      <c r="G362" t="s">
        <v>596</v>
      </c>
      <c r="H362" t="s">
        <v>883</v>
      </c>
      <c r="I362" s="4" t="s">
        <v>867</v>
      </c>
      <c r="J362" s="4" t="s">
        <v>871</v>
      </c>
      <c r="K362" s="71">
        <v>3</v>
      </c>
      <c r="L362" t="s">
        <v>537</v>
      </c>
      <c r="M362">
        <f>K362/15</f>
        <v>0.2</v>
      </c>
    </row>
    <row r="363" spans="1:13" x14ac:dyDescent="0.25">
      <c r="A363" s="16">
        <v>318</v>
      </c>
      <c r="B363" s="6" t="s">
        <v>10</v>
      </c>
      <c r="C363" s="6" t="s">
        <v>76</v>
      </c>
      <c r="D363" s="6" t="s">
        <v>87</v>
      </c>
      <c r="E363" s="4" t="s">
        <v>13</v>
      </c>
      <c r="F363" s="3">
        <v>66035000</v>
      </c>
      <c r="G363" s="11" t="s">
        <v>460</v>
      </c>
      <c r="H363" s="11" t="s">
        <v>459</v>
      </c>
      <c r="I363" s="4" t="s">
        <v>493</v>
      </c>
      <c r="J363" s="4" t="s">
        <v>492</v>
      </c>
      <c r="K363" s="71">
        <v>2</v>
      </c>
      <c r="L363" t="s">
        <v>37</v>
      </c>
      <c r="M363" s="5">
        <f>K363</f>
        <v>2</v>
      </c>
    </row>
    <row r="364" spans="1:13" x14ac:dyDescent="0.25">
      <c r="A364" s="126">
        <v>320</v>
      </c>
      <c r="B364" s="41" t="s">
        <v>18</v>
      </c>
      <c r="C364" s="41" t="s">
        <v>243</v>
      </c>
      <c r="E364" s="4" t="s">
        <v>13</v>
      </c>
      <c r="F364" s="11">
        <v>3127001000</v>
      </c>
      <c r="G364" s="11" t="s">
        <v>233</v>
      </c>
      <c r="H364" t="s">
        <v>227</v>
      </c>
      <c r="I364" s="4" t="s">
        <v>522</v>
      </c>
      <c r="J364" s="4" t="s">
        <v>522</v>
      </c>
      <c r="K364" s="71">
        <v>0</v>
      </c>
      <c r="L364" t="str">
        <f>J364</f>
        <v>Operativos</v>
      </c>
      <c r="M364" s="5">
        <v>0</v>
      </c>
    </row>
    <row r="365" spans="1:13" x14ac:dyDescent="0.25">
      <c r="A365" s="16">
        <v>324</v>
      </c>
      <c r="B365" s="6" t="s">
        <v>10</v>
      </c>
      <c r="C365" s="6" t="s">
        <v>22</v>
      </c>
      <c r="D365" s="6" t="s">
        <v>23</v>
      </c>
      <c r="E365" s="4" t="s">
        <v>13</v>
      </c>
      <c r="F365" s="3">
        <v>66011000</v>
      </c>
      <c r="G365" s="11" t="s">
        <v>440</v>
      </c>
      <c r="H365" s="11" t="s">
        <v>521</v>
      </c>
      <c r="I365" s="4">
        <v>1</v>
      </c>
      <c r="J365" s="4" t="s">
        <v>487</v>
      </c>
      <c r="K365" s="71">
        <v>1</v>
      </c>
      <c r="L365" t="s">
        <v>17</v>
      </c>
      <c r="M365" s="5">
        <f>K365/7</f>
        <v>0.14285714285714285</v>
      </c>
    </row>
    <row r="366" spans="1:13" x14ac:dyDescent="0.25">
      <c r="A366" s="100">
        <v>328</v>
      </c>
      <c r="B366" s="46" t="s">
        <v>10</v>
      </c>
      <c r="C366" s="46" t="s">
        <v>22</v>
      </c>
      <c r="D366" s="46" t="s">
        <v>23</v>
      </c>
      <c r="E366" s="4" t="s">
        <v>13</v>
      </c>
      <c r="F366" s="46">
        <v>1165005000</v>
      </c>
      <c r="G366" t="s">
        <v>598</v>
      </c>
      <c r="H366" t="s">
        <v>856</v>
      </c>
      <c r="M366"/>
    </row>
    <row r="367" spans="1:13" x14ac:dyDescent="0.25">
      <c r="A367" s="125">
        <v>330</v>
      </c>
      <c r="B367" s="46" t="s">
        <v>10</v>
      </c>
      <c r="C367" s="46" t="s">
        <v>22</v>
      </c>
      <c r="D367" s="46" t="s">
        <v>23</v>
      </c>
      <c r="E367" s="4" t="s">
        <v>13</v>
      </c>
      <c r="F367" s="46">
        <v>1165000000</v>
      </c>
      <c r="G367" t="s">
        <v>559</v>
      </c>
      <c r="H367" t="s">
        <v>856</v>
      </c>
      <c r="I367" s="4" t="s">
        <v>493</v>
      </c>
      <c r="J367" s="4" t="s">
        <v>523</v>
      </c>
      <c r="K367" s="71">
        <v>2</v>
      </c>
      <c r="L367" t="s">
        <v>17</v>
      </c>
      <c r="M367" s="5">
        <f>K367/7</f>
        <v>0.2857142857142857</v>
      </c>
    </row>
    <row r="368" spans="1:13" x14ac:dyDescent="0.25">
      <c r="A368" s="16">
        <v>332</v>
      </c>
      <c r="B368" s="3" t="s">
        <v>18</v>
      </c>
      <c r="C368" s="3" t="s">
        <v>11</v>
      </c>
      <c r="D368" s="3" t="s">
        <v>19</v>
      </c>
      <c r="E368" s="4" t="s">
        <v>13</v>
      </c>
      <c r="F368" s="3">
        <v>3265001000</v>
      </c>
      <c r="G368" t="s">
        <v>843</v>
      </c>
      <c r="H368" s="11" t="s">
        <v>842</v>
      </c>
      <c r="I368" s="4">
        <v>20</v>
      </c>
      <c r="J368" s="4" t="s">
        <v>75</v>
      </c>
      <c r="K368" s="71">
        <v>20</v>
      </c>
      <c r="L368" t="s">
        <v>21</v>
      </c>
      <c r="M368">
        <f>K368/30</f>
        <v>0.66666666666666663</v>
      </c>
    </row>
    <row r="369" spans="1:13" x14ac:dyDescent="0.25">
      <c r="A369" s="125">
        <v>333</v>
      </c>
      <c r="B369" s="46" t="s">
        <v>18</v>
      </c>
      <c r="C369" s="46" t="s">
        <v>11</v>
      </c>
      <c r="D369" s="46" t="s">
        <v>41</v>
      </c>
      <c r="E369" s="4" t="s">
        <v>13</v>
      </c>
      <c r="F369" s="35">
        <v>1014001</v>
      </c>
      <c r="G369" t="s">
        <v>543</v>
      </c>
      <c r="H369" s="4"/>
      <c r="J369" s="71"/>
      <c r="K369"/>
      <c r="L369" s="5"/>
      <c r="M369"/>
    </row>
    <row r="370" spans="1:13" x14ac:dyDescent="0.25">
      <c r="A370" s="16">
        <v>336</v>
      </c>
      <c r="B370" s="3" t="s">
        <v>18</v>
      </c>
      <c r="C370" s="3" t="s">
        <v>11</v>
      </c>
      <c r="D370" s="3" t="s">
        <v>19</v>
      </c>
      <c r="E370" s="4" t="s">
        <v>13</v>
      </c>
      <c r="F370" s="3">
        <v>1747001000</v>
      </c>
      <c r="G370" t="s">
        <v>852</v>
      </c>
      <c r="H370" s="11" t="s">
        <v>64</v>
      </c>
      <c r="I370" s="4">
        <v>40</v>
      </c>
      <c r="J370" s="4" t="s">
        <v>851</v>
      </c>
      <c r="K370" s="71">
        <v>40</v>
      </c>
      <c r="L370" t="s">
        <v>21</v>
      </c>
      <c r="M370">
        <f>K370/30</f>
        <v>1.3333333333333333</v>
      </c>
    </row>
    <row r="371" spans="1:13" x14ac:dyDescent="0.25">
      <c r="A371" s="146">
        <v>339</v>
      </c>
      <c r="B371" s="112" t="s">
        <v>18</v>
      </c>
      <c r="C371" s="39" t="s">
        <v>11</v>
      </c>
      <c r="D371" s="39" t="s">
        <v>19</v>
      </c>
      <c r="E371" s="7" t="s">
        <v>13</v>
      </c>
      <c r="F371" s="57">
        <v>3042004002</v>
      </c>
      <c r="G371" s="33" t="s">
        <v>248</v>
      </c>
      <c r="H371" s="33" t="s">
        <v>339</v>
      </c>
      <c r="I371" s="7" t="s">
        <v>249</v>
      </c>
      <c r="J371" s="7" t="s">
        <v>250</v>
      </c>
      <c r="K371" s="106">
        <v>15</v>
      </c>
      <c r="L371" s="8" t="s">
        <v>17</v>
      </c>
      <c r="M371" s="30">
        <f>K371/7</f>
        <v>2.1428571428571428</v>
      </c>
    </row>
    <row r="372" spans="1:13" x14ac:dyDescent="0.25">
      <c r="A372" s="145">
        <v>350</v>
      </c>
      <c r="B372" s="135" t="s">
        <v>10</v>
      </c>
      <c r="C372" s="40" t="s">
        <v>39</v>
      </c>
      <c r="D372" s="40">
        <v>2815</v>
      </c>
      <c r="E372" s="10" t="s">
        <v>13</v>
      </c>
      <c r="F372" s="61">
        <v>1000003</v>
      </c>
      <c r="G372" s="12" t="s">
        <v>167</v>
      </c>
      <c r="H372" s="9"/>
      <c r="I372" s="10"/>
      <c r="J372" s="10"/>
      <c r="K372" s="107">
        <v>0</v>
      </c>
      <c r="L372" s="9"/>
      <c r="M372" s="13"/>
    </row>
    <row r="373" spans="1:13" x14ac:dyDescent="0.25">
      <c r="A373" s="128">
        <v>360</v>
      </c>
      <c r="B373" s="44" t="s">
        <v>18</v>
      </c>
      <c r="C373" s="6" t="s">
        <v>11</v>
      </c>
      <c r="D373" s="6" t="s">
        <v>19</v>
      </c>
      <c r="E373" s="4" t="s">
        <v>13</v>
      </c>
      <c r="F373" s="3">
        <v>153002000</v>
      </c>
      <c r="G373" s="11" t="s">
        <v>497</v>
      </c>
      <c r="H373" s="11" t="s">
        <v>498</v>
      </c>
      <c r="I373" s="4">
        <v>10</v>
      </c>
      <c r="J373" s="4" t="s">
        <v>20</v>
      </c>
      <c r="K373" s="71">
        <f>I373</f>
        <v>10</v>
      </c>
      <c r="L373" t="s">
        <v>21</v>
      </c>
      <c r="M373" s="5">
        <f>K373/30</f>
        <v>0.33333333333333331</v>
      </c>
    </row>
    <row r="374" spans="1:13" x14ac:dyDescent="0.25">
      <c r="A374" s="128">
        <v>366</v>
      </c>
      <c r="B374" s="44" t="s">
        <v>18</v>
      </c>
      <c r="C374" s="6" t="s">
        <v>39</v>
      </c>
      <c r="D374" s="6" t="s">
        <v>40</v>
      </c>
      <c r="E374" s="4" t="s">
        <v>13</v>
      </c>
      <c r="F374" s="3">
        <v>1165000000</v>
      </c>
      <c r="G374" s="11" t="s">
        <v>216</v>
      </c>
      <c r="H374" s="11" t="s">
        <v>215</v>
      </c>
      <c r="I374" s="4">
        <v>4</v>
      </c>
      <c r="J374" s="4" t="s">
        <v>16</v>
      </c>
      <c r="K374" s="71">
        <v>4</v>
      </c>
      <c r="L374" t="s">
        <v>17</v>
      </c>
      <c r="M374" s="5">
        <f>K374/7</f>
        <v>0.5714285714285714</v>
      </c>
    </row>
    <row r="375" spans="1:13" x14ac:dyDescent="0.25">
      <c r="A375" s="128">
        <v>368</v>
      </c>
      <c r="B375" s="44" t="s">
        <v>18</v>
      </c>
      <c r="C375" s="6" t="s">
        <v>11</v>
      </c>
      <c r="D375" s="6" t="s">
        <v>19</v>
      </c>
      <c r="E375" s="4" t="s">
        <v>13</v>
      </c>
      <c r="F375" s="3">
        <v>1925011000</v>
      </c>
      <c r="G375" s="11" t="s">
        <v>474</v>
      </c>
      <c r="H375" s="11" t="s">
        <v>475</v>
      </c>
      <c r="I375" s="4" t="s">
        <v>232</v>
      </c>
      <c r="J375" s="4" t="s">
        <v>492</v>
      </c>
      <c r="K375" s="71">
        <v>1</v>
      </c>
      <c r="L375" t="s">
        <v>37</v>
      </c>
      <c r="M375" s="5">
        <f>K375</f>
        <v>1</v>
      </c>
    </row>
    <row r="376" spans="1:13" x14ac:dyDescent="0.25">
      <c r="A376" s="129">
        <v>369</v>
      </c>
      <c r="B376" s="83" t="s">
        <v>18</v>
      </c>
      <c r="C376" s="46" t="s">
        <v>11</v>
      </c>
      <c r="D376" s="46" t="s">
        <v>19</v>
      </c>
      <c r="E376" s="4" t="s">
        <v>13</v>
      </c>
      <c r="F376" s="46">
        <v>1165000000</v>
      </c>
      <c r="G376" t="s">
        <v>559</v>
      </c>
      <c r="H376" t="s">
        <v>856</v>
      </c>
      <c r="I376" s="4" t="s">
        <v>494</v>
      </c>
      <c r="J376" s="4" t="s">
        <v>523</v>
      </c>
      <c r="K376" s="71">
        <v>4</v>
      </c>
      <c r="L376" t="s">
        <v>17</v>
      </c>
      <c r="M376" s="5">
        <f>K376/7</f>
        <v>0.5714285714285714</v>
      </c>
    </row>
    <row r="377" spans="1:13" x14ac:dyDescent="0.25">
      <c r="A377" s="125">
        <v>371</v>
      </c>
      <c r="B377" s="46" t="s">
        <v>10</v>
      </c>
      <c r="C377" s="46" t="s">
        <v>76</v>
      </c>
      <c r="D377" s="46" t="s">
        <v>87</v>
      </c>
      <c r="E377" s="4" t="s">
        <v>13</v>
      </c>
      <c r="F377" s="35">
        <v>1014002</v>
      </c>
      <c r="G377" t="s">
        <v>564</v>
      </c>
      <c r="H377" s="4"/>
      <c r="J377" s="71"/>
      <c r="K377"/>
      <c r="L377" s="5"/>
      <c r="M377"/>
    </row>
    <row r="378" spans="1:13" x14ac:dyDescent="0.25">
      <c r="A378" s="134">
        <v>372</v>
      </c>
      <c r="B378" s="83" t="s">
        <v>10</v>
      </c>
      <c r="C378" s="46" t="s">
        <v>11</v>
      </c>
      <c r="D378" s="46" t="s">
        <v>26</v>
      </c>
      <c r="E378" s="4" t="s">
        <v>13</v>
      </c>
      <c r="F378" s="46">
        <v>1165003000</v>
      </c>
      <c r="G378" t="s">
        <v>604</v>
      </c>
      <c r="H378" t="s">
        <v>856</v>
      </c>
      <c r="I378" s="24"/>
      <c r="J378" s="25"/>
      <c r="M378"/>
    </row>
    <row r="379" spans="1:13" x14ac:dyDescent="0.25">
      <c r="A379" s="128">
        <v>374</v>
      </c>
      <c r="B379" s="44" t="s">
        <v>10</v>
      </c>
      <c r="C379" s="6" t="s">
        <v>11</v>
      </c>
      <c r="D379" s="6" t="s">
        <v>26</v>
      </c>
      <c r="E379" s="4" t="s">
        <v>13</v>
      </c>
      <c r="F379" s="3">
        <v>1967003000</v>
      </c>
      <c r="G379" s="11" t="s">
        <v>114</v>
      </c>
      <c r="H379" s="11" t="s">
        <v>64</v>
      </c>
      <c r="I379" s="4">
        <v>20</v>
      </c>
      <c r="J379" s="4" t="s">
        <v>75</v>
      </c>
      <c r="K379" s="71">
        <v>20</v>
      </c>
      <c r="L379" t="s">
        <v>21</v>
      </c>
      <c r="M379" s="5">
        <f>K379/30</f>
        <v>0.66666666666666663</v>
      </c>
    </row>
    <row r="380" spans="1:13" x14ac:dyDescent="0.25">
      <c r="A380" s="16">
        <v>375</v>
      </c>
      <c r="B380" s="6" t="s">
        <v>18</v>
      </c>
      <c r="C380" s="6" t="s">
        <v>11</v>
      </c>
      <c r="D380" s="6" t="s">
        <v>19</v>
      </c>
      <c r="E380" s="4" t="s">
        <v>13</v>
      </c>
      <c r="F380" s="46">
        <v>1014001</v>
      </c>
      <c r="G380" s="11" t="s">
        <v>543</v>
      </c>
    </row>
    <row r="381" spans="1:13" x14ac:dyDescent="0.25">
      <c r="A381" s="16">
        <v>376</v>
      </c>
      <c r="B381" s="6" t="s">
        <v>18</v>
      </c>
      <c r="C381" s="6" t="s">
        <v>11</v>
      </c>
      <c r="D381" s="6" t="s">
        <v>461</v>
      </c>
      <c r="E381" s="4" t="s">
        <v>13</v>
      </c>
      <c r="F381" s="3">
        <v>3207002000</v>
      </c>
      <c r="G381" s="11" t="s">
        <v>458</v>
      </c>
      <c r="H381" s="11" t="s">
        <v>459</v>
      </c>
      <c r="I381" s="4" t="s">
        <v>239</v>
      </c>
      <c r="J381" s="4" t="s">
        <v>235</v>
      </c>
      <c r="K381" s="71">
        <v>2</v>
      </c>
      <c r="L381" t="s">
        <v>17</v>
      </c>
      <c r="M381" s="5">
        <f>K381/7</f>
        <v>0.2857142857142857</v>
      </c>
    </row>
    <row r="382" spans="1:13" x14ac:dyDescent="0.25">
      <c r="A382" s="16">
        <v>379</v>
      </c>
      <c r="B382" s="6" t="s">
        <v>18</v>
      </c>
      <c r="C382" s="6" t="s">
        <v>11</v>
      </c>
      <c r="D382" s="6" t="s">
        <v>19</v>
      </c>
      <c r="E382" s="4" t="s">
        <v>13</v>
      </c>
      <c r="F382" s="3">
        <v>2789002000</v>
      </c>
      <c r="G382" s="11" t="s">
        <v>366</v>
      </c>
      <c r="H382" s="11" t="s">
        <v>350</v>
      </c>
      <c r="I382" s="4" t="s">
        <v>296</v>
      </c>
      <c r="J382" s="4" t="s">
        <v>352</v>
      </c>
      <c r="K382" s="105">
        <f>40/60</f>
        <v>0.66666666666666663</v>
      </c>
      <c r="L382" t="s">
        <v>17</v>
      </c>
      <c r="M382" s="5">
        <f>K382/7</f>
        <v>9.5238095238095233E-2</v>
      </c>
    </row>
    <row r="383" spans="1:13" x14ac:dyDescent="0.25">
      <c r="A383" s="128">
        <v>381</v>
      </c>
      <c r="B383" s="44" t="s">
        <v>18</v>
      </c>
      <c r="C383" s="6" t="s">
        <v>39</v>
      </c>
      <c r="D383" s="6" t="s">
        <v>40</v>
      </c>
      <c r="E383" s="4" t="s">
        <v>13</v>
      </c>
      <c r="F383" s="3">
        <v>66034000</v>
      </c>
      <c r="G383" s="11" t="s">
        <v>171</v>
      </c>
      <c r="H383" s="11" t="s">
        <v>337</v>
      </c>
      <c r="I383" s="24" t="s">
        <v>144</v>
      </c>
      <c r="J383" s="25" t="s">
        <v>143</v>
      </c>
      <c r="K383" s="71">
        <v>1</v>
      </c>
      <c r="L383" t="s">
        <v>37</v>
      </c>
      <c r="M383" s="5">
        <f>K383</f>
        <v>1</v>
      </c>
    </row>
    <row r="384" spans="1:13" x14ac:dyDescent="0.25">
      <c r="A384" s="130">
        <v>382</v>
      </c>
      <c r="B384" s="84" t="s">
        <v>18</v>
      </c>
      <c r="C384" s="42" t="s">
        <v>39</v>
      </c>
      <c r="D384" s="42" t="s">
        <v>49</v>
      </c>
      <c r="E384" s="18" t="s">
        <v>13</v>
      </c>
      <c r="F384" s="60">
        <v>3234014000</v>
      </c>
      <c r="G384" s="31" t="s">
        <v>605</v>
      </c>
      <c r="H384" s="31" t="s">
        <v>227</v>
      </c>
      <c r="I384" s="18" t="s">
        <v>35</v>
      </c>
      <c r="J384" s="18" t="s">
        <v>228</v>
      </c>
      <c r="K384" s="71">
        <v>2</v>
      </c>
      <c r="L384" t="s">
        <v>17</v>
      </c>
      <c r="M384" s="5">
        <f>K384/7</f>
        <v>0.2857142857142857</v>
      </c>
    </row>
    <row r="385" spans="1:13" x14ac:dyDescent="0.25">
      <c r="A385" s="128">
        <v>385</v>
      </c>
      <c r="B385" s="44" t="s">
        <v>10</v>
      </c>
      <c r="C385" s="6" t="s">
        <v>11</v>
      </c>
      <c r="D385" s="6" t="s">
        <v>26</v>
      </c>
      <c r="E385" s="4" t="s">
        <v>13</v>
      </c>
      <c r="F385" s="3">
        <v>3042036001</v>
      </c>
      <c r="G385" s="11" t="s">
        <v>156</v>
      </c>
      <c r="H385" s="11" t="s">
        <v>337</v>
      </c>
      <c r="I385" s="15" t="s">
        <v>138</v>
      </c>
      <c r="J385" s="15" t="s">
        <v>139</v>
      </c>
      <c r="K385" s="71">
        <v>2</v>
      </c>
      <c r="L385" t="s">
        <v>17</v>
      </c>
      <c r="M385" s="5">
        <f>K385/7</f>
        <v>0.2857142857142857</v>
      </c>
    </row>
    <row r="386" spans="1:13" x14ac:dyDescent="0.25">
      <c r="A386" s="100">
        <v>388</v>
      </c>
      <c r="B386" s="46" t="s">
        <v>10</v>
      </c>
      <c r="C386" s="46" t="s">
        <v>22</v>
      </c>
      <c r="D386" s="46" t="s">
        <v>23</v>
      </c>
      <c r="E386" s="4" t="s">
        <v>13</v>
      </c>
      <c r="F386" s="46">
        <v>1165067000</v>
      </c>
      <c r="G386" t="s">
        <v>606</v>
      </c>
      <c r="H386" t="s">
        <v>856</v>
      </c>
      <c r="M386"/>
    </row>
    <row r="387" spans="1:13" x14ac:dyDescent="0.25">
      <c r="A387" s="129">
        <v>394</v>
      </c>
      <c r="B387" s="83" t="s">
        <v>10</v>
      </c>
      <c r="C387" s="46" t="s">
        <v>39</v>
      </c>
      <c r="D387" s="46">
        <v>2812</v>
      </c>
      <c r="E387" s="4" t="s">
        <v>13</v>
      </c>
      <c r="F387" s="35">
        <v>1014001</v>
      </c>
      <c r="G387" t="s">
        <v>543</v>
      </c>
      <c r="H387" s="4"/>
      <c r="J387" s="71"/>
      <c r="K387"/>
      <c r="L387" s="5"/>
      <c r="M387"/>
    </row>
    <row r="388" spans="1:13" x14ac:dyDescent="0.25">
      <c r="A388" s="128">
        <v>395</v>
      </c>
      <c r="B388" s="82" t="s">
        <v>10</v>
      </c>
      <c r="C388" s="3" t="s">
        <v>22</v>
      </c>
      <c r="D388" s="3" t="s">
        <v>23</v>
      </c>
      <c r="E388" s="4" t="s">
        <v>13</v>
      </c>
      <c r="F388" s="3">
        <v>211002000</v>
      </c>
      <c r="G388" s="11" t="s">
        <v>209</v>
      </c>
      <c r="H388" s="11" t="s">
        <v>829</v>
      </c>
      <c r="I388" s="4">
        <v>6</v>
      </c>
      <c r="J388" s="4" t="s">
        <v>836</v>
      </c>
      <c r="K388" s="71">
        <v>6</v>
      </c>
      <c r="L388" t="s">
        <v>21</v>
      </c>
      <c r="M388" s="5">
        <f>K388/30</f>
        <v>0.2</v>
      </c>
    </row>
    <row r="389" spans="1:13" x14ac:dyDescent="0.25">
      <c r="A389" s="128">
        <v>397</v>
      </c>
      <c r="B389" s="44" t="s">
        <v>10</v>
      </c>
      <c r="C389" s="6" t="s">
        <v>22</v>
      </c>
      <c r="D389" s="6" t="s">
        <v>23</v>
      </c>
      <c r="E389" s="4" t="s">
        <v>13</v>
      </c>
      <c r="F389" s="11">
        <v>3200001000</v>
      </c>
      <c r="G389" s="32" t="s">
        <v>518</v>
      </c>
      <c r="H389" s="11" t="s">
        <v>519</v>
      </c>
      <c r="I389" s="4">
        <v>6</v>
      </c>
      <c r="J389" s="4" t="s">
        <v>118</v>
      </c>
      <c r="K389" s="71">
        <v>6</v>
      </c>
      <c r="L389" t="s">
        <v>21</v>
      </c>
      <c r="M389" s="5">
        <f>K389/30</f>
        <v>0.2</v>
      </c>
    </row>
    <row r="390" spans="1:13" x14ac:dyDescent="0.25">
      <c r="A390" s="128">
        <v>398</v>
      </c>
      <c r="B390" s="44" t="s">
        <v>18</v>
      </c>
      <c r="C390" s="6" t="s">
        <v>11</v>
      </c>
      <c r="D390" s="6" t="s">
        <v>19</v>
      </c>
      <c r="E390" s="4" t="s">
        <v>13</v>
      </c>
      <c r="F390" s="3">
        <v>2558002000</v>
      </c>
      <c r="G390" s="11" t="s">
        <v>94</v>
      </c>
      <c r="H390" s="11" t="s">
        <v>64</v>
      </c>
      <c r="I390" s="26">
        <v>10</v>
      </c>
      <c r="J390" s="26" t="s">
        <v>95</v>
      </c>
      <c r="K390" s="71">
        <v>10</v>
      </c>
      <c r="L390" t="s">
        <v>21</v>
      </c>
      <c r="M390" s="5">
        <f>K390/30</f>
        <v>0.33333333333333331</v>
      </c>
    </row>
    <row r="391" spans="1:13" x14ac:dyDescent="0.25">
      <c r="A391" s="128">
        <v>399</v>
      </c>
      <c r="B391" s="44" t="s">
        <v>18</v>
      </c>
      <c r="C391" s="6" t="s">
        <v>39</v>
      </c>
      <c r="D391" s="6" t="s">
        <v>40</v>
      </c>
      <c r="E391" s="4" t="s">
        <v>13</v>
      </c>
      <c r="F391" s="3">
        <v>3042095001</v>
      </c>
      <c r="G391" s="11" t="s">
        <v>409</v>
      </c>
      <c r="H391" s="11" t="s">
        <v>407</v>
      </c>
      <c r="I391" s="4" t="s">
        <v>280</v>
      </c>
      <c r="J391" s="4" t="s">
        <v>352</v>
      </c>
      <c r="K391" s="71">
        <v>2</v>
      </c>
      <c r="L391" t="s">
        <v>17</v>
      </c>
      <c r="M391" s="5">
        <f>K391/7</f>
        <v>0.2857142857142857</v>
      </c>
    </row>
    <row r="392" spans="1:13" x14ac:dyDescent="0.25">
      <c r="A392" s="129">
        <v>400</v>
      </c>
      <c r="B392" s="83" t="s">
        <v>18</v>
      </c>
      <c r="C392" s="46" t="s">
        <v>39</v>
      </c>
      <c r="D392" s="46" t="s">
        <v>19</v>
      </c>
      <c r="E392" s="4" t="s">
        <v>13</v>
      </c>
      <c r="F392" s="35">
        <v>1014001</v>
      </c>
      <c r="G392" t="s">
        <v>543</v>
      </c>
      <c r="H392" s="4"/>
      <c r="J392" s="71"/>
      <c r="K392"/>
      <c r="L392" s="5"/>
      <c r="M392"/>
    </row>
    <row r="393" spans="1:13" x14ac:dyDescent="0.25">
      <c r="A393" s="128">
        <v>404</v>
      </c>
      <c r="B393" s="44" t="s">
        <v>10</v>
      </c>
      <c r="C393" s="6" t="s">
        <v>22</v>
      </c>
      <c r="D393" s="6" t="s">
        <v>23</v>
      </c>
      <c r="E393" s="4" t="s">
        <v>13</v>
      </c>
      <c r="F393" s="3">
        <v>2548095000</v>
      </c>
      <c r="G393" s="11" t="s">
        <v>368</v>
      </c>
      <c r="H393" s="11" t="s">
        <v>350</v>
      </c>
      <c r="I393" s="4" t="s">
        <v>369</v>
      </c>
      <c r="J393" s="4" t="s">
        <v>353</v>
      </c>
      <c r="K393" s="105">
        <f>40/60</f>
        <v>0.66666666666666663</v>
      </c>
      <c r="L393" t="s">
        <v>17</v>
      </c>
      <c r="M393" s="5">
        <f>K393/7</f>
        <v>9.5238095238095233E-2</v>
      </c>
    </row>
    <row r="394" spans="1:13" x14ac:dyDescent="0.25">
      <c r="A394" s="16">
        <v>408</v>
      </c>
      <c r="B394" s="6" t="s">
        <v>70</v>
      </c>
      <c r="C394" s="6" t="s">
        <v>39</v>
      </c>
      <c r="D394" s="6" t="s">
        <v>40</v>
      </c>
      <c r="E394" s="4" t="s">
        <v>13</v>
      </c>
      <c r="F394" s="3">
        <v>3288001000</v>
      </c>
      <c r="G394" s="11" t="s">
        <v>117</v>
      </c>
      <c r="H394" s="11" t="s">
        <v>64</v>
      </c>
      <c r="I394" s="4">
        <v>10</v>
      </c>
      <c r="J394" s="4" t="s">
        <v>103</v>
      </c>
      <c r="K394" s="71">
        <v>10</v>
      </c>
      <c r="L394" t="s">
        <v>21</v>
      </c>
      <c r="M394" s="5">
        <f>K394/30</f>
        <v>0.33333333333333331</v>
      </c>
    </row>
    <row r="395" spans="1:13" x14ac:dyDescent="0.25">
      <c r="A395" s="128">
        <v>410</v>
      </c>
      <c r="B395" s="44" t="s">
        <v>10</v>
      </c>
      <c r="C395" s="6" t="s">
        <v>76</v>
      </c>
      <c r="D395" s="6" t="s">
        <v>87</v>
      </c>
      <c r="E395" s="4" t="s">
        <v>13</v>
      </c>
      <c r="F395" s="3">
        <v>3116001000</v>
      </c>
      <c r="G395" s="11" t="s">
        <v>96</v>
      </c>
      <c r="H395" s="11" t="s">
        <v>64</v>
      </c>
      <c r="I395" s="4">
        <v>60</v>
      </c>
      <c r="J395" s="4" t="s">
        <v>91</v>
      </c>
      <c r="K395" s="71">
        <v>60</v>
      </c>
      <c r="L395" t="s">
        <v>21</v>
      </c>
      <c r="M395" s="5">
        <f>K395/30</f>
        <v>2</v>
      </c>
    </row>
    <row r="396" spans="1:13" x14ac:dyDescent="0.25">
      <c r="A396" s="129">
        <v>411</v>
      </c>
      <c r="B396" s="83" t="s">
        <v>10</v>
      </c>
      <c r="C396" s="46" t="s">
        <v>22</v>
      </c>
      <c r="D396" s="46" t="s">
        <v>23</v>
      </c>
      <c r="E396" s="4" t="s">
        <v>13</v>
      </c>
      <c r="F396" s="46">
        <v>1068016000</v>
      </c>
      <c r="G396" t="s">
        <v>608</v>
      </c>
      <c r="H396" t="s">
        <v>857</v>
      </c>
      <c r="I396" s="4" t="s">
        <v>239</v>
      </c>
      <c r="J396" s="4" t="s">
        <v>523</v>
      </c>
      <c r="K396" s="71">
        <v>1</v>
      </c>
      <c r="L396" t="s">
        <v>17</v>
      </c>
      <c r="M396" s="5">
        <f>K396/7</f>
        <v>0.14285714285714285</v>
      </c>
    </row>
    <row r="397" spans="1:13" x14ac:dyDescent="0.25">
      <c r="A397" s="128">
        <v>412</v>
      </c>
      <c r="B397" s="136" t="s">
        <v>10</v>
      </c>
      <c r="C397" s="69" t="s">
        <v>11</v>
      </c>
      <c r="D397" s="67"/>
      <c r="E397" s="15" t="s">
        <v>13</v>
      </c>
      <c r="F397" s="69">
        <v>371001000</v>
      </c>
      <c r="G397" s="70" t="s">
        <v>837</v>
      </c>
      <c r="H397" s="70" t="s">
        <v>829</v>
      </c>
      <c r="I397" s="4" t="s">
        <v>880</v>
      </c>
      <c r="J397" s="15" t="s">
        <v>79</v>
      </c>
      <c r="K397" s="71">
        <v>12</v>
      </c>
      <c r="L397" t="s">
        <v>21</v>
      </c>
      <c r="M397" s="5">
        <f>K397/30</f>
        <v>0.4</v>
      </c>
    </row>
    <row r="398" spans="1:13" x14ac:dyDescent="0.25">
      <c r="A398" s="128">
        <v>413</v>
      </c>
      <c r="B398" s="44" t="s">
        <v>10</v>
      </c>
      <c r="C398" s="6" t="s">
        <v>22</v>
      </c>
      <c r="D398" s="6" t="s">
        <v>23</v>
      </c>
      <c r="E398" s="4" t="s">
        <v>13</v>
      </c>
      <c r="F398" s="3">
        <v>3328001000</v>
      </c>
      <c r="G398" s="11" t="s">
        <v>429</v>
      </c>
      <c r="H398" s="11" t="s">
        <v>428</v>
      </c>
      <c r="I398" s="4" t="s">
        <v>290</v>
      </c>
      <c r="J398" s="4" t="s">
        <v>316</v>
      </c>
      <c r="K398" s="71">
        <v>1</v>
      </c>
      <c r="L398" t="s">
        <v>37</v>
      </c>
      <c r="M398" s="5">
        <f>K398</f>
        <v>1</v>
      </c>
    </row>
    <row r="399" spans="1:13" x14ac:dyDescent="0.25">
      <c r="A399" s="128">
        <v>415</v>
      </c>
      <c r="B399" s="44" t="s">
        <v>70</v>
      </c>
      <c r="C399" s="6" t="s">
        <v>11</v>
      </c>
      <c r="D399" s="6" t="s">
        <v>19</v>
      </c>
      <c r="E399" s="4" t="s">
        <v>13</v>
      </c>
      <c r="F399" s="3">
        <v>3288001000</v>
      </c>
      <c r="G399" s="11" t="s">
        <v>117</v>
      </c>
      <c r="H399" s="113" t="s">
        <v>64</v>
      </c>
      <c r="I399" s="4">
        <v>10</v>
      </c>
      <c r="J399" s="4" t="s">
        <v>103</v>
      </c>
      <c r="K399" s="71">
        <v>10</v>
      </c>
      <c r="L399" t="s">
        <v>21</v>
      </c>
      <c r="M399" s="5">
        <f>K399/30</f>
        <v>0.33333333333333331</v>
      </c>
    </row>
    <row r="400" spans="1:13" x14ac:dyDescent="0.25">
      <c r="A400" s="128">
        <v>416</v>
      </c>
      <c r="B400" s="44" t="s">
        <v>18</v>
      </c>
      <c r="C400" s="6" t="s">
        <v>39</v>
      </c>
      <c r="D400" s="6" t="s">
        <v>40</v>
      </c>
      <c r="E400" s="4" t="s">
        <v>13</v>
      </c>
      <c r="F400" s="3">
        <v>3317001000</v>
      </c>
      <c r="G400" s="11" t="s">
        <v>193</v>
      </c>
      <c r="H400" s="11" t="s">
        <v>337</v>
      </c>
      <c r="I400" s="4" t="s">
        <v>138</v>
      </c>
      <c r="J400" s="26" t="s">
        <v>139</v>
      </c>
      <c r="K400" s="71">
        <v>2</v>
      </c>
      <c r="L400" t="s">
        <v>17</v>
      </c>
      <c r="M400" s="5">
        <f>K400/7</f>
        <v>0.2857142857142857</v>
      </c>
    </row>
    <row r="401" spans="1:13" x14ac:dyDescent="0.25">
      <c r="A401" s="129">
        <v>420</v>
      </c>
      <c r="B401" s="83" t="s">
        <v>10</v>
      </c>
      <c r="C401" s="46" t="s">
        <v>11</v>
      </c>
      <c r="D401" s="46" t="s">
        <v>26</v>
      </c>
      <c r="E401" s="4" t="s">
        <v>13</v>
      </c>
      <c r="F401" s="46">
        <v>3042119000</v>
      </c>
      <c r="G401" t="s">
        <v>610</v>
      </c>
      <c r="H401" t="s">
        <v>857</v>
      </c>
      <c r="I401" s="4" t="s">
        <v>234</v>
      </c>
      <c r="J401" s="4" t="s">
        <v>235</v>
      </c>
      <c r="K401" s="71">
        <f>(40*2)/60</f>
        <v>1.3333333333333333</v>
      </c>
      <c r="L401" t="s">
        <v>17</v>
      </c>
      <c r="M401" s="5">
        <f>K401/7</f>
        <v>0.19047619047619047</v>
      </c>
    </row>
    <row r="402" spans="1:13" x14ac:dyDescent="0.25">
      <c r="A402" s="130">
        <v>421</v>
      </c>
      <c r="B402" s="111" t="s">
        <v>240</v>
      </c>
      <c r="C402" s="41" t="s">
        <v>11</v>
      </c>
      <c r="E402" s="4" t="s">
        <v>13</v>
      </c>
      <c r="F402" s="11">
        <v>119001000</v>
      </c>
      <c r="G402" s="11" t="s">
        <v>241</v>
      </c>
      <c r="H402" s="11" t="s">
        <v>227</v>
      </c>
      <c r="I402" s="4" t="s">
        <v>242</v>
      </c>
      <c r="J402" s="4" t="s">
        <v>21</v>
      </c>
      <c r="K402" s="71">
        <v>1</v>
      </c>
      <c r="L402" t="s">
        <v>21</v>
      </c>
      <c r="M402" s="5">
        <f>K402/30</f>
        <v>3.3333333333333333E-2</v>
      </c>
    </row>
    <row r="403" spans="1:13" x14ac:dyDescent="0.25">
      <c r="A403" s="129">
        <v>421</v>
      </c>
      <c r="B403" s="83" t="s">
        <v>10</v>
      </c>
      <c r="C403" s="46" t="s">
        <v>39</v>
      </c>
      <c r="D403" s="46">
        <v>2812</v>
      </c>
      <c r="E403" s="4" t="s">
        <v>13</v>
      </c>
      <c r="F403" s="46">
        <v>1068013000</v>
      </c>
      <c r="G403" t="s">
        <v>611</v>
      </c>
      <c r="H403" t="s">
        <v>857</v>
      </c>
      <c r="I403" s="4" t="s">
        <v>239</v>
      </c>
      <c r="J403" s="4" t="s">
        <v>858</v>
      </c>
      <c r="K403" s="71">
        <v>1</v>
      </c>
      <c r="L403" t="s">
        <v>21</v>
      </c>
      <c r="M403" s="5">
        <f>K403</f>
        <v>1</v>
      </c>
    </row>
    <row r="404" spans="1:13" x14ac:dyDescent="0.25">
      <c r="A404" s="128">
        <v>423</v>
      </c>
      <c r="B404" s="44" t="s">
        <v>18</v>
      </c>
      <c r="C404" s="6" t="s">
        <v>11</v>
      </c>
      <c r="D404" s="6" t="s">
        <v>19</v>
      </c>
      <c r="E404" s="4" t="s">
        <v>13</v>
      </c>
      <c r="F404" s="3">
        <v>1165000000</v>
      </c>
      <c r="G404" s="11" t="s">
        <v>216</v>
      </c>
      <c r="H404" s="11" t="s">
        <v>215</v>
      </c>
      <c r="I404" s="4">
        <v>4</v>
      </c>
      <c r="J404" s="4" t="s">
        <v>16</v>
      </c>
      <c r="K404" s="71">
        <v>4</v>
      </c>
      <c r="L404" t="s">
        <v>17</v>
      </c>
      <c r="M404" s="5">
        <f>K404/7</f>
        <v>0.5714285714285714</v>
      </c>
    </row>
    <row r="405" spans="1:13" x14ac:dyDescent="0.25">
      <c r="A405" s="130">
        <v>426</v>
      </c>
      <c r="B405" s="111" t="s">
        <v>70</v>
      </c>
      <c r="C405" s="41" t="s">
        <v>11</v>
      </c>
      <c r="D405" s="41" t="s">
        <v>19</v>
      </c>
      <c r="E405" s="4" t="s">
        <v>13</v>
      </c>
      <c r="F405" s="56">
        <v>66031000</v>
      </c>
      <c r="G405" s="11" t="s">
        <v>500</v>
      </c>
      <c r="H405" s="11" t="s">
        <v>498</v>
      </c>
      <c r="I405" s="4" t="s">
        <v>547</v>
      </c>
      <c r="J405" s="4" t="s">
        <v>21</v>
      </c>
      <c r="K405" s="71">
        <v>16</v>
      </c>
      <c r="L405" t="s">
        <v>21</v>
      </c>
      <c r="M405">
        <f>K405/30</f>
        <v>0.53333333333333333</v>
      </c>
    </row>
    <row r="406" spans="1:13" x14ac:dyDescent="0.25">
      <c r="A406" s="128">
        <v>428</v>
      </c>
      <c r="B406" s="44" t="s">
        <v>18</v>
      </c>
      <c r="C406" s="6" t="s">
        <v>39</v>
      </c>
      <c r="D406" s="6" t="s">
        <v>40</v>
      </c>
      <c r="E406" s="4" t="s">
        <v>13</v>
      </c>
      <c r="F406" s="3">
        <v>193012000</v>
      </c>
      <c r="G406" s="11" t="s">
        <v>34</v>
      </c>
      <c r="H406" s="11" t="s">
        <v>339</v>
      </c>
      <c r="I406" s="4" t="s">
        <v>38</v>
      </c>
      <c r="J406" s="4" t="s">
        <v>36</v>
      </c>
      <c r="K406" s="71">
        <v>3</v>
      </c>
      <c r="L406" t="s">
        <v>37</v>
      </c>
      <c r="M406" s="5">
        <f>K406</f>
        <v>3</v>
      </c>
    </row>
    <row r="407" spans="1:13" x14ac:dyDescent="0.25">
      <c r="A407" s="131">
        <v>433</v>
      </c>
      <c r="B407" s="85" t="s">
        <v>18</v>
      </c>
      <c r="C407" s="76" t="s">
        <v>39</v>
      </c>
      <c r="D407" s="76" t="s">
        <v>40</v>
      </c>
      <c r="E407" s="4" t="s">
        <v>13</v>
      </c>
      <c r="F407" s="76">
        <v>2916001000</v>
      </c>
      <c r="G407" t="s">
        <v>612</v>
      </c>
      <c r="H407" t="s">
        <v>380</v>
      </c>
      <c r="I407" s="4" t="s">
        <v>867</v>
      </c>
      <c r="J407" s="4" t="s">
        <v>523</v>
      </c>
      <c r="K407" s="71">
        <v>3</v>
      </c>
      <c r="L407" t="s">
        <v>17</v>
      </c>
      <c r="M407">
        <f>K407/7</f>
        <v>0.42857142857142855</v>
      </c>
    </row>
    <row r="408" spans="1:13" x14ac:dyDescent="0.25">
      <c r="A408" s="131">
        <v>435</v>
      </c>
      <c r="B408" s="85" t="s">
        <v>10</v>
      </c>
      <c r="C408" s="76" t="s">
        <v>11</v>
      </c>
      <c r="D408" s="76" t="s">
        <v>26</v>
      </c>
      <c r="E408" s="4" t="s">
        <v>13</v>
      </c>
      <c r="F408" s="76">
        <v>3219002000</v>
      </c>
      <c r="G408" t="s">
        <v>613</v>
      </c>
      <c r="H408" t="s">
        <v>884</v>
      </c>
      <c r="I408" s="4" t="s">
        <v>866</v>
      </c>
      <c r="J408" s="4" t="s">
        <v>492</v>
      </c>
      <c r="K408" s="71">
        <v>0.5</v>
      </c>
      <c r="L408" t="s">
        <v>37</v>
      </c>
      <c r="M408">
        <f>K408</f>
        <v>0.5</v>
      </c>
    </row>
    <row r="409" spans="1:13" x14ac:dyDescent="0.25">
      <c r="A409" s="128">
        <v>436</v>
      </c>
      <c r="B409" s="44" t="s">
        <v>10</v>
      </c>
      <c r="C409" s="6" t="s">
        <v>39</v>
      </c>
      <c r="D409" s="6">
        <v>2812</v>
      </c>
      <c r="E409" s="4" t="s">
        <v>13</v>
      </c>
      <c r="F409" s="3">
        <v>1165000000</v>
      </c>
      <c r="G409" s="11" t="s">
        <v>216</v>
      </c>
      <c r="H409" s="11" t="s">
        <v>215</v>
      </c>
      <c r="I409" s="4">
        <v>3</v>
      </c>
      <c r="J409" s="4" t="s">
        <v>16</v>
      </c>
      <c r="K409" s="71">
        <v>3</v>
      </c>
      <c r="L409" t="s">
        <v>17</v>
      </c>
      <c r="M409" s="5">
        <f>K409/7</f>
        <v>0.42857142857142855</v>
      </c>
    </row>
    <row r="410" spans="1:13" x14ac:dyDescent="0.25">
      <c r="A410" s="129">
        <v>437</v>
      </c>
      <c r="B410" s="83" t="s">
        <v>18</v>
      </c>
      <c r="C410" s="46" t="s">
        <v>11</v>
      </c>
      <c r="D410" s="46" t="s">
        <v>19</v>
      </c>
      <c r="E410" s="4" t="s">
        <v>13</v>
      </c>
      <c r="F410" s="35">
        <v>1014002</v>
      </c>
      <c r="G410" t="s">
        <v>564</v>
      </c>
      <c r="H410" s="4"/>
      <c r="J410" s="71"/>
      <c r="K410"/>
      <c r="L410" s="5"/>
      <c r="M410"/>
    </row>
    <row r="411" spans="1:13" x14ac:dyDescent="0.25">
      <c r="A411" s="128">
        <v>438</v>
      </c>
      <c r="B411" s="44" t="s">
        <v>10</v>
      </c>
      <c r="C411" s="6" t="s">
        <v>22</v>
      </c>
      <c r="D411" s="6" t="s">
        <v>23</v>
      </c>
      <c r="E411" s="4" t="s">
        <v>13</v>
      </c>
      <c r="F411" s="3">
        <v>3207001000</v>
      </c>
      <c r="G411" s="11" t="s">
        <v>190</v>
      </c>
      <c r="H411" s="11" t="s">
        <v>337</v>
      </c>
      <c r="I411" s="4" t="s">
        <v>144</v>
      </c>
      <c r="J411" s="4" t="s">
        <v>139</v>
      </c>
      <c r="K411" s="71">
        <v>2</v>
      </c>
      <c r="L411" t="s">
        <v>17</v>
      </c>
      <c r="M411" s="5">
        <f>K411/7</f>
        <v>0.2857142857142857</v>
      </c>
    </row>
    <row r="412" spans="1:13" x14ac:dyDescent="0.25">
      <c r="A412" s="128">
        <v>440</v>
      </c>
      <c r="B412" s="44" t="s">
        <v>10</v>
      </c>
      <c r="C412" s="6" t="s">
        <v>39</v>
      </c>
      <c r="D412" s="6">
        <v>2812</v>
      </c>
      <c r="E412" s="4" t="s">
        <v>13</v>
      </c>
      <c r="F412" s="3">
        <v>2173001000</v>
      </c>
      <c r="G412" s="11" t="s">
        <v>112</v>
      </c>
      <c r="H412" s="11" t="s">
        <v>64</v>
      </c>
      <c r="I412" s="4">
        <v>16</v>
      </c>
      <c r="J412" s="4" t="s">
        <v>105</v>
      </c>
      <c r="K412" s="71">
        <v>16</v>
      </c>
      <c r="L412" t="s">
        <v>21</v>
      </c>
      <c r="M412" s="5">
        <f>K412/30</f>
        <v>0.53333333333333333</v>
      </c>
    </row>
    <row r="413" spans="1:13" x14ac:dyDescent="0.25">
      <c r="A413" s="128">
        <v>442</v>
      </c>
      <c r="B413" s="44" t="s">
        <v>18</v>
      </c>
      <c r="C413" s="6" t="s">
        <v>11</v>
      </c>
      <c r="D413" s="6" t="s">
        <v>19</v>
      </c>
      <c r="E413" s="4" t="s">
        <v>13</v>
      </c>
      <c r="F413" s="3">
        <v>157005000</v>
      </c>
      <c r="G413" s="11" t="s">
        <v>526</v>
      </c>
      <c r="H413" s="11" t="s">
        <v>525</v>
      </c>
      <c r="I413" s="4">
        <v>3</v>
      </c>
      <c r="J413" s="4" t="s">
        <v>524</v>
      </c>
      <c r="K413" s="71">
        <v>3</v>
      </c>
      <c r="L413" t="s">
        <v>160</v>
      </c>
      <c r="M413" s="5">
        <f>K413/60</f>
        <v>0.05</v>
      </c>
    </row>
    <row r="414" spans="1:13" x14ac:dyDescent="0.25">
      <c r="A414" s="128">
        <v>445</v>
      </c>
      <c r="B414" s="44" t="s">
        <v>10</v>
      </c>
      <c r="C414" s="6" t="s">
        <v>22</v>
      </c>
      <c r="D414" s="6" t="s">
        <v>23</v>
      </c>
      <c r="E414" s="4" t="s">
        <v>13</v>
      </c>
      <c r="F414" s="3">
        <v>3234003000</v>
      </c>
      <c r="G414" s="11" t="s">
        <v>24</v>
      </c>
      <c r="H414" s="11" t="s">
        <v>339</v>
      </c>
      <c r="I414" s="4" t="s">
        <v>25</v>
      </c>
      <c r="J414" s="4" t="s">
        <v>16</v>
      </c>
      <c r="K414" s="105">
        <f>40/60</f>
        <v>0.66666666666666663</v>
      </c>
      <c r="L414" t="s">
        <v>17</v>
      </c>
      <c r="M414" s="5">
        <f>K414/7</f>
        <v>9.5238095238095233E-2</v>
      </c>
    </row>
    <row r="415" spans="1:13" x14ac:dyDescent="0.25">
      <c r="A415" s="130">
        <v>446</v>
      </c>
      <c r="B415" s="84" t="s">
        <v>10</v>
      </c>
      <c r="C415" s="42" t="s">
        <v>11</v>
      </c>
      <c r="D415" s="42" t="s">
        <v>26</v>
      </c>
      <c r="E415" s="18" t="s">
        <v>13</v>
      </c>
      <c r="F415" s="46">
        <v>3042127004</v>
      </c>
      <c r="G415" s="31" t="s">
        <v>505</v>
      </c>
      <c r="H415" s="31" t="s">
        <v>407</v>
      </c>
      <c r="I415" s="4">
        <v>1</v>
      </c>
      <c r="J415" s="18" t="s">
        <v>513</v>
      </c>
      <c r="K415" s="71">
        <v>1</v>
      </c>
      <c r="L415" t="s">
        <v>37</v>
      </c>
      <c r="M415" s="5">
        <f>K415</f>
        <v>1</v>
      </c>
    </row>
    <row r="416" spans="1:13" x14ac:dyDescent="0.25">
      <c r="A416" s="128">
        <v>447</v>
      </c>
      <c r="B416" s="44" t="s">
        <v>18</v>
      </c>
      <c r="C416" s="6" t="s">
        <v>39</v>
      </c>
      <c r="D416" s="6" t="s">
        <v>40</v>
      </c>
      <c r="E416" s="4" t="s">
        <v>13</v>
      </c>
      <c r="F416" s="3">
        <v>66031000</v>
      </c>
      <c r="G416" s="11" t="s">
        <v>500</v>
      </c>
      <c r="H416" s="11" t="s">
        <v>498</v>
      </c>
      <c r="I416" s="4">
        <v>8</v>
      </c>
      <c r="J416" s="4" t="s">
        <v>20</v>
      </c>
      <c r="K416" s="71">
        <f>I416</f>
        <v>8</v>
      </c>
      <c r="L416" t="s">
        <v>21</v>
      </c>
      <c r="M416" s="5">
        <f>K416/30</f>
        <v>0.26666666666666666</v>
      </c>
    </row>
    <row r="417" spans="1:13" x14ac:dyDescent="0.25">
      <c r="A417" s="131">
        <v>451</v>
      </c>
      <c r="B417" s="85" t="s">
        <v>70</v>
      </c>
      <c r="C417" s="76" t="s">
        <v>11</v>
      </c>
      <c r="D417" s="76" t="s">
        <v>19</v>
      </c>
      <c r="E417" s="4" t="s">
        <v>13</v>
      </c>
      <c r="F417" s="76">
        <v>1817001000</v>
      </c>
      <c r="G417" t="s">
        <v>614</v>
      </c>
      <c r="H417" t="s">
        <v>467</v>
      </c>
      <c r="I417" s="4" t="s">
        <v>494</v>
      </c>
      <c r="J417" s="4" t="s">
        <v>858</v>
      </c>
      <c r="K417" s="71">
        <v>4</v>
      </c>
      <c r="L417" t="s">
        <v>21</v>
      </c>
      <c r="M417">
        <f>K417/30</f>
        <v>0.13333333333333333</v>
      </c>
    </row>
    <row r="418" spans="1:13" x14ac:dyDescent="0.25">
      <c r="A418" s="128">
        <v>452</v>
      </c>
      <c r="B418" s="82" t="s">
        <v>10</v>
      </c>
      <c r="C418" s="3" t="s">
        <v>68</v>
      </c>
      <c r="D418" s="3" t="s">
        <v>310</v>
      </c>
      <c r="E418" s="4" t="s">
        <v>13</v>
      </c>
      <c r="F418" s="3">
        <v>953011000</v>
      </c>
      <c r="G418" t="s">
        <v>844</v>
      </c>
      <c r="H418" s="11" t="s">
        <v>845</v>
      </c>
      <c r="I418" s="4">
        <v>30</v>
      </c>
      <c r="J418" s="4" t="s">
        <v>125</v>
      </c>
      <c r="K418" s="71">
        <v>30</v>
      </c>
      <c r="L418" t="s">
        <v>21</v>
      </c>
      <c r="M418" s="5">
        <f>K418/30</f>
        <v>1</v>
      </c>
    </row>
    <row r="419" spans="1:13" x14ac:dyDescent="0.25">
      <c r="A419" s="132">
        <v>453</v>
      </c>
      <c r="B419" s="44" t="s">
        <v>10</v>
      </c>
      <c r="C419" s="6" t="s">
        <v>11</v>
      </c>
      <c r="D419" s="6" t="s">
        <v>26</v>
      </c>
      <c r="E419" s="4" t="s">
        <v>13</v>
      </c>
      <c r="F419" s="3">
        <v>2126001000</v>
      </c>
      <c r="G419" s="11" t="s">
        <v>264</v>
      </c>
      <c r="H419" s="11" t="s">
        <v>265</v>
      </c>
      <c r="I419" s="19" t="s">
        <v>239</v>
      </c>
      <c r="J419" s="19" t="s">
        <v>272</v>
      </c>
      <c r="K419" s="71">
        <v>6</v>
      </c>
      <c r="L419" t="s">
        <v>17</v>
      </c>
      <c r="M419" s="5">
        <f>K419/7</f>
        <v>0.8571428571428571</v>
      </c>
    </row>
    <row r="420" spans="1:13" x14ac:dyDescent="0.25">
      <c r="A420" s="128">
        <v>456</v>
      </c>
      <c r="B420" s="44" t="s">
        <v>10</v>
      </c>
      <c r="C420" s="6" t="s">
        <v>22</v>
      </c>
      <c r="D420" s="6" t="s">
        <v>23</v>
      </c>
      <c r="E420" s="4" t="s">
        <v>13</v>
      </c>
      <c r="F420" s="3">
        <v>193012000</v>
      </c>
      <c r="G420" s="11" t="s">
        <v>34</v>
      </c>
      <c r="H420" s="11" t="s">
        <v>339</v>
      </c>
      <c r="I420" s="4" t="s">
        <v>35</v>
      </c>
      <c r="J420" s="4" t="s">
        <v>36</v>
      </c>
      <c r="K420" s="71">
        <v>2</v>
      </c>
      <c r="L420" t="s">
        <v>37</v>
      </c>
      <c r="M420" s="5">
        <f>K420</f>
        <v>2</v>
      </c>
    </row>
    <row r="421" spans="1:13" x14ac:dyDescent="0.25">
      <c r="A421" s="16">
        <v>457</v>
      </c>
      <c r="B421" s="6" t="s">
        <v>70</v>
      </c>
      <c r="C421" s="6" t="s">
        <v>39</v>
      </c>
      <c r="D421" s="6" t="s">
        <v>40</v>
      </c>
      <c r="E421" s="4" t="s">
        <v>13</v>
      </c>
      <c r="F421" s="3">
        <v>66011000</v>
      </c>
      <c r="G421" s="11" t="s">
        <v>440</v>
      </c>
      <c r="H421" t="s">
        <v>521</v>
      </c>
      <c r="I421" s="4" t="s">
        <v>522</v>
      </c>
      <c r="J421" s="4" t="s">
        <v>522</v>
      </c>
      <c r="K421" s="71">
        <v>0</v>
      </c>
      <c r="L421" t="str">
        <f>J421</f>
        <v>Operativos</v>
      </c>
      <c r="M421" s="5">
        <f>K421</f>
        <v>0</v>
      </c>
    </row>
    <row r="422" spans="1:13" x14ac:dyDescent="0.25">
      <c r="A422" s="131">
        <v>460</v>
      </c>
      <c r="B422" s="85" t="s">
        <v>70</v>
      </c>
      <c r="C422" s="76" t="s">
        <v>11</v>
      </c>
      <c r="D422" s="76" t="s">
        <v>19</v>
      </c>
      <c r="E422" s="4" t="s">
        <v>13</v>
      </c>
      <c r="F422" s="76">
        <v>1967012000</v>
      </c>
      <c r="G422" t="s">
        <v>615</v>
      </c>
      <c r="H422" t="s">
        <v>467</v>
      </c>
      <c r="I422" s="4" t="s">
        <v>862</v>
      </c>
      <c r="J422" s="4" t="s">
        <v>533</v>
      </c>
      <c r="K422" s="71">
        <v>5</v>
      </c>
      <c r="L422" t="s">
        <v>538</v>
      </c>
      <c r="M422">
        <f>K422/90</f>
        <v>5.5555555555555552E-2</v>
      </c>
    </row>
    <row r="423" spans="1:13" x14ac:dyDescent="0.25">
      <c r="A423" s="128">
        <v>463</v>
      </c>
      <c r="B423" s="44" t="s">
        <v>18</v>
      </c>
      <c r="C423" s="6" t="s">
        <v>11</v>
      </c>
      <c r="D423" s="6" t="s">
        <v>19</v>
      </c>
      <c r="E423" s="4" t="s">
        <v>13</v>
      </c>
      <c r="F423" s="3">
        <v>1068010000</v>
      </c>
      <c r="G423" s="11" t="s">
        <v>257</v>
      </c>
      <c r="H423" s="11" t="s">
        <v>339</v>
      </c>
      <c r="I423" s="4" t="s">
        <v>207</v>
      </c>
      <c r="J423" s="4" t="s">
        <v>256</v>
      </c>
      <c r="K423" s="71">
        <v>2</v>
      </c>
      <c r="L423" t="s">
        <v>17</v>
      </c>
      <c r="M423" s="5">
        <f>K423/7</f>
        <v>0.2857142857142857</v>
      </c>
    </row>
    <row r="424" spans="1:13" x14ac:dyDescent="0.25">
      <c r="A424" s="128">
        <v>465</v>
      </c>
      <c r="B424" s="44" t="s">
        <v>10</v>
      </c>
      <c r="C424" s="6" t="s">
        <v>11</v>
      </c>
      <c r="D424" s="6" t="s">
        <v>26</v>
      </c>
      <c r="E424" s="4" t="s">
        <v>13</v>
      </c>
      <c r="F424" s="3">
        <v>2886002000</v>
      </c>
      <c r="G424" s="11" t="s">
        <v>317</v>
      </c>
      <c r="H424" s="11" t="s">
        <v>338</v>
      </c>
      <c r="I424" s="23" t="s">
        <v>318</v>
      </c>
      <c r="J424" s="27" t="s">
        <v>17</v>
      </c>
      <c r="K424" s="71">
        <v>12</v>
      </c>
      <c r="L424" t="s">
        <v>17</v>
      </c>
      <c r="M424" s="5">
        <f>K424/7</f>
        <v>1.7142857142857142</v>
      </c>
    </row>
    <row r="425" spans="1:13" x14ac:dyDescent="0.25">
      <c r="A425" s="128">
        <v>469</v>
      </c>
      <c r="B425" s="44" t="s">
        <v>10</v>
      </c>
      <c r="C425" s="6" t="s">
        <v>76</v>
      </c>
      <c r="D425" s="6" t="s">
        <v>87</v>
      </c>
      <c r="E425" s="4" t="s">
        <v>13</v>
      </c>
      <c r="F425" s="3">
        <v>1165066000</v>
      </c>
      <c r="G425" s="11" t="s">
        <v>214</v>
      </c>
      <c r="H425" s="11" t="s">
        <v>215</v>
      </c>
      <c r="I425" s="28">
        <v>2</v>
      </c>
      <c r="J425" s="28" t="s">
        <v>16</v>
      </c>
      <c r="K425" s="71">
        <v>2</v>
      </c>
      <c r="L425" t="s">
        <v>17</v>
      </c>
      <c r="M425" s="5">
        <f>K425/7</f>
        <v>0.2857142857142857</v>
      </c>
    </row>
    <row r="426" spans="1:13" x14ac:dyDescent="0.25">
      <c r="A426" s="129">
        <v>470</v>
      </c>
      <c r="B426" s="83" t="s">
        <v>18</v>
      </c>
      <c r="C426" s="46" t="s">
        <v>39</v>
      </c>
      <c r="D426" s="46" t="s">
        <v>40</v>
      </c>
      <c r="E426" s="4" t="s">
        <v>13</v>
      </c>
      <c r="F426" s="46">
        <v>43001000</v>
      </c>
      <c r="G426" t="s">
        <v>553</v>
      </c>
      <c r="H426" t="s">
        <v>504</v>
      </c>
      <c r="I426" s="28" t="s">
        <v>493</v>
      </c>
      <c r="J426" s="4" t="s">
        <v>492</v>
      </c>
      <c r="K426" s="71">
        <v>2</v>
      </c>
      <c r="L426" t="s">
        <v>37</v>
      </c>
      <c r="M426" s="5">
        <f>K426</f>
        <v>2</v>
      </c>
    </row>
    <row r="427" spans="1:13" x14ac:dyDescent="0.25">
      <c r="A427" s="128">
        <v>471</v>
      </c>
      <c r="B427" s="44" t="s">
        <v>10</v>
      </c>
      <c r="C427" s="6" t="s">
        <v>22</v>
      </c>
      <c r="D427" s="6" t="s">
        <v>23</v>
      </c>
      <c r="E427" s="4" t="s">
        <v>13</v>
      </c>
      <c r="F427" s="3">
        <v>66031000</v>
      </c>
      <c r="G427" s="11" t="s">
        <v>500</v>
      </c>
      <c r="H427" s="11" t="s">
        <v>498</v>
      </c>
      <c r="I427" s="28">
        <v>6</v>
      </c>
      <c r="J427" s="27" t="s">
        <v>20</v>
      </c>
      <c r="K427" s="71">
        <f>I427</f>
        <v>6</v>
      </c>
      <c r="L427" t="s">
        <v>21</v>
      </c>
      <c r="M427" s="5">
        <f>K427/30</f>
        <v>0.2</v>
      </c>
    </row>
    <row r="428" spans="1:13" x14ac:dyDescent="0.25">
      <c r="A428" s="129">
        <v>474</v>
      </c>
      <c r="B428" s="83" t="s">
        <v>18</v>
      </c>
      <c r="C428" s="46" t="s">
        <v>11</v>
      </c>
      <c r="D428" s="46" t="s">
        <v>19</v>
      </c>
      <c r="E428" s="4" t="s">
        <v>13</v>
      </c>
      <c r="F428" s="46">
        <v>3212001000</v>
      </c>
      <c r="G428" t="s">
        <v>618</v>
      </c>
      <c r="H428" t="s">
        <v>859</v>
      </c>
      <c r="I428" s="28" t="s">
        <v>493</v>
      </c>
      <c r="J428" s="27" t="s">
        <v>523</v>
      </c>
      <c r="K428" s="71">
        <v>2</v>
      </c>
      <c r="L428" t="s">
        <v>17</v>
      </c>
      <c r="M428" s="5">
        <f>K428/7</f>
        <v>0.2857142857142857</v>
      </c>
    </row>
    <row r="429" spans="1:13" x14ac:dyDescent="0.25">
      <c r="A429" s="125">
        <v>483</v>
      </c>
      <c r="B429" s="46" t="s">
        <v>10</v>
      </c>
      <c r="C429" s="46" t="s">
        <v>76</v>
      </c>
      <c r="D429" s="46" t="s">
        <v>87</v>
      </c>
      <c r="E429" s="4" t="s">
        <v>13</v>
      </c>
      <c r="F429" s="46">
        <v>1014001</v>
      </c>
      <c r="G429" s="11" t="s">
        <v>543</v>
      </c>
    </row>
    <row r="430" spans="1:13" x14ac:dyDescent="0.25">
      <c r="A430" s="128">
        <v>485</v>
      </c>
      <c r="B430" s="44" t="s">
        <v>10</v>
      </c>
      <c r="C430" s="6" t="s">
        <v>22</v>
      </c>
      <c r="D430" s="6" t="s">
        <v>23</v>
      </c>
      <c r="E430" s="4" t="s">
        <v>13</v>
      </c>
      <c r="F430" s="3">
        <v>193012000</v>
      </c>
      <c r="G430" s="11" t="s">
        <v>34</v>
      </c>
      <c r="H430" s="11" t="s">
        <v>339</v>
      </c>
      <c r="I430" s="4" t="s">
        <v>35</v>
      </c>
      <c r="J430" s="4" t="s">
        <v>36</v>
      </c>
      <c r="K430" s="71">
        <v>2</v>
      </c>
      <c r="L430" t="s">
        <v>37</v>
      </c>
      <c r="M430" s="5">
        <f>K430</f>
        <v>2</v>
      </c>
    </row>
    <row r="431" spans="1:13" x14ac:dyDescent="0.25">
      <c r="A431" s="16">
        <v>488</v>
      </c>
      <c r="B431" s="44" t="s">
        <v>10</v>
      </c>
      <c r="C431" s="6" t="s">
        <v>11</v>
      </c>
      <c r="D431" s="6" t="s">
        <v>26</v>
      </c>
      <c r="E431" s="4" t="s">
        <v>13</v>
      </c>
      <c r="F431" s="3">
        <v>2814003000</v>
      </c>
      <c r="G431" s="11" t="s">
        <v>201</v>
      </c>
      <c r="H431" s="11" t="s">
        <v>337</v>
      </c>
      <c r="I431" s="4" t="s">
        <v>138</v>
      </c>
      <c r="J431" s="27" t="s">
        <v>145</v>
      </c>
      <c r="K431" s="71">
        <v>4</v>
      </c>
      <c r="L431" t="s">
        <v>17</v>
      </c>
      <c r="M431" s="5">
        <f>K431/7</f>
        <v>0.5714285714285714</v>
      </c>
    </row>
    <row r="432" spans="1:13" x14ac:dyDescent="0.25">
      <c r="A432" s="123">
        <v>489</v>
      </c>
      <c r="B432" s="76" t="s">
        <v>18</v>
      </c>
      <c r="C432" s="76" t="s">
        <v>39</v>
      </c>
      <c r="D432" s="76" t="s">
        <v>49</v>
      </c>
      <c r="E432" s="4" t="s">
        <v>13</v>
      </c>
      <c r="F432" s="76">
        <v>153002000</v>
      </c>
      <c r="G432" t="s">
        <v>562</v>
      </c>
      <c r="H432" t="s">
        <v>879</v>
      </c>
      <c r="I432" s="4" t="s">
        <v>885</v>
      </c>
      <c r="J432" s="4" t="s">
        <v>231</v>
      </c>
      <c r="K432" s="71">
        <v>0</v>
      </c>
      <c r="L432" t="str">
        <f>J432</f>
        <v>back up</v>
      </c>
      <c r="M432">
        <v>0</v>
      </c>
    </row>
    <row r="433" spans="1:13" x14ac:dyDescent="0.25">
      <c r="A433" s="125">
        <v>493</v>
      </c>
      <c r="B433" s="46" t="s">
        <v>18</v>
      </c>
      <c r="C433" s="46" t="s">
        <v>11</v>
      </c>
      <c r="D433" s="46" t="s">
        <v>41</v>
      </c>
      <c r="E433" s="4" t="s">
        <v>13</v>
      </c>
      <c r="F433" s="35">
        <v>1014001</v>
      </c>
      <c r="G433" t="s">
        <v>543</v>
      </c>
      <c r="H433" s="4"/>
      <c r="J433" s="71"/>
      <c r="K433"/>
      <c r="L433" s="5"/>
      <c r="M433"/>
    </row>
    <row r="434" spans="1:13" x14ac:dyDescent="0.25">
      <c r="A434" s="123">
        <v>494</v>
      </c>
      <c r="B434" s="76" t="s">
        <v>10</v>
      </c>
      <c r="C434" s="76" t="s">
        <v>11</v>
      </c>
      <c r="D434" s="76" t="s">
        <v>12</v>
      </c>
      <c r="E434" s="4" t="s">
        <v>13</v>
      </c>
      <c r="F434" s="76">
        <v>1967012000</v>
      </c>
      <c r="G434" t="s">
        <v>615</v>
      </c>
      <c r="H434" t="s">
        <v>467</v>
      </c>
      <c r="I434" s="4" t="s">
        <v>867</v>
      </c>
      <c r="J434" s="4" t="s">
        <v>492</v>
      </c>
      <c r="K434" s="71">
        <v>3</v>
      </c>
      <c r="L434" t="s">
        <v>37</v>
      </c>
      <c r="M434">
        <f>K434</f>
        <v>3</v>
      </c>
    </row>
    <row r="435" spans="1:13" x14ac:dyDescent="0.25">
      <c r="A435" s="16">
        <v>497</v>
      </c>
      <c r="B435" s="6" t="s">
        <v>70</v>
      </c>
      <c r="C435" s="6" t="s">
        <v>39</v>
      </c>
      <c r="D435" s="6" t="s">
        <v>40</v>
      </c>
      <c r="E435" s="4" t="s">
        <v>13</v>
      </c>
      <c r="F435" s="3">
        <v>3119003000</v>
      </c>
      <c r="G435" s="11" t="s">
        <v>104</v>
      </c>
      <c r="H435" s="11" t="s">
        <v>64</v>
      </c>
      <c r="I435" s="4">
        <v>16</v>
      </c>
      <c r="J435" s="4" t="s">
        <v>105</v>
      </c>
      <c r="K435" s="71">
        <v>16</v>
      </c>
      <c r="L435" t="s">
        <v>21</v>
      </c>
      <c r="M435" s="5">
        <f>K435/30</f>
        <v>0.53333333333333333</v>
      </c>
    </row>
    <row r="436" spans="1:13" x14ac:dyDescent="0.25">
      <c r="A436" s="16">
        <v>498</v>
      </c>
      <c r="B436" s="6" t="s">
        <v>18</v>
      </c>
      <c r="C436" s="6" t="s">
        <v>11</v>
      </c>
      <c r="D436" s="6" t="s">
        <v>19</v>
      </c>
      <c r="E436" s="4" t="s">
        <v>13</v>
      </c>
      <c r="F436" s="3">
        <v>165001000</v>
      </c>
      <c r="G436" s="11" t="s">
        <v>319</v>
      </c>
      <c r="H436" s="11" t="s">
        <v>338</v>
      </c>
      <c r="I436" s="4" t="s">
        <v>321</v>
      </c>
      <c r="J436" s="4" t="s">
        <v>17</v>
      </c>
      <c r="K436" s="71">
        <v>10</v>
      </c>
      <c r="L436" t="s">
        <v>17</v>
      </c>
      <c r="M436" s="5">
        <f>K436/7</f>
        <v>1.4285714285714286</v>
      </c>
    </row>
    <row r="437" spans="1:13" x14ac:dyDescent="0.25">
      <c r="A437" s="16">
        <v>507</v>
      </c>
      <c r="B437" s="6" t="s">
        <v>18</v>
      </c>
      <c r="C437" s="6" t="s">
        <v>11</v>
      </c>
      <c r="E437" s="4" t="s">
        <v>13</v>
      </c>
      <c r="F437" s="3">
        <v>3042104001</v>
      </c>
      <c r="G437" s="11" t="s">
        <v>205</v>
      </c>
      <c r="H437" s="11" t="s">
        <v>337</v>
      </c>
      <c r="I437" s="4" t="s">
        <v>138</v>
      </c>
      <c r="J437" s="4" t="s">
        <v>143</v>
      </c>
      <c r="K437" s="71">
        <v>2</v>
      </c>
      <c r="L437" t="s">
        <v>37</v>
      </c>
      <c r="M437" s="5">
        <f>K437</f>
        <v>2</v>
      </c>
    </row>
    <row r="438" spans="1:13" x14ac:dyDescent="0.25">
      <c r="A438" s="123">
        <v>509</v>
      </c>
      <c r="B438" s="76" t="s">
        <v>18</v>
      </c>
      <c r="C438" s="76" t="s">
        <v>39</v>
      </c>
      <c r="D438" s="76" t="s">
        <v>40</v>
      </c>
      <c r="E438" s="4" t="s">
        <v>13</v>
      </c>
      <c r="F438" s="76">
        <v>2995001000</v>
      </c>
      <c r="G438" t="s">
        <v>621</v>
      </c>
      <c r="H438" t="s">
        <v>467</v>
      </c>
      <c r="I438" s="4" t="s">
        <v>493</v>
      </c>
      <c r="J438" s="4" t="s">
        <v>523</v>
      </c>
      <c r="K438" s="71">
        <v>2</v>
      </c>
      <c r="L438" t="s">
        <v>17</v>
      </c>
      <c r="M438">
        <f>K438/7</f>
        <v>0.2857142857142857</v>
      </c>
    </row>
    <row r="439" spans="1:13" x14ac:dyDescent="0.25">
      <c r="A439" s="16">
        <v>511</v>
      </c>
      <c r="B439" s="3" t="s">
        <v>10</v>
      </c>
      <c r="C439" s="3" t="s">
        <v>76</v>
      </c>
      <c r="D439" s="3" t="s">
        <v>87</v>
      </c>
      <c r="E439" s="4" t="s">
        <v>13</v>
      </c>
      <c r="F439" s="46">
        <v>3319002000</v>
      </c>
      <c r="G439" t="s">
        <v>848</v>
      </c>
      <c r="H439" s="11" t="s">
        <v>845</v>
      </c>
      <c r="I439" s="4">
        <v>20</v>
      </c>
      <c r="J439" s="4" t="s">
        <v>135</v>
      </c>
      <c r="K439" s="71">
        <v>20</v>
      </c>
      <c r="L439" t="s">
        <v>21</v>
      </c>
      <c r="M439">
        <f>K439/30</f>
        <v>0.66666666666666663</v>
      </c>
    </row>
    <row r="440" spans="1:13" x14ac:dyDescent="0.25">
      <c r="A440" s="16">
        <v>512</v>
      </c>
      <c r="B440" s="6" t="s">
        <v>70</v>
      </c>
      <c r="C440" s="6" t="s">
        <v>11</v>
      </c>
      <c r="D440" s="6" t="s">
        <v>19</v>
      </c>
      <c r="E440" s="4" t="s">
        <v>13</v>
      </c>
      <c r="F440" s="3">
        <v>1967007000</v>
      </c>
      <c r="G440" s="11" t="s">
        <v>466</v>
      </c>
      <c r="H440" s="11" t="s">
        <v>467</v>
      </c>
      <c r="I440" s="4">
        <v>6</v>
      </c>
      <c r="J440" s="4" t="s">
        <v>533</v>
      </c>
      <c r="K440" s="71">
        <v>6</v>
      </c>
      <c r="L440" t="s">
        <v>538</v>
      </c>
      <c r="M440" s="5">
        <f>K440/90</f>
        <v>6.6666666666666666E-2</v>
      </c>
    </row>
    <row r="441" spans="1:13" x14ac:dyDescent="0.25">
      <c r="A441" s="16">
        <v>515</v>
      </c>
      <c r="B441" s="6" t="s">
        <v>18</v>
      </c>
      <c r="C441" s="6" t="s">
        <v>11</v>
      </c>
      <c r="D441" s="6" t="s">
        <v>19</v>
      </c>
      <c r="E441" s="4" t="s">
        <v>13</v>
      </c>
      <c r="F441" s="3">
        <v>3178003000</v>
      </c>
      <c r="G441" s="11" t="s">
        <v>306</v>
      </c>
      <c r="H441" s="11" t="s">
        <v>338</v>
      </c>
      <c r="I441" s="4" t="s">
        <v>304</v>
      </c>
      <c r="J441" s="4" t="s">
        <v>295</v>
      </c>
      <c r="K441" s="71">
        <v>3</v>
      </c>
      <c r="L441" t="s">
        <v>21</v>
      </c>
      <c r="M441" s="5">
        <f>K441/30</f>
        <v>0.1</v>
      </c>
    </row>
    <row r="442" spans="1:13" x14ac:dyDescent="0.25">
      <c r="A442" s="16">
        <v>516</v>
      </c>
      <c r="B442" s="3" t="s">
        <v>10</v>
      </c>
      <c r="C442" s="3" t="s">
        <v>11</v>
      </c>
      <c r="D442" s="3" t="s">
        <v>12</v>
      </c>
      <c r="E442" s="4" t="s">
        <v>13</v>
      </c>
      <c r="F442" s="46">
        <v>1014001</v>
      </c>
      <c r="G442" t="s">
        <v>543</v>
      </c>
      <c r="M442"/>
    </row>
    <row r="443" spans="1:13" x14ac:dyDescent="0.25">
      <c r="A443" s="16">
        <v>518</v>
      </c>
      <c r="B443" s="6" t="s">
        <v>18</v>
      </c>
      <c r="C443" s="6" t="s">
        <v>39</v>
      </c>
      <c r="D443" s="6" t="s">
        <v>81</v>
      </c>
      <c r="E443" s="4" t="s">
        <v>13</v>
      </c>
      <c r="F443" s="3">
        <v>2994001000</v>
      </c>
      <c r="G443" s="11" t="s">
        <v>106</v>
      </c>
      <c r="H443" s="11" t="s">
        <v>64</v>
      </c>
      <c r="I443" s="4">
        <v>50</v>
      </c>
      <c r="J443" s="4" t="s">
        <v>93</v>
      </c>
      <c r="K443" s="71">
        <v>50</v>
      </c>
      <c r="L443" t="s">
        <v>21</v>
      </c>
      <c r="M443" s="5">
        <f>K443/30</f>
        <v>1.6666666666666667</v>
      </c>
    </row>
    <row r="444" spans="1:13" x14ac:dyDescent="0.25">
      <c r="A444" s="123">
        <v>519</v>
      </c>
      <c r="B444" s="76" t="s">
        <v>10</v>
      </c>
      <c r="C444" s="76" t="s">
        <v>11</v>
      </c>
      <c r="D444" s="76" t="s">
        <v>26</v>
      </c>
      <c r="E444" s="4" t="s">
        <v>13</v>
      </c>
      <c r="F444" s="76">
        <v>2126010000</v>
      </c>
      <c r="G444" t="s">
        <v>886</v>
      </c>
      <c r="H444" t="s">
        <v>879</v>
      </c>
      <c r="I444" s="4" t="s">
        <v>1062</v>
      </c>
      <c r="J444" s="4" t="s">
        <v>527</v>
      </c>
      <c r="K444" s="71">
        <v>0</v>
      </c>
      <c r="L444" t="str">
        <f>J444</f>
        <v>A pedido</v>
      </c>
      <c r="M444">
        <v>0</v>
      </c>
    </row>
    <row r="445" spans="1:13" x14ac:dyDescent="0.25">
      <c r="A445" s="16">
        <v>520</v>
      </c>
      <c r="B445" s="6" t="s">
        <v>18</v>
      </c>
      <c r="C445" s="6" t="s">
        <v>22</v>
      </c>
      <c r="D445" s="6" t="s">
        <v>236</v>
      </c>
      <c r="E445" s="4" t="s">
        <v>13</v>
      </c>
      <c r="F445" s="3">
        <v>66035000</v>
      </c>
      <c r="G445" s="11" t="s">
        <v>460</v>
      </c>
      <c r="H445" s="11" t="s">
        <v>459</v>
      </c>
      <c r="I445" s="4" t="s">
        <v>493</v>
      </c>
      <c r="J445" s="4" t="s">
        <v>235</v>
      </c>
      <c r="K445" s="71">
        <v>4</v>
      </c>
      <c r="L445" t="s">
        <v>17</v>
      </c>
      <c r="M445" s="5">
        <f>K445/7</f>
        <v>0.5714285714285714</v>
      </c>
    </row>
    <row r="446" spans="1:13" x14ac:dyDescent="0.25">
      <c r="A446" s="16">
        <v>522</v>
      </c>
      <c r="B446" s="6" t="s">
        <v>10</v>
      </c>
      <c r="C446" s="6" t="s">
        <v>11</v>
      </c>
      <c r="D446" s="6" t="s">
        <v>26</v>
      </c>
      <c r="E446" s="4" t="s">
        <v>13</v>
      </c>
      <c r="F446" s="3">
        <v>2548068000</v>
      </c>
      <c r="G446" s="11" t="s">
        <v>424</v>
      </c>
      <c r="H446" s="11" t="s">
        <v>407</v>
      </c>
      <c r="I446" s="4" t="s">
        <v>290</v>
      </c>
      <c r="J446" s="4" t="s">
        <v>352</v>
      </c>
      <c r="K446" s="71">
        <v>1</v>
      </c>
      <c r="L446" t="s">
        <v>17</v>
      </c>
      <c r="M446" s="5">
        <f>K446/7</f>
        <v>0.14285714285714285</v>
      </c>
    </row>
    <row r="447" spans="1:13" x14ac:dyDescent="0.25">
      <c r="A447" s="16">
        <v>528</v>
      </c>
      <c r="B447" s="6" t="s">
        <v>18</v>
      </c>
      <c r="C447" s="6" t="s">
        <v>11</v>
      </c>
      <c r="D447" s="6" t="s">
        <v>41</v>
      </c>
      <c r="E447" s="4" t="s">
        <v>13</v>
      </c>
      <c r="F447" s="3">
        <v>2554001000</v>
      </c>
      <c r="G447" s="11" t="s">
        <v>189</v>
      </c>
      <c r="H447" s="11" t="s">
        <v>337</v>
      </c>
      <c r="I447" s="4" t="s">
        <v>138</v>
      </c>
      <c r="J447" s="4" t="s">
        <v>172</v>
      </c>
      <c r="K447" s="71">
        <v>6</v>
      </c>
      <c r="L447" t="s">
        <v>17</v>
      </c>
      <c r="M447" s="5">
        <f>K447/7</f>
        <v>0.8571428571428571</v>
      </c>
    </row>
    <row r="448" spans="1:13" x14ac:dyDescent="0.25">
      <c r="A448" s="16">
        <v>530</v>
      </c>
      <c r="B448" s="6" t="s">
        <v>18</v>
      </c>
      <c r="C448" s="6" t="s">
        <v>11</v>
      </c>
      <c r="D448" s="6" t="s">
        <v>41</v>
      </c>
      <c r="E448" s="4" t="s">
        <v>13</v>
      </c>
      <c r="F448" s="3">
        <v>2548010000</v>
      </c>
      <c r="G448" s="11" t="s">
        <v>188</v>
      </c>
      <c r="H448" s="11" t="s">
        <v>337</v>
      </c>
      <c r="I448" s="4" t="s">
        <v>144</v>
      </c>
      <c r="J448" s="4" t="s">
        <v>139</v>
      </c>
      <c r="K448" s="71">
        <v>1</v>
      </c>
      <c r="L448" t="s">
        <v>17</v>
      </c>
      <c r="M448" s="5">
        <f>K448/7</f>
        <v>0.14285714285714285</v>
      </c>
    </row>
    <row r="449" spans="1:13" x14ac:dyDescent="0.25">
      <c r="A449" s="16">
        <v>531</v>
      </c>
      <c r="B449" s="6" t="s">
        <v>18</v>
      </c>
      <c r="C449" s="6" t="s">
        <v>11</v>
      </c>
      <c r="D449" s="6" t="s">
        <v>19</v>
      </c>
      <c r="E449" s="4" t="s">
        <v>13</v>
      </c>
      <c r="F449" s="3">
        <v>2514001000</v>
      </c>
      <c r="G449" s="11" t="s">
        <v>435</v>
      </c>
      <c r="H449" s="11" t="s">
        <v>428</v>
      </c>
      <c r="I449" s="4" t="s">
        <v>290</v>
      </c>
      <c r="J449" s="4" t="s">
        <v>352</v>
      </c>
      <c r="K449" s="71">
        <v>1</v>
      </c>
      <c r="L449" t="s">
        <v>17</v>
      </c>
      <c r="M449" s="5">
        <f>K449/7</f>
        <v>0.14285714285714285</v>
      </c>
    </row>
    <row r="450" spans="1:13" x14ac:dyDescent="0.25">
      <c r="A450" s="16">
        <v>536</v>
      </c>
      <c r="B450" s="6" t="s">
        <v>10</v>
      </c>
      <c r="C450" s="6" t="s">
        <v>39</v>
      </c>
      <c r="D450" s="6">
        <v>2815</v>
      </c>
      <c r="E450" s="4" t="s">
        <v>13</v>
      </c>
      <c r="F450" s="3">
        <v>1925001000</v>
      </c>
      <c r="G450" s="11" t="s">
        <v>501</v>
      </c>
      <c r="H450" s="11" t="s">
        <v>498</v>
      </c>
      <c r="I450" s="4">
        <v>3</v>
      </c>
      <c r="J450" s="4" t="s">
        <v>20</v>
      </c>
      <c r="K450" s="71">
        <f>I450</f>
        <v>3</v>
      </c>
      <c r="L450" t="s">
        <v>21</v>
      </c>
      <c r="M450">
        <f>K450/30</f>
        <v>0.1</v>
      </c>
    </row>
    <row r="451" spans="1:13" x14ac:dyDescent="0.25">
      <c r="A451" s="16">
        <v>537</v>
      </c>
      <c r="B451" s="6" t="s">
        <v>10</v>
      </c>
      <c r="C451" s="6" t="s">
        <v>22</v>
      </c>
      <c r="D451" s="6" t="s">
        <v>255</v>
      </c>
      <c r="E451" s="4" t="s">
        <v>13</v>
      </c>
      <c r="F451" s="3">
        <v>61007000</v>
      </c>
      <c r="G451" s="11" t="s">
        <v>251</v>
      </c>
      <c r="H451" s="11" t="s">
        <v>339</v>
      </c>
      <c r="I451" s="4" t="s">
        <v>207</v>
      </c>
      <c r="J451" s="4" t="s">
        <v>256</v>
      </c>
      <c r="K451" s="71">
        <v>2</v>
      </c>
      <c r="L451" t="s">
        <v>17</v>
      </c>
      <c r="M451" s="5">
        <f>K451/7</f>
        <v>0.2857142857142857</v>
      </c>
    </row>
    <row r="452" spans="1:13" x14ac:dyDescent="0.25">
      <c r="A452" s="94">
        <v>539</v>
      </c>
      <c r="B452" s="3" t="s">
        <v>10</v>
      </c>
      <c r="C452" s="3" t="s">
        <v>11</v>
      </c>
      <c r="D452" s="3" t="s">
        <v>12</v>
      </c>
      <c r="E452" s="4" t="s">
        <v>13</v>
      </c>
      <c r="F452" s="3">
        <v>157004000</v>
      </c>
      <c r="G452" s="11" t="s">
        <v>835</v>
      </c>
      <c r="H452" t="s">
        <v>829</v>
      </c>
      <c r="M452"/>
    </row>
    <row r="453" spans="1:13" x14ac:dyDescent="0.25">
      <c r="A453" s="125">
        <v>540</v>
      </c>
      <c r="B453" s="46" t="s">
        <v>18</v>
      </c>
      <c r="C453" s="46" t="s">
        <v>11</v>
      </c>
      <c r="D453" s="46" t="s">
        <v>41</v>
      </c>
      <c r="E453" s="4" t="s">
        <v>13</v>
      </c>
      <c r="F453" s="46">
        <v>43001000</v>
      </c>
      <c r="G453" t="s">
        <v>553</v>
      </c>
      <c r="H453" t="s">
        <v>504</v>
      </c>
      <c r="I453" s="4" t="s">
        <v>493</v>
      </c>
      <c r="J453" s="4" t="s">
        <v>492</v>
      </c>
      <c r="K453" s="71">
        <v>2</v>
      </c>
      <c r="L453" t="s">
        <v>37</v>
      </c>
      <c r="M453" s="5">
        <f>K453</f>
        <v>2</v>
      </c>
    </row>
    <row r="454" spans="1:13" x14ac:dyDescent="0.25">
      <c r="A454" s="16">
        <v>542</v>
      </c>
      <c r="B454" s="6" t="s">
        <v>18</v>
      </c>
      <c r="C454" s="6" t="s">
        <v>11</v>
      </c>
      <c r="D454" s="6" t="s">
        <v>19</v>
      </c>
      <c r="E454" s="4" t="s">
        <v>13</v>
      </c>
      <c r="F454" s="3">
        <v>193012000</v>
      </c>
      <c r="G454" s="11" t="s">
        <v>34</v>
      </c>
      <c r="H454" s="11" t="s">
        <v>339</v>
      </c>
      <c r="I454" s="4" t="s">
        <v>38</v>
      </c>
      <c r="J454" s="4" t="s">
        <v>36</v>
      </c>
      <c r="K454" s="71">
        <v>3</v>
      </c>
      <c r="L454" t="s">
        <v>37</v>
      </c>
      <c r="M454" s="5">
        <f>K454</f>
        <v>3</v>
      </c>
    </row>
    <row r="455" spans="1:13" x14ac:dyDescent="0.25">
      <c r="A455" s="94">
        <v>544</v>
      </c>
      <c r="B455" s="6" t="s">
        <v>18</v>
      </c>
      <c r="C455" s="6" t="s">
        <v>39</v>
      </c>
      <c r="D455" s="6" t="s">
        <v>40</v>
      </c>
      <c r="E455" s="4" t="s">
        <v>13</v>
      </c>
      <c r="F455" s="3">
        <v>2936002000</v>
      </c>
      <c r="G455" s="11" t="s">
        <v>344</v>
      </c>
      <c r="H455" s="11" t="s">
        <v>342</v>
      </c>
      <c r="I455" s="19" t="s">
        <v>290</v>
      </c>
      <c r="J455" s="4" t="s">
        <v>343</v>
      </c>
      <c r="K455" s="71">
        <v>1</v>
      </c>
      <c r="L455" t="s">
        <v>17</v>
      </c>
      <c r="M455" s="5">
        <f>K455/7</f>
        <v>0.14285714285714285</v>
      </c>
    </row>
    <row r="456" spans="1:13" x14ac:dyDescent="0.25">
      <c r="A456" s="16">
        <v>545</v>
      </c>
      <c r="B456" s="58" t="s">
        <v>70</v>
      </c>
      <c r="C456" s="58" t="s">
        <v>11</v>
      </c>
      <c r="D456" s="58" t="s">
        <v>19</v>
      </c>
      <c r="E456" s="109" t="s">
        <v>13</v>
      </c>
      <c r="F456" s="58">
        <v>3319002000</v>
      </c>
      <c r="G456" t="s">
        <v>848</v>
      </c>
      <c r="H456" s="11" t="s">
        <v>845</v>
      </c>
      <c r="I456" s="4">
        <v>10</v>
      </c>
      <c r="J456" s="4" t="s">
        <v>103</v>
      </c>
      <c r="K456" s="71">
        <v>10</v>
      </c>
      <c r="L456" t="s">
        <v>21</v>
      </c>
      <c r="M456">
        <f>K456/30</f>
        <v>0.33333333333333331</v>
      </c>
    </row>
    <row r="457" spans="1:13" x14ac:dyDescent="0.25">
      <c r="A457" s="16">
        <v>549</v>
      </c>
      <c r="B457" s="6" t="s">
        <v>18</v>
      </c>
      <c r="C457" s="6" t="s">
        <v>11</v>
      </c>
      <c r="D457" s="6" t="s">
        <v>19</v>
      </c>
      <c r="E457" s="4" t="s">
        <v>13</v>
      </c>
      <c r="F457" s="3">
        <v>2514001000</v>
      </c>
      <c r="G457" s="11" t="s">
        <v>435</v>
      </c>
      <c r="H457" s="11" t="s">
        <v>428</v>
      </c>
      <c r="I457" s="4" t="s">
        <v>290</v>
      </c>
      <c r="J457" s="4" t="s">
        <v>352</v>
      </c>
      <c r="K457" s="71">
        <v>1</v>
      </c>
      <c r="L457" t="s">
        <v>17</v>
      </c>
      <c r="M457" s="5">
        <f>K457/7</f>
        <v>0.14285714285714285</v>
      </c>
    </row>
    <row r="458" spans="1:13" x14ac:dyDescent="0.25">
      <c r="A458" s="123">
        <v>550</v>
      </c>
      <c r="B458" s="76" t="s">
        <v>18</v>
      </c>
      <c r="C458" s="76" t="s">
        <v>39</v>
      </c>
      <c r="D458" s="76" t="s">
        <v>40</v>
      </c>
      <c r="E458" s="4" t="s">
        <v>13</v>
      </c>
      <c r="F458" s="76">
        <v>2641001000</v>
      </c>
      <c r="G458" t="s">
        <v>627</v>
      </c>
      <c r="H458" t="s">
        <v>467</v>
      </c>
      <c r="I458" s="4" t="s">
        <v>239</v>
      </c>
      <c r="J458" s="4" t="s">
        <v>535</v>
      </c>
      <c r="K458" s="71">
        <v>3</v>
      </c>
      <c r="L458" t="s">
        <v>17</v>
      </c>
      <c r="M458">
        <f>K458/7</f>
        <v>0.42857142857142855</v>
      </c>
    </row>
    <row r="459" spans="1:13" x14ac:dyDescent="0.25">
      <c r="A459" s="125">
        <v>553</v>
      </c>
      <c r="B459" s="46" t="s">
        <v>10</v>
      </c>
      <c r="C459" s="46" t="s">
        <v>76</v>
      </c>
      <c r="D459" s="46" t="s">
        <v>87</v>
      </c>
      <c r="E459" s="4" t="s">
        <v>13</v>
      </c>
      <c r="F459" s="35">
        <v>1014001</v>
      </c>
      <c r="G459" t="s">
        <v>543</v>
      </c>
      <c r="H459" s="4"/>
      <c r="J459" s="71"/>
      <c r="K459"/>
      <c r="L459" s="5"/>
      <c r="M459"/>
    </row>
    <row r="460" spans="1:13" x14ac:dyDescent="0.25">
      <c r="A460" s="16">
        <v>555</v>
      </c>
      <c r="B460" s="6" t="s">
        <v>10</v>
      </c>
      <c r="C460" s="6" t="s">
        <v>76</v>
      </c>
      <c r="D460" s="6" t="s">
        <v>87</v>
      </c>
      <c r="E460" s="4" t="s">
        <v>13</v>
      </c>
      <c r="F460" s="3">
        <v>2558002000</v>
      </c>
      <c r="G460" s="11" t="s">
        <v>94</v>
      </c>
      <c r="H460" s="11" t="s">
        <v>64</v>
      </c>
      <c r="I460" s="4">
        <v>20</v>
      </c>
      <c r="J460" s="4" t="s">
        <v>75</v>
      </c>
      <c r="K460" s="71">
        <v>20</v>
      </c>
      <c r="L460" t="s">
        <v>21</v>
      </c>
      <c r="M460" s="5">
        <f>K460/30</f>
        <v>0.66666666666666663</v>
      </c>
    </row>
    <row r="461" spans="1:13" x14ac:dyDescent="0.25">
      <c r="A461" s="16">
        <v>561</v>
      </c>
      <c r="B461" s="6" t="s">
        <v>70</v>
      </c>
      <c r="C461" s="6" t="s">
        <v>11</v>
      </c>
      <c r="D461" s="6" t="s">
        <v>19</v>
      </c>
      <c r="E461" s="4" t="s">
        <v>13</v>
      </c>
      <c r="F461" s="3">
        <v>1652002001</v>
      </c>
      <c r="G461" s="11" t="s">
        <v>292</v>
      </c>
      <c r="H461" s="11" t="s">
        <v>338</v>
      </c>
      <c r="I461" s="4" t="s">
        <v>290</v>
      </c>
      <c r="J461" s="4" t="s">
        <v>267</v>
      </c>
      <c r="K461" s="71">
        <v>2</v>
      </c>
      <c r="L461" t="s">
        <v>17</v>
      </c>
      <c r="M461" s="5">
        <f>K461/7</f>
        <v>0.2857142857142857</v>
      </c>
    </row>
    <row r="462" spans="1:13" x14ac:dyDescent="0.25">
      <c r="A462" s="144">
        <v>563</v>
      </c>
      <c r="B462" s="54" t="s">
        <v>18</v>
      </c>
      <c r="C462" s="54" t="s">
        <v>11</v>
      </c>
      <c r="D462" s="54" t="s">
        <v>41</v>
      </c>
      <c r="E462" s="7" t="s">
        <v>13</v>
      </c>
      <c r="F462" s="54">
        <v>3042074001</v>
      </c>
      <c r="G462" s="8" t="s">
        <v>628</v>
      </c>
      <c r="H462" s="8" t="s">
        <v>860</v>
      </c>
      <c r="I462" s="7"/>
      <c r="J462" s="7"/>
      <c r="K462" s="106"/>
      <c r="L462" s="8"/>
      <c r="M462" s="8"/>
    </row>
    <row r="463" spans="1:13" x14ac:dyDescent="0.25">
      <c r="A463" s="16">
        <v>564</v>
      </c>
      <c r="B463" s="6" t="s">
        <v>70</v>
      </c>
      <c r="C463" s="6" t="s">
        <v>11</v>
      </c>
      <c r="D463" s="6" t="s">
        <v>19</v>
      </c>
      <c r="E463" s="4" t="s">
        <v>13</v>
      </c>
      <c r="F463" s="3">
        <v>2994001000</v>
      </c>
      <c r="G463" s="11" t="s">
        <v>106</v>
      </c>
      <c r="H463" s="11" t="s">
        <v>64</v>
      </c>
      <c r="I463" s="4">
        <v>15</v>
      </c>
      <c r="J463" s="4" t="s">
        <v>88</v>
      </c>
      <c r="K463" s="71">
        <v>15</v>
      </c>
      <c r="L463" t="s">
        <v>21</v>
      </c>
      <c r="M463" s="5">
        <f>K463/30</f>
        <v>0.5</v>
      </c>
    </row>
    <row r="464" spans="1:13" x14ac:dyDescent="0.25">
      <c r="A464" s="16">
        <v>568</v>
      </c>
      <c r="B464" s="6" t="s">
        <v>10</v>
      </c>
      <c r="C464" s="6" t="s">
        <v>11</v>
      </c>
      <c r="D464" s="6" t="s">
        <v>26</v>
      </c>
      <c r="E464" s="4" t="s">
        <v>13</v>
      </c>
      <c r="F464" s="3">
        <v>2126001000</v>
      </c>
      <c r="G464" s="11" t="s">
        <v>264</v>
      </c>
      <c r="H464" s="11" t="s">
        <v>265</v>
      </c>
      <c r="I464" s="19" t="s">
        <v>239</v>
      </c>
      <c r="J464" s="19" t="s">
        <v>273</v>
      </c>
      <c r="K464" s="71">
        <v>7</v>
      </c>
      <c r="L464" t="s">
        <v>17</v>
      </c>
      <c r="M464" s="5">
        <f>K464/7</f>
        <v>1</v>
      </c>
    </row>
    <row r="465" spans="1:13" x14ac:dyDescent="0.25">
      <c r="A465" s="16">
        <v>570</v>
      </c>
      <c r="B465" s="6" t="s">
        <v>301</v>
      </c>
      <c r="C465" s="6"/>
      <c r="D465" s="6" t="s">
        <v>302</v>
      </c>
      <c r="E465" s="4" t="s">
        <v>13</v>
      </c>
      <c r="F465" s="3">
        <v>1652002001</v>
      </c>
      <c r="G465" s="11" t="s">
        <v>292</v>
      </c>
      <c r="H465" s="11" t="s">
        <v>338</v>
      </c>
      <c r="I465" s="4" t="s">
        <v>280</v>
      </c>
      <c r="J465" s="4" t="s">
        <v>293</v>
      </c>
      <c r="K465" s="71">
        <v>2</v>
      </c>
      <c r="L465" t="s">
        <v>17</v>
      </c>
      <c r="M465" s="5">
        <f>K465/7</f>
        <v>0.2857142857142857</v>
      </c>
    </row>
    <row r="466" spans="1:13" x14ac:dyDescent="0.25">
      <c r="A466" s="16">
        <v>571</v>
      </c>
      <c r="B466" s="6" t="s">
        <v>10</v>
      </c>
      <c r="C466" s="6" t="s">
        <v>11</v>
      </c>
      <c r="D466" s="6" t="s">
        <v>12</v>
      </c>
      <c r="E466" s="4" t="s">
        <v>13</v>
      </c>
      <c r="F466" s="3">
        <v>3042058002</v>
      </c>
      <c r="G466" s="11" t="s">
        <v>210</v>
      </c>
      <c r="H466" s="11" t="s">
        <v>211</v>
      </c>
      <c r="I466" s="4" t="s">
        <v>203</v>
      </c>
      <c r="J466" s="4" t="s">
        <v>172</v>
      </c>
      <c r="K466" s="71">
        <v>9</v>
      </c>
      <c r="L466" t="s">
        <v>17</v>
      </c>
      <c r="M466" s="5">
        <f>K466/7</f>
        <v>1.2857142857142858</v>
      </c>
    </row>
    <row r="467" spans="1:13" x14ac:dyDescent="0.25">
      <c r="A467" s="16">
        <v>572</v>
      </c>
      <c r="B467" s="6" t="s">
        <v>10</v>
      </c>
      <c r="C467" s="6" t="s">
        <v>11</v>
      </c>
      <c r="D467" s="6" t="s">
        <v>26</v>
      </c>
      <c r="E467" s="4" t="s">
        <v>13</v>
      </c>
      <c r="F467" s="46">
        <v>1014001</v>
      </c>
      <c r="G467" s="11" t="s">
        <v>543</v>
      </c>
    </row>
    <row r="468" spans="1:13" x14ac:dyDescent="0.25">
      <c r="A468" s="16">
        <v>573</v>
      </c>
      <c r="B468" s="6" t="s">
        <v>10</v>
      </c>
      <c r="C468" s="6" t="s">
        <v>11</v>
      </c>
      <c r="D468" s="6" t="s">
        <v>26</v>
      </c>
      <c r="E468" s="4" t="s">
        <v>13</v>
      </c>
      <c r="F468" s="3">
        <v>1068019000</v>
      </c>
      <c r="G468" s="11" t="s">
        <v>448</v>
      </c>
      <c r="H468" s="11" t="s">
        <v>521</v>
      </c>
      <c r="I468" s="4">
        <v>2</v>
      </c>
      <c r="J468" s="4" t="s">
        <v>17</v>
      </c>
      <c r="K468" s="71">
        <v>2</v>
      </c>
      <c r="L468" t="s">
        <v>17</v>
      </c>
      <c r="M468" s="5">
        <f>K468/7</f>
        <v>0.2857142857142857</v>
      </c>
    </row>
    <row r="469" spans="1:13" x14ac:dyDescent="0.25">
      <c r="A469" s="16">
        <v>575</v>
      </c>
      <c r="B469" s="6" t="s">
        <v>10</v>
      </c>
      <c r="C469" s="6" t="s">
        <v>11</v>
      </c>
      <c r="D469" s="6" t="s">
        <v>26</v>
      </c>
      <c r="E469" s="4" t="s">
        <v>13</v>
      </c>
      <c r="F469" s="3">
        <v>2548063000</v>
      </c>
      <c r="G469" s="11" t="s">
        <v>425</v>
      </c>
      <c r="H469" s="11" t="s">
        <v>407</v>
      </c>
      <c r="I469" s="4" t="s">
        <v>296</v>
      </c>
      <c r="J469" s="4" t="s">
        <v>353</v>
      </c>
      <c r="K469" s="105">
        <f>80/60</f>
        <v>1.3333333333333333</v>
      </c>
      <c r="L469" t="s">
        <v>17</v>
      </c>
      <c r="M469" s="5">
        <f>K469/7</f>
        <v>0.19047619047619047</v>
      </c>
    </row>
    <row r="470" spans="1:13" x14ac:dyDescent="0.25">
      <c r="A470" s="16">
        <v>576</v>
      </c>
      <c r="B470" s="6" t="s">
        <v>10</v>
      </c>
      <c r="C470" s="6" t="s">
        <v>11</v>
      </c>
      <c r="D470" s="6" t="s">
        <v>12</v>
      </c>
      <c r="E470" s="4" t="s">
        <v>13</v>
      </c>
      <c r="F470" s="3">
        <v>61007000</v>
      </c>
      <c r="G470" s="11" t="s">
        <v>251</v>
      </c>
      <c r="H470" s="11" t="s">
        <v>339</v>
      </c>
      <c r="I470" s="4" t="s">
        <v>252</v>
      </c>
      <c r="J470" s="4" t="s">
        <v>256</v>
      </c>
      <c r="K470" s="71">
        <v>1</v>
      </c>
      <c r="L470" t="s">
        <v>17</v>
      </c>
      <c r="M470" s="5">
        <f>K470/7</f>
        <v>0.14285714285714285</v>
      </c>
    </row>
    <row r="471" spans="1:13" x14ac:dyDescent="0.25">
      <c r="A471" s="114">
        <v>577</v>
      </c>
      <c r="B471" s="54" t="s">
        <v>10</v>
      </c>
      <c r="C471" s="54" t="s">
        <v>11</v>
      </c>
      <c r="D471" s="54" t="s">
        <v>26</v>
      </c>
      <c r="E471" s="7" t="s">
        <v>13</v>
      </c>
      <c r="F471" s="65">
        <v>3042004002</v>
      </c>
      <c r="G471" s="8" t="s">
        <v>601</v>
      </c>
      <c r="H471" s="7"/>
      <c r="I471" s="7"/>
      <c r="J471" s="106"/>
      <c r="K471" s="8"/>
      <c r="L471" s="30"/>
      <c r="M471" s="8"/>
    </row>
    <row r="472" spans="1:13" x14ac:dyDescent="0.25">
      <c r="A472" s="16">
        <v>579</v>
      </c>
      <c r="B472" s="6" t="s">
        <v>10</v>
      </c>
      <c r="C472" s="6" t="s">
        <v>22</v>
      </c>
      <c r="D472" s="6" t="s">
        <v>23</v>
      </c>
      <c r="E472" s="4" t="s">
        <v>13</v>
      </c>
      <c r="F472" s="3">
        <v>1068009000</v>
      </c>
      <c r="G472" s="11" t="s">
        <v>52</v>
      </c>
      <c r="H472" s="11" t="s">
        <v>339</v>
      </c>
      <c r="I472" s="4" t="s">
        <v>53</v>
      </c>
      <c r="J472" s="4" t="s">
        <v>16</v>
      </c>
      <c r="K472" s="71">
        <v>1</v>
      </c>
      <c r="L472" t="s">
        <v>17</v>
      </c>
      <c r="M472" s="5">
        <f>K472/7</f>
        <v>0.14285714285714285</v>
      </c>
    </row>
    <row r="473" spans="1:13" x14ac:dyDescent="0.25">
      <c r="A473" s="125">
        <v>585</v>
      </c>
      <c r="B473" s="74" t="s">
        <v>10</v>
      </c>
      <c r="C473" s="74" t="s">
        <v>22</v>
      </c>
      <c r="D473" s="74" t="s">
        <v>629</v>
      </c>
      <c r="E473" s="4" t="s">
        <v>13</v>
      </c>
      <c r="F473" s="74">
        <v>2053001000</v>
      </c>
      <c r="G473" s="75" t="s">
        <v>630</v>
      </c>
      <c r="H473" s="75" t="s">
        <v>504</v>
      </c>
      <c r="I473" s="103" t="s">
        <v>231</v>
      </c>
      <c r="J473" s="103" t="s">
        <v>231</v>
      </c>
      <c r="K473" s="71">
        <v>0</v>
      </c>
      <c r="L473" t="str">
        <f>J473</f>
        <v>back up</v>
      </c>
      <c r="M473">
        <v>0</v>
      </c>
    </row>
    <row r="474" spans="1:13" x14ac:dyDescent="0.25">
      <c r="A474" s="125">
        <v>587</v>
      </c>
      <c r="B474" s="46" t="s">
        <v>10</v>
      </c>
      <c r="C474" s="46" t="s">
        <v>22</v>
      </c>
      <c r="D474" s="46" t="s">
        <v>202</v>
      </c>
      <c r="E474" s="4" t="s">
        <v>13</v>
      </c>
      <c r="F474" s="46">
        <v>1165000000</v>
      </c>
      <c r="G474" t="s">
        <v>559</v>
      </c>
      <c r="H474" t="s">
        <v>856</v>
      </c>
      <c r="I474" s="4" t="s">
        <v>493</v>
      </c>
      <c r="J474" s="4" t="s">
        <v>523</v>
      </c>
      <c r="K474" s="71">
        <v>2</v>
      </c>
      <c r="L474" t="s">
        <v>17</v>
      </c>
      <c r="M474" s="5">
        <f>K474/7</f>
        <v>0.2857142857142857</v>
      </c>
    </row>
    <row r="475" spans="1:13" x14ac:dyDescent="0.25">
      <c r="A475" s="126">
        <v>589</v>
      </c>
      <c r="B475" s="42" t="s">
        <v>10</v>
      </c>
      <c r="C475" s="42" t="s">
        <v>39</v>
      </c>
      <c r="D475" s="42">
        <v>2815</v>
      </c>
      <c r="E475" s="4" t="s">
        <v>13</v>
      </c>
      <c r="F475" s="46">
        <v>1068016000</v>
      </c>
      <c r="G475" s="31" t="s">
        <v>510</v>
      </c>
      <c r="H475" s="17" t="s">
        <v>227</v>
      </c>
      <c r="I475" s="18" t="s">
        <v>231</v>
      </c>
      <c r="J475" s="4" t="s">
        <v>231</v>
      </c>
      <c r="K475" s="71">
        <v>0</v>
      </c>
      <c r="L475" t="str">
        <f>J475</f>
        <v>back up</v>
      </c>
      <c r="M475" s="5">
        <v>0</v>
      </c>
    </row>
    <row r="476" spans="1:13" x14ac:dyDescent="0.25">
      <c r="A476" s="16">
        <v>590</v>
      </c>
      <c r="B476" s="6" t="s">
        <v>10</v>
      </c>
      <c r="C476" s="6" t="s">
        <v>22</v>
      </c>
      <c r="D476" s="6" t="s">
        <v>23</v>
      </c>
      <c r="E476" s="4" t="s">
        <v>13</v>
      </c>
      <c r="F476" s="3">
        <v>193012000</v>
      </c>
      <c r="G476" s="11" t="s">
        <v>34</v>
      </c>
      <c r="H476" s="11" t="s">
        <v>339</v>
      </c>
      <c r="I476" s="4" t="s">
        <v>35</v>
      </c>
      <c r="J476" s="4" t="s">
        <v>36</v>
      </c>
      <c r="K476" s="71">
        <v>2</v>
      </c>
      <c r="L476" t="s">
        <v>37</v>
      </c>
      <c r="M476" s="5">
        <f>K476</f>
        <v>2</v>
      </c>
    </row>
    <row r="477" spans="1:13" x14ac:dyDescent="0.25">
      <c r="A477" s="16">
        <v>595</v>
      </c>
      <c r="B477" s="6" t="s">
        <v>18</v>
      </c>
      <c r="C477" s="6" t="s">
        <v>11</v>
      </c>
      <c r="D477" s="6" t="s">
        <v>41</v>
      </c>
      <c r="E477" s="4" t="s">
        <v>13</v>
      </c>
      <c r="F477" s="3">
        <v>193012000</v>
      </c>
      <c r="G477" s="11" t="s">
        <v>34</v>
      </c>
      <c r="H477" s="11" t="s">
        <v>339</v>
      </c>
      <c r="I477" s="4" t="s">
        <v>38</v>
      </c>
      <c r="J477" s="4" t="s">
        <v>36</v>
      </c>
      <c r="K477" s="71">
        <v>3</v>
      </c>
      <c r="L477" t="s">
        <v>37</v>
      </c>
      <c r="M477" s="5">
        <f>K477</f>
        <v>3</v>
      </c>
    </row>
    <row r="478" spans="1:13" x14ac:dyDescent="0.25">
      <c r="A478" s="125">
        <v>596</v>
      </c>
      <c r="B478" s="46" t="s">
        <v>10</v>
      </c>
      <c r="C478" s="46" t="s">
        <v>22</v>
      </c>
      <c r="D478" s="46" t="s">
        <v>23</v>
      </c>
      <c r="E478" s="4" t="s">
        <v>13</v>
      </c>
      <c r="F478" s="46">
        <v>1747001000</v>
      </c>
      <c r="G478" t="s">
        <v>600</v>
      </c>
      <c r="H478" t="s">
        <v>64</v>
      </c>
      <c r="I478" s="4" t="s">
        <v>242</v>
      </c>
      <c r="J478" s="4" t="s">
        <v>523</v>
      </c>
      <c r="K478" s="71">
        <v>1</v>
      </c>
      <c r="L478" t="s">
        <v>17</v>
      </c>
      <c r="M478" s="5">
        <f>K478/7</f>
        <v>0.14285714285714285</v>
      </c>
    </row>
    <row r="479" spans="1:13" x14ac:dyDescent="0.25">
      <c r="A479" s="16">
        <v>597</v>
      </c>
      <c r="B479" s="6" t="s">
        <v>18</v>
      </c>
      <c r="C479" s="6" t="s">
        <v>11</v>
      </c>
      <c r="D479" s="6" t="s">
        <v>19</v>
      </c>
      <c r="E479" s="4" t="s">
        <v>13</v>
      </c>
      <c r="F479" s="3">
        <v>3178010000</v>
      </c>
      <c r="G479" s="11" t="s">
        <v>477</v>
      </c>
      <c r="H479" s="11" t="s">
        <v>482</v>
      </c>
      <c r="I479" s="4" t="s">
        <v>493</v>
      </c>
      <c r="J479" s="4" t="s">
        <v>235</v>
      </c>
      <c r="K479" s="71">
        <v>4</v>
      </c>
      <c r="L479" t="s">
        <v>17</v>
      </c>
      <c r="M479" s="5">
        <f>K479/7</f>
        <v>0.5714285714285714</v>
      </c>
    </row>
    <row r="480" spans="1:13" x14ac:dyDescent="0.25">
      <c r="A480" s="16">
        <v>598</v>
      </c>
      <c r="B480" s="3" t="s">
        <v>10</v>
      </c>
      <c r="C480" s="3" t="s">
        <v>22</v>
      </c>
      <c r="D480" s="3" t="s">
        <v>23</v>
      </c>
      <c r="E480" s="4" t="s">
        <v>13</v>
      </c>
      <c r="F480" s="46">
        <v>1014001</v>
      </c>
      <c r="G480" t="s">
        <v>543</v>
      </c>
      <c r="M480"/>
    </row>
    <row r="481" spans="1:13" x14ac:dyDescent="0.25">
      <c r="A481" s="16">
        <v>606</v>
      </c>
      <c r="B481" s="6" t="s">
        <v>10</v>
      </c>
      <c r="C481" s="6" t="s">
        <v>11</v>
      </c>
      <c r="D481" s="6" t="s">
        <v>26</v>
      </c>
      <c r="E481" s="4" t="s">
        <v>13</v>
      </c>
      <c r="F481" s="3">
        <v>1550001000</v>
      </c>
      <c r="G481" s="11" t="s">
        <v>431</v>
      </c>
      <c r="H481" s="11" t="s">
        <v>428</v>
      </c>
      <c r="I481" s="4">
        <v>1</v>
      </c>
      <c r="J481" s="4" t="s">
        <v>347</v>
      </c>
      <c r="K481" s="71">
        <v>1</v>
      </c>
      <c r="L481" t="s">
        <v>537</v>
      </c>
      <c r="M481" s="5">
        <f>K481/15</f>
        <v>6.6666666666666666E-2</v>
      </c>
    </row>
    <row r="482" spans="1:13" x14ac:dyDescent="0.25">
      <c r="A482" s="16">
        <v>607</v>
      </c>
      <c r="B482" s="6" t="s">
        <v>18</v>
      </c>
      <c r="C482" s="6" t="s">
        <v>39</v>
      </c>
      <c r="D482" s="6" t="s">
        <v>40</v>
      </c>
      <c r="E482" s="4" t="s">
        <v>13</v>
      </c>
      <c r="F482" s="3">
        <v>1652002001</v>
      </c>
      <c r="G482" s="11" t="s">
        <v>292</v>
      </c>
      <c r="H482" s="11" t="s">
        <v>338</v>
      </c>
      <c r="I482" s="4" t="s">
        <v>290</v>
      </c>
      <c r="J482" s="4" t="s">
        <v>293</v>
      </c>
      <c r="K482" s="71">
        <v>1</v>
      </c>
      <c r="L482" t="s">
        <v>17</v>
      </c>
      <c r="M482" s="5">
        <f>K482/7</f>
        <v>0.14285714285714285</v>
      </c>
    </row>
    <row r="483" spans="1:13" x14ac:dyDescent="0.25">
      <c r="A483" s="125">
        <v>609</v>
      </c>
      <c r="B483" s="46" t="s">
        <v>10</v>
      </c>
      <c r="C483" s="46" t="s">
        <v>39</v>
      </c>
      <c r="D483" s="46">
        <v>2815</v>
      </c>
      <c r="E483" s="4" t="s">
        <v>13</v>
      </c>
      <c r="F483" s="35">
        <v>1014001</v>
      </c>
      <c r="G483" t="s">
        <v>543</v>
      </c>
      <c r="H483" s="4"/>
      <c r="J483" s="71"/>
      <c r="K483"/>
      <c r="L483" s="5"/>
      <c r="M483"/>
    </row>
    <row r="484" spans="1:13" x14ac:dyDescent="0.25">
      <c r="A484" s="16">
        <v>620</v>
      </c>
      <c r="B484" s="6" t="s">
        <v>18</v>
      </c>
      <c r="C484" s="6" t="s">
        <v>39</v>
      </c>
      <c r="D484" s="6" t="s">
        <v>40</v>
      </c>
      <c r="E484" s="4" t="s">
        <v>13</v>
      </c>
      <c r="F484" s="3">
        <v>1550001000</v>
      </c>
      <c r="G484" s="11" t="s">
        <v>431</v>
      </c>
      <c r="H484" s="11" t="s">
        <v>428</v>
      </c>
      <c r="I484" s="4">
        <v>2</v>
      </c>
      <c r="J484" s="4" t="s">
        <v>487</v>
      </c>
      <c r="K484" s="71">
        <v>2</v>
      </c>
      <c r="L484" t="s">
        <v>17</v>
      </c>
      <c r="M484" s="5">
        <f>K484/7</f>
        <v>0.2857142857142857</v>
      </c>
    </row>
    <row r="485" spans="1:13" x14ac:dyDescent="0.25">
      <c r="A485" s="16">
        <v>622</v>
      </c>
      <c r="B485" s="6" t="s">
        <v>70</v>
      </c>
      <c r="C485" s="6" t="s">
        <v>11</v>
      </c>
      <c r="D485" s="6" t="s">
        <v>19</v>
      </c>
      <c r="E485" s="4" t="s">
        <v>13</v>
      </c>
      <c r="F485" s="3">
        <v>1614002000</v>
      </c>
      <c r="G485" s="11" t="s">
        <v>129</v>
      </c>
      <c r="H485" s="11" t="s">
        <v>64</v>
      </c>
      <c r="I485" s="4">
        <v>10</v>
      </c>
      <c r="J485" s="4" t="s">
        <v>103</v>
      </c>
      <c r="K485" s="71">
        <v>10</v>
      </c>
      <c r="L485" t="s">
        <v>21</v>
      </c>
      <c r="M485" s="5">
        <f>K485/30</f>
        <v>0.33333333333333331</v>
      </c>
    </row>
    <row r="486" spans="1:13" x14ac:dyDescent="0.25">
      <c r="A486" s="125">
        <v>625</v>
      </c>
      <c r="B486" s="46" t="s">
        <v>10</v>
      </c>
      <c r="C486" s="46" t="s">
        <v>22</v>
      </c>
      <c r="D486" s="46" t="s">
        <v>23</v>
      </c>
      <c r="E486" s="4" t="s">
        <v>13</v>
      </c>
      <c r="F486" s="35">
        <v>1014001</v>
      </c>
      <c r="G486" t="s">
        <v>543</v>
      </c>
      <c r="H486" s="4"/>
      <c r="J486" s="71"/>
      <c r="K486"/>
      <c r="L486" s="5"/>
      <c r="M486"/>
    </row>
    <row r="487" spans="1:13" x14ac:dyDescent="0.25">
      <c r="A487" s="16">
        <v>626</v>
      </c>
      <c r="B487" s="3" t="s">
        <v>18</v>
      </c>
      <c r="C487" s="3" t="s">
        <v>11</v>
      </c>
      <c r="D487" s="3" t="s">
        <v>19</v>
      </c>
      <c r="E487" s="4" t="s">
        <v>13</v>
      </c>
      <c r="F487" s="3">
        <v>953011000</v>
      </c>
      <c r="G487" t="s">
        <v>844</v>
      </c>
      <c r="H487" s="11" t="s">
        <v>845</v>
      </c>
      <c r="I487" s="4">
        <v>15</v>
      </c>
      <c r="J487" s="4" t="s">
        <v>99</v>
      </c>
      <c r="K487" s="71">
        <v>15</v>
      </c>
      <c r="L487" t="s">
        <v>21</v>
      </c>
      <c r="M487">
        <f>K487/30</f>
        <v>0.5</v>
      </c>
    </row>
    <row r="488" spans="1:13" x14ac:dyDescent="0.25">
      <c r="A488" s="16">
        <v>628</v>
      </c>
      <c r="B488" s="6" t="s">
        <v>10</v>
      </c>
      <c r="C488" s="6" t="s">
        <v>22</v>
      </c>
      <c r="D488" s="6" t="s">
        <v>23</v>
      </c>
      <c r="E488" s="4" t="s">
        <v>13</v>
      </c>
      <c r="F488" s="3">
        <v>66011000</v>
      </c>
      <c r="G488" s="11" t="s">
        <v>440</v>
      </c>
      <c r="H488" s="11" t="s">
        <v>521</v>
      </c>
      <c r="I488" s="4">
        <v>1</v>
      </c>
      <c r="J488" s="4" t="s">
        <v>487</v>
      </c>
      <c r="K488" s="71">
        <v>1</v>
      </c>
      <c r="L488" t="s">
        <v>17</v>
      </c>
      <c r="M488" s="5">
        <f>K488/7</f>
        <v>0.14285714285714285</v>
      </c>
    </row>
    <row r="489" spans="1:13" x14ac:dyDescent="0.25">
      <c r="A489" s="125">
        <v>629</v>
      </c>
      <c r="B489" s="46" t="s">
        <v>444</v>
      </c>
      <c r="C489" s="46" t="s">
        <v>634</v>
      </c>
      <c r="D489" s="46" t="s">
        <v>40</v>
      </c>
      <c r="E489" s="4" t="s">
        <v>13</v>
      </c>
      <c r="F489" s="35">
        <v>1014001</v>
      </c>
      <c r="G489" t="s">
        <v>543</v>
      </c>
      <c r="H489" s="4"/>
      <c r="J489" s="71"/>
      <c r="K489"/>
      <c r="L489" s="5"/>
      <c r="M489"/>
    </row>
    <row r="490" spans="1:13" x14ac:dyDescent="0.25">
      <c r="A490" s="16">
        <v>649</v>
      </c>
      <c r="B490" s="6" t="s">
        <v>222</v>
      </c>
      <c r="C490" s="6" t="s">
        <v>22</v>
      </c>
      <c r="D490" s="6" t="s">
        <v>223</v>
      </c>
      <c r="E490" s="4" t="s">
        <v>13</v>
      </c>
      <c r="F490" s="3">
        <v>1165000000</v>
      </c>
      <c r="G490" s="11" t="s">
        <v>216</v>
      </c>
      <c r="H490" s="11" t="s">
        <v>215</v>
      </c>
      <c r="I490" s="4">
        <v>3</v>
      </c>
      <c r="J490" s="4" t="s">
        <v>16</v>
      </c>
      <c r="K490" s="71">
        <v>3</v>
      </c>
      <c r="L490" t="s">
        <v>17</v>
      </c>
      <c r="M490" s="5">
        <f>K490/7</f>
        <v>0.42857142857142855</v>
      </c>
    </row>
    <row r="491" spans="1:13" x14ac:dyDescent="0.25">
      <c r="A491" s="16">
        <v>651</v>
      </c>
      <c r="B491" s="6" t="s">
        <v>18</v>
      </c>
      <c r="C491" s="6" t="s">
        <v>22</v>
      </c>
      <c r="D491" s="6" t="s">
        <v>236</v>
      </c>
      <c r="E491" s="4" t="s">
        <v>13</v>
      </c>
      <c r="F491" s="3">
        <v>3135003000</v>
      </c>
      <c r="G491" s="11" t="s">
        <v>387</v>
      </c>
      <c r="H491" s="11" t="s">
        <v>380</v>
      </c>
      <c r="I491" s="4" t="s">
        <v>290</v>
      </c>
      <c r="J491" s="4" t="s">
        <v>352</v>
      </c>
      <c r="K491" s="71">
        <v>1</v>
      </c>
      <c r="L491" t="s">
        <v>17</v>
      </c>
      <c r="M491" s="5">
        <f>K491/7</f>
        <v>0.14285714285714285</v>
      </c>
    </row>
    <row r="492" spans="1:13" x14ac:dyDescent="0.25">
      <c r="A492" s="16">
        <v>652</v>
      </c>
      <c r="B492" s="6" t="s">
        <v>70</v>
      </c>
      <c r="C492" s="6" t="s">
        <v>39</v>
      </c>
      <c r="D492" s="6" t="s">
        <v>40</v>
      </c>
      <c r="E492" s="4" t="s">
        <v>13</v>
      </c>
      <c r="F492" s="3">
        <v>1165000000</v>
      </c>
      <c r="G492" s="11" t="s">
        <v>216</v>
      </c>
      <c r="H492" s="11" t="s">
        <v>215</v>
      </c>
      <c r="I492" s="4">
        <v>4</v>
      </c>
      <c r="J492" s="4" t="s">
        <v>16</v>
      </c>
      <c r="K492" s="71">
        <v>4</v>
      </c>
      <c r="L492" t="s">
        <v>17</v>
      </c>
      <c r="M492" s="5">
        <f>K492/7</f>
        <v>0.5714285714285714</v>
      </c>
    </row>
    <row r="493" spans="1:13" x14ac:dyDescent="0.25">
      <c r="A493" s="16">
        <v>654</v>
      </c>
      <c r="B493" s="6" t="s">
        <v>18</v>
      </c>
      <c r="C493" s="6" t="s">
        <v>11</v>
      </c>
      <c r="D493" s="6" t="s">
        <v>19</v>
      </c>
      <c r="E493" s="4" t="s">
        <v>13</v>
      </c>
      <c r="F493" s="3">
        <v>3288001000</v>
      </c>
      <c r="G493" s="11" t="s">
        <v>117</v>
      </c>
      <c r="H493" s="11" t="s">
        <v>64</v>
      </c>
      <c r="I493" s="4">
        <v>10</v>
      </c>
      <c r="J493" s="4" t="s">
        <v>103</v>
      </c>
      <c r="K493" s="71">
        <v>10</v>
      </c>
      <c r="L493" t="s">
        <v>21</v>
      </c>
      <c r="M493" s="5">
        <f>K493/30</f>
        <v>0.33333333333333331</v>
      </c>
    </row>
    <row r="494" spans="1:13" x14ac:dyDescent="0.25">
      <c r="A494" s="125">
        <v>655</v>
      </c>
      <c r="B494" s="46" t="s">
        <v>18</v>
      </c>
      <c r="C494" s="46" t="s">
        <v>11</v>
      </c>
      <c r="D494" s="46" t="s">
        <v>19</v>
      </c>
      <c r="E494" s="4" t="s">
        <v>13</v>
      </c>
      <c r="F494" s="46">
        <v>3178005000</v>
      </c>
      <c r="G494" t="s">
        <v>636</v>
      </c>
      <c r="H494" t="s">
        <v>504</v>
      </c>
      <c r="I494" s="4" t="s">
        <v>861</v>
      </c>
      <c r="J494" s="4" t="s">
        <v>535</v>
      </c>
      <c r="K494" s="71">
        <v>1.5</v>
      </c>
      <c r="L494" t="s">
        <v>17</v>
      </c>
      <c r="M494" s="5">
        <f>K494/7</f>
        <v>0.21428571428571427</v>
      </c>
    </row>
    <row r="495" spans="1:13" x14ac:dyDescent="0.25">
      <c r="A495" s="91">
        <v>658</v>
      </c>
      <c r="B495" s="57" t="s">
        <v>18</v>
      </c>
      <c r="C495" s="57" t="s">
        <v>11</v>
      </c>
      <c r="D495" s="57" t="s">
        <v>19</v>
      </c>
      <c r="E495" s="7" t="s">
        <v>13</v>
      </c>
      <c r="F495" s="57">
        <v>1532001000</v>
      </c>
      <c r="G495" s="8" t="s">
        <v>853</v>
      </c>
      <c r="H495" s="8"/>
      <c r="I495" s="7"/>
      <c r="J495" s="7"/>
      <c r="K495" s="106"/>
      <c r="L495" s="8"/>
      <c r="M495" s="8"/>
    </row>
    <row r="496" spans="1:13" x14ac:dyDescent="0.25">
      <c r="A496" s="16">
        <v>666</v>
      </c>
      <c r="B496" s="42" t="s">
        <v>18</v>
      </c>
      <c r="C496" s="42" t="s">
        <v>11</v>
      </c>
      <c r="D496" s="42" t="s">
        <v>19</v>
      </c>
      <c r="E496" s="18" t="s">
        <v>13</v>
      </c>
      <c r="F496" s="46">
        <v>3042127001</v>
      </c>
      <c r="G496" s="31" t="s">
        <v>506</v>
      </c>
      <c r="H496" s="31" t="s">
        <v>350</v>
      </c>
      <c r="I496" s="4">
        <v>2</v>
      </c>
      <c r="J496" s="18" t="s">
        <v>17</v>
      </c>
      <c r="K496" s="71">
        <v>2</v>
      </c>
      <c r="L496" t="s">
        <v>17</v>
      </c>
      <c r="M496" s="5">
        <f>K496/7</f>
        <v>0.2857142857142857</v>
      </c>
    </row>
    <row r="497" spans="1:13" x14ac:dyDescent="0.25">
      <c r="A497" s="16">
        <v>670</v>
      </c>
      <c r="B497" s="6" t="s">
        <v>70</v>
      </c>
      <c r="C497" s="6" t="s">
        <v>39</v>
      </c>
      <c r="D497" s="6" t="s">
        <v>40</v>
      </c>
      <c r="E497" s="4" t="s">
        <v>13</v>
      </c>
      <c r="F497" s="3">
        <v>1165000000</v>
      </c>
      <c r="G497" s="11" t="s">
        <v>216</v>
      </c>
      <c r="H497" s="11" t="s">
        <v>215</v>
      </c>
      <c r="I497" s="4">
        <v>4</v>
      </c>
      <c r="J497" s="4" t="s">
        <v>16</v>
      </c>
      <c r="K497" s="71">
        <v>4</v>
      </c>
      <c r="L497" t="s">
        <v>17</v>
      </c>
      <c r="M497" s="5">
        <f>K497/7</f>
        <v>0.5714285714285714</v>
      </c>
    </row>
    <row r="498" spans="1:13" x14ac:dyDescent="0.25">
      <c r="A498" s="16">
        <v>674</v>
      </c>
      <c r="B498" s="6" t="s">
        <v>18</v>
      </c>
      <c r="C498" s="6" t="s">
        <v>22</v>
      </c>
      <c r="D498" s="6" t="s">
        <v>224</v>
      </c>
      <c r="E498" s="4" t="s">
        <v>13</v>
      </c>
      <c r="F498" s="3">
        <v>66035000</v>
      </c>
      <c r="G498" s="11" t="s">
        <v>460</v>
      </c>
      <c r="H498" s="11" t="s">
        <v>459</v>
      </c>
      <c r="I498" s="4" t="s">
        <v>493</v>
      </c>
      <c r="J498" s="4" t="s">
        <v>235</v>
      </c>
      <c r="K498" s="71">
        <v>4</v>
      </c>
      <c r="L498" t="s">
        <v>17</v>
      </c>
      <c r="M498" s="5">
        <f>K498/7</f>
        <v>0.5714285714285714</v>
      </c>
    </row>
    <row r="499" spans="1:13" x14ac:dyDescent="0.25">
      <c r="A499" s="16">
        <v>678</v>
      </c>
      <c r="B499" s="6" t="s">
        <v>18</v>
      </c>
      <c r="C499" s="6" t="s">
        <v>11</v>
      </c>
      <c r="D499" s="6" t="s">
        <v>19</v>
      </c>
      <c r="E499" s="4" t="s">
        <v>13</v>
      </c>
      <c r="F499" s="3">
        <v>1165000000</v>
      </c>
      <c r="G499" s="11" t="s">
        <v>216</v>
      </c>
      <c r="H499" s="11" t="s">
        <v>215</v>
      </c>
      <c r="I499" s="4">
        <v>4</v>
      </c>
      <c r="J499" s="4" t="s">
        <v>16</v>
      </c>
      <c r="K499" s="71">
        <v>4</v>
      </c>
      <c r="L499" t="s">
        <v>17</v>
      </c>
      <c r="M499" s="5">
        <f>K499/7</f>
        <v>0.5714285714285714</v>
      </c>
    </row>
    <row r="500" spans="1:13" x14ac:dyDescent="0.25">
      <c r="A500" s="123">
        <v>679</v>
      </c>
      <c r="B500" s="76" t="s">
        <v>18</v>
      </c>
      <c r="C500" s="76" t="s">
        <v>39</v>
      </c>
      <c r="D500" s="76" t="s">
        <v>40</v>
      </c>
      <c r="E500" s="4" t="s">
        <v>13</v>
      </c>
      <c r="F500" s="76">
        <v>3134001000</v>
      </c>
      <c r="G500" t="s">
        <v>638</v>
      </c>
      <c r="H500" t="s">
        <v>467</v>
      </c>
      <c r="I500" s="4" t="s">
        <v>234</v>
      </c>
      <c r="J500" s="4" t="s">
        <v>492</v>
      </c>
      <c r="K500" s="71">
        <f>40/60</f>
        <v>0.66666666666666663</v>
      </c>
      <c r="L500" t="s">
        <v>37</v>
      </c>
      <c r="M500">
        <f>K500</f>
        <v>0.66666666666666663</v>
      </c>
    </row>
    <row r="501" spans="1:13" x14ac:dyDescent="0.25">
      <c r="A501" s="16">
        <v>680</v>
      </c>
      <c r="B501" s="6" t="s">
        <v>10</v>
      </c>
      <c r="C501" s="6" t="s">
        <v>22</v>
      </c>
      <c r="D501" s="6" t="s">
        <v>23</v>
      </c>
      <c r="E501" s="4" t="s">
        <v>13</v>
      </c>
      <c r="F501" s="46">
        <v>1014001</v>
      </c>
      <c r="G501" t="s">
        <v>543</v>
      </c>
    </row>
    <row r="502" spans="1:13" x14ac:dyDescent="0.25">
      <c r="A502" s="125">
        <v>683</v>
      </c>
      <c r="B502" s="46" t="s">
        <v>10</v>
      </c>
      <c r="C502" s="46" t="s">
        <v>11</v>
      </c>
      <c r="D502" s="46" t="s">
        <v>26</v>
      </c>
      <c r="E502" s="4" t="s">
        <v>13</v>
      </c>
      <c r="F502" s="46">
        <v>1165000000</v>
      </c>
      <c r="G502" t="s">
        <v>559</v>
      </c>
      <c r="H502" t="s">
        <v>856</v>
      </c>
      <c r="I502" s="4" t="s">
        <v>493</v>
      </c>
      <c r="J502" s="4" t="s">
        <v>523</v>
      </c>
      <c r="K502" s="71">
        <v>2</v>
      </c>
      <c r="L502" t="s">
        <v>17</v>
      </c>
      <c r="M502" s="5">
        <f>K502/7</f>
        <v>0.2857142857142857</v>
      </c>
    </row>
    <row r="503" spans="1:13" x14ac:dyDescent="0.25">
      <c r="A503" s="126">
        <v>684</v>
      </c>
      <c r="B503" s="41" t="s">
        <v>240</v>
      </c>
      <c r="C503" s="41" t="s">
        <v>11</v>
      </c>
      <c r="E503" s="4" t="s">
        <v>13</v>
      </c>
      <c r="F503" s="11">
        <v>3127001000</v>
      </c>
      <c r="G503" s="11" t="s">
        <v>233</v>
      </c>
      <c r="H503" t="s">
        <v>227</v>
      </c>
      <c r="I503" s="4" t="s">
        <v>231</v>
      </c>
      <c r="J503" s="4" t="s">
        <v>231</v>
      </c>
      <c r="K503" s="71">
        <v>0</v>
      </c>
      <c r="L503" t="str">
        <f>J503</f>
        <v>back up</v>
      </c>
      <c r="M503" s="5">
        <v>0</v>
      </c>
    </row>
    <row r="504" spans="1:13" x14ac:dyDescent="0.25">
      <c r="A504" s="16">
        <v>688</v>
      </c>
      <c r="B504" s="6" t="s">
        <v>70</v>
      </c>
      <c r="C504" s="6" t="s">
        <v>39</v>
      </c>
      <c r="D504" s="6" t="s">
        <v>49</v>
      </c>
      <c r="E504" s="4" t="s">
        <v>13</v>
      </c>
      <c r="F504" s="3">
        <v>2995001000</v>
      </c>
      <c r="G504" s="11" t="s">
        <v>455</v>
      </c>
      <c r="H504" s="11" t="s">
        <v>467</v>
      </c>
      <c r="I504" s="4">
        <v>2.5</v>
      </c>
      <c r="J504" s="4" t="s">
        <v>492</v>
      </c>
      <c r="K504" s="71">
        <v>2.5</v>
      </c>
      <c r="L504" t="s">
        <v>37</v>
      </c>
      <c r="M504" s="5">
        <f>K504</f>
        <v>2.5</v>
      </c>
    </row>
    <row r="505" spans="1:13" x14ac:dyDescent="0.25">
      <c r="A505" s="125">
        <v>693</v>
      </c>
      <c r="B505" s="46" t="s">
        <v>10</v>
      </c>
      <c r="C505" s="46" t="s">
        <v>22</v>
      </c>
      <c r="D505" s="46" t="s">
        <v>23</v>
      </c>
      <c r="E505" s="4" t="s">
        <v>13</v>
      </c>
      <c r="F505" s="46">
        <v>43002000</v>
      </c>
      <c r="G505" t="s">
        <v>640</v>
      </c>
      <c r="H505" t="s">
        <v>504</v>
      </c>
      <c r="I505" s="4" t="s">
        <v>493</v>
      </c>
      <c r="J505" s="4" t="s">
        <v>492</v>
      </c>
      <c r="K505" s="71">
        <v>2</v>
      </c>
      <c r="L505" t="s">
        <v>37</v>
      </c>
      <c r="M505" s="5">
        <f>K505</f>
        <v>2</v>
      </c>
    </row>
    <row r="506" spans="1:13" x14ac:dyDescent="0.25">
      <c r="A506" s="125">
        <v>695</v>
      </c>
      <c r="B506" s="46" t="s">
        <v>18</v>
      </c>
      <c r="C506" s="46" t="s">
        <v>11</v>
      </c>
      <c r="D506" s="46" t="s">
        <v>19</v>
      </c>
      <c r="E506" s="4" t="s">
        <v>13</v>
      </c>
      <c r="F506" s="35">
        <v>1014001</v>
      </c>
      <c r="G506" t="s">
        <v>543</v>
      </c>
      <c r="H506" s="4"/>
      <c r="J506" s="71"/>
      <c r="K506"/>
      <c r="L506" s="5"/>
      <c r="M506"/>
    </row>
    <row r="507" spans="1:13" x14ac:dyDescent="0.25">
      <c r="A507" s="125">
        <v>698</v>
      </c>
      <c r="B507" s="46" t="s">
        <v>10</v>
      </c>
      <c r="C507" s="46" t="s">
        <v>22</v>
      </c>
      <c r="D507" s="46" t="s">
        <v>641</v>
      </c>
      <c r="E507" s="4" t="s">
        <v>13</v>
      </c>
      <c r="F507" s="35">
        <v>1014001</v>
      </c>
      <c r="G507" t="s">
        <v>543</v>
      </c>
      <c r="H507" s="4"/>
      <c r="J507" s="71"/>
      <c r="K507"/>
      <c r="L507" s="5"/>
      <c r="M507"/>
    </row>
    <row r="508" spans="1:13" x14ac:dyDescent="0.25">
      <c r="A508" s="16">
        <v>701</v>
      </c>
      <c r="B508" s="6" t="s">
        <v>18</v>
      </c>
      <c r="C508" s="6" t="s">
        <v>22</v>
      </c>
      <c r="D508" s="6" t="s">
        <v>224</v>
      </c>
      <c r="E508" s="4" t="s">
        <v>13</v>
      </c>
      <c r="F508" s="3">
        <v>3207016000</v>
      </c>
      <c r="G508" s="11" t="s">
        <v>450</v>
      </c>
      <c r="H508" s="11" t="s">
        <v>476</v>
      </c>
      <c r="I508" s="4" t="s">
        <v>493</v>
      </c>
      <c r="J508" s="4" t="s">
        <v>235</v>
      </c>
      <c r="K508" s="71">
        <v>4</v>
      </c>
      <c r="L508" t="s">
        <v>17</v>
      </c>
      <c r="M508" s="5">
        <f>K508/7</f>
        <v>0.5714285714285714</v>
      </c>
    </row>
    <row r="509" spans="1:13" x14ac:dyDescent="0.25">
      <c r="A509" s="16">
        <v>711</v>
      </c>
      <c r="B509" s="6" t="s">
        <v>70</v>
      </c>
      <c r="C509" s="6" t="s">
        <v>39</v>
      </c>
      <c r="D509" s="6" t="s">
        <v>40</v>
      </c>
      <c r="E509" s="4" t="s">
        <v>13</v>
      </c>
      <c r="F509" s="3">
        <v>2548013000</v>
      </c>
      <c r="G509" s="11" t="s">
        <v>179</v>
      </c>
      <c r="H509" s="11" t="s">
        <v>337</v>
      </c>
      <c r="I509" s="4" t="s">
        <v>138</v>
      </c>
      <c r="J509" s="4" t="s">
        <v>143</v>
      </c>
      <c r="K509" s="71">
        <v>2</v>
      </c>
      <c r="L509" t="s">
        <v>37</v>
      </c>
      <c r="M509" s="5">
        <f>K509</f>
        <v>2</v>
      </c>
    </row>
    <row r="510" spans="1:13" x14ac:dyDescent="0.25">
      <c r="A510" s="16">
        <v>712</v>
      </c>
      <c r="B510" s="6" t="s">
        <v>18</v>
      </c>
      <c r="C510" s="6" t="s">
        <v>11</v>
      </c>
      <c r="D510" s="6" t="s">
        <v>19</v>
      </c>
      <c r="E510" s="4" t="s">
        <v>13</v>
      </c>
      <c r="F510" s="3">
        <v>193012000</v>
      </c>
      <c r="G510" s="11" t="s">
        <v>34</v>
      </c>
      <c r="H510" s="11" t="s">
        <v>339</v>
      </c>
      <c r="I510" s="4" t="s">
        <v>38</v>
      </c>
      <c r="J510" s="4" t="s">
        <v>36</v>
      </c>
      <c r="K510" s="71">
        <v>3</v>
      </c>
      <c r="L510" t="s">
        <v>37</v>
      </c>
      <c r="M510" s="5">
        <f>K510</f>
        <v>3</v>
      </c>
    </row>
    <row r="511" spans="1:13" x14ac:dyDescent="0.25">
      <c r="A511" s="125">
        <v>714</v>
      </c>
      <c r="B511" s="46" t="s">
        <v>10</v>
      </c>
      <c r="C511" s="46" t="s">
        <v>76</v>
      </c>
      <c r="D511" s="46" t="s">
        <v>87</v>
      </c>
      <c r="E511" s="4" t="s">
        <v>13</v>
      </c>
      <c r="F511" s="35">
        <v>1022000</v>
      </c>
      <c r="G511" t="s">
        <v>643</v>
      </c>
      <c r="H511" s="4"/>
      <c r="J511" s="71"/>
      <c r="K511"/>
      <c r="L511" s="5"/>
      <c r="M511"/>
    </row>
    <row r="512" spans="1:13" x14ac:dyDescent="0.25">
      <c r="A512" s="16">
        <v>719</v>
      </c>
      <c r="B512" s="6" t="s">
        <v>18</v>
      </c>
      <c r="C512" s="6" t="s">
        <v>39</v>
      </c>
      <c r="D512" s="6" t="s">
        <v>40</v>
      </c>
      <c r="E512" s="4" t="s">
        <v>13</v>
      </c>
      <c r="F512" s="3">
        <v>3178002000</v>
      </c>
      <c r="G512" s="11" t="s">
        <v>168</v>
      </c>
      <c r="H512" s="11" t="s">
        <v>337</v>
      </c>
      <c r="I512" s="4" t="s">
        <v>138</v>
      </c>
      <c r="J512" s="4" t="s">
        <v>139</v>
      </c>
      <c r="K512" s="71">
        <v>1</v>
      </c>
      <c r="L512" t="s">
        <v>17</v>
      </c>
      <c r="M512" s="5">
        <f>K512/7</f>
        <v>0.14285714285714285</v>
      </c>
    </row>
    <row r="513" spans="1:13" x14ac:dyDescent="0.25">
      <c r="A513" s="16">
        <v>721</v>
      </c>
      <c r="B513" s="6" t="s">
        <v>10</v>
      </c>
      <c r="C513" s="6" t="s">
        <v>11</v>
      </c>
      <c r="D513" s="6" t="s">
        <v>26</v>
      </c>
      <c r="E513" s="4" t="s">
        <v>13</v>
      </c>
      <c r="F513" s="3">
        <v>1165113000</v>
      </c>
      <c r="G513" s="11" t="s">
        <v>217</v>
      </c>
      <c r="H513" s="11" t="s">
        <v>215</v>
      </c>
      <c r="I513" s="4">
        <v>2</v>
      </c>
      <c r="J513" s="4" t="s">
        <v>16</v>
      </c>
      <c r="K513" s="71">
        <v>2</v>
      </c>
      <c r="L513" t="s">
        <v>17</v>
      </c>
      <c r="M513" s="5">
        <f>K513/7</f>
        <v>0.2857142857142857</v>
      </c>
    </row>
    <row r="514" spans="1:13" x14ac:dyDescent="0.25">
      <c r="A514" s="16">
        <v>722</v>
      </c>
      <c r="B514" s="3" t="s">
        <v>18</v>
      </c>
      <c r="C514" s="3" t="s">
        <v>11</v>
      </c>
      <c r="D514" s="3" t="s">
        <v>41</v>
      </c>
      <c r="E514" s="4" t="s">
        <v>13</v>
      </c>
      <c r="F514" s="46">
        <v>1014001</v>
      </c>
      <c r="G514" t="s">
        <v>543</v>
      </c>
      <c r="M514"/>
    </row>
    <row r="515" spans="1:13" x14ac:dyDescent="0.25">
      <c r="A515" s="16">
        <v>724</v>
      </c>
      <c r="B515" s="6" t="s">
        <v>18</v>
      </c>
      <c r="C515" s="6" t="s">
        <v>11</v>
      </c>
      <c r="D515" s="6" t="s">
        <v>41</v>
      </c>
      <c r="E515" s="4" t="s">
        <v>13</v>
      </c>
      <c r="F515" s="3">
        <v>193012000</v>
      </c>
      <c r="G515" s="11" t="s">
        <v>34</v>
      </c>
      <c r="H515" s="11" t="s">
        <v>339</v>
      </c>
      <c r="I515" s="4" t="s">
        <v>38</v>
      </c>
      <c r="J515" s="4" t="s">
        <v>36</v>
      </c>
      <c r="K515" s="71">
        <v>3</v>
      </c>
      <c r="L515" t="s">
        <v>37</v>
      </c>
      <c r="M515" s="5">
        <f>K515</f>
        <v>3</v>
      </c>
    </row>
    <row r="516" spans="1:13" x14ac:dyDescent="0.25">
      <c r="A516" s="16">
        <v>727</v>
      </c>
      <c r="B516" s="6" t="s">
        <v>18</v>
      </c>
      <c r="C516" s="6" t="s">
        <v>11</v>
      </c>
      <c r="D516" s="6" t="s">
        <v>19</v>
      </c>
      <c r="E516" s="4" t="s">
        <v>13</v>
      </c>
      <c r="F516" s="3">
        <v>2789001000</v>
      </c>
      <c r="G516" s="11" t="s">
        <v>364</v>
      </c>
      <c r="H516" s="11" t="s">
        <v>350</v>
      </c>
      <c r="I516" s="4" t="s">
        <v>296</v>
      </c>
      <c r="J516" s="4" t="s">
        <v>353</v>
      </c>
      <c r="K516" s="105">
        <f>80/60</f>
        <v>1.3333333333333333</v>
      </c>
      <c r="L516" t="s">
        <v>17</v>
      </c>
      <c r="M516" s="5">
        <f>K516/7</f>
        <v>0.19047619047619047</v>
      </c>
    </row>
    <row r="517" spans="1:13" x14ac:dyDescent="0.25">
      <c r="A517" s="16">
        <v>732</v>
      </c>
      <c r="B517" s="46" t="s">
        <v>18</v>
      </c>
      <c r="C517" s="6" t="s">
        <v>11</v>
      </c>
      <c r="D517" s="6" t="s">
        <v>19</v>
      </c>
      <c r="E517" s="4" t="s">
        <v>13</v>
      </c>
      <c r="F517" s="3">
        <v>2924001000</v>
      </c>
      <c r="G517" s="11" t="s">
        <v>85</v>
      </c>
      <c r="H517" s="11" t="s">
        <v>64</v>
      </c>
      <c r="I517" s="4">
        <v>8</v>
      </c>
      <c r="J517" s="4" t="s">
        <v>86</v>
      </c>
      <c r="K517" s="71">
        <v>8</v>
      </c>
      <c r="L517" t="s">
        <v>21</v>
      </c>
      <c r="M517" s="5">
        <f>K517/30</f>
        <v>0.26666666666666666</v>
      </c>
    </row>
    <row r="518" spans="1:13" x14ac:dyDescent="0.25">
      <c r="A518" s="125">
        <v>735</v>
      </c>
      <c r="B518" s="46" t="s">
        <v>10</v>
      </c>
      <c r="C518" s="46" t="s">
        <v>76</v>
      </c>
      <c r="D518" s="46" t="s">
        <v>87</v>
      </c>
      <c r="E518" s="4" t="s">
        <v>13</v>
      </c>
      <c r="F518" s="35">
        <v>1014001</v>
      </c>
      <c r="G518" t="s">
        <v>543</v>
      </c>
      <c r="H518" s="4"/>
      <c r="J518" s="71"/>
      <c r="K518"/>
      <c r="L518" s="5"/>
      <c r="M518"/>
    </row>
    <row r="519" spans="1:13" x14ac:dyDescent="0.25">
      <c r="A519" s="16">
        <v>738</v>
      </c>
      <c r="B519" s="6" t="s">
        <v>10</v>
      </c>
      <c r="C519" s="6" t="s">
        <v>22</v>
      </c>
      <c r="D519" s="6" t="s">
        <v>23</v>
      </c>
      <c r="E519" s="4" t="s">
        <v>13</v>
      </c>
      <c r="F519" s="3">
        <v>1406001000</v>
      </c>
      <c r="G519" s="11" t="s">
        <v>392</v>
      </c>
      <c r="H519" s="11" t="s">
        <v>380</v>
      </c>
      <c r="I519" s="4" t="s">
        <v>358</v>
      </c>
      <c r="J519" s="4" t="s">
        <v>393</v>
      </c>
      <c r="K519" s="71">
        <v>1.5</v>
      </c>
      <c r="L519" t="s">
        <v>17</v>
      </c>
      <c r="M519" s="5">
        <f>K519/7</f>
        <v>0.21428571428571427</v>
      </c>
    </row>
    <row r="520" spans="1:13" x14ac:dyDescent="0.25">
      <c r="A520" s="126">
        <v>743</v>
      </c>
      <c r="B520" s="42" t="s">
        <v>18</v>
      </c>
      <c r="C520" s="42" t="s">
        <v>22</v>
      </c>
      <c r="D520" s="42" t="s">
        <v>236</v>
      </c>
      <c r="E520" s="4" t="s">
        <v>13</v>
      </c>
      <c r="F520" s="46">
        <v>2548098000</v>
      </c>
      <c r="G520" t="s">
        <v>645</v>
      </c>
      <c r="H520" s="17" t="s">
        <v>227</v>
      </c>
      <c r="I520" s="18" t="s">
        <v>231</v>
      </c>
      <c r="J520" s="4" t="s">
        <v>231</v>
      </c>
      <c r="K520" s="71">
        <v>0</v>
      </c>
      <c r="L520" t="str">
        <f>J520</f>
        <v>back up</v>
      </c>
      <c r="M520" s="5">
        <v>0</v>
      </c>
    </row>
    <row r="521" spans="1:13" x14ac:dyDescent="0.25">
      <c r="A521" s="125">
        <v>746</v>
      </c>
      <c r="B521" s="46" t="s">
        <v>222</v>
      </c>
      <c r="C521" s="46" t="s">
        <v>22</v>
      </c>
      <c r="D521" s="46" t="s">
        <v>279</v>
      </c>
      <c r="E521" s="4" t="s">
        <v>13</v>
      </c>
      <c r="F521" s="35">
        <v>1000012</v>
      </c>
      <c r="G521" t="s">
        <v>570</v>
      </c>
      <c r="H521" s="4"/>
      <c r="J521" s="71"/>
      <c r="K521"/>
      <c r="L521" s="5"/>
      <c r="M521"/>
    </row>
    <row r="522" spans="1:13" x14ac:dyDescent="0.25">
      <c r="A522" s="16">
        <v>748</v>
      </c>
      <c r="B522" s="6" t="s">
        <v>18</v>
      </c>
      <c r="C522" s="6" t="s">
        <v>11</v>
      </c>
      <c r="D522" s="6" t="s">
        <v>19</v>
      </c>
      <c r="E522" s="4" t="s">
        <v>13</v>
      </c>
      <c r="F522" s="46">
        <v>1014001</v>
      </c>
      <c r="G522" t="s">
        <v>543</v>
      </c>
    </row>
    <row r="523" spans="1:13" x14ac:dyDescent="0.25">
      <c r="A523" s="16">
        <v>750</v>
      </c>
      <c r="B523" s="6" t="s">
        <v>18</v>
      </c>
      <c r="C523" s="6" t="s">
        <v>11</v>
      </c>
      <c r="D523" s="6" t="s">
        <v>19</v>
      </c>
      <c r="E523" s="4" t="s">
        <v>13</v>
      </c>
      <c r="F523" s="3">
        <v>3300202000</v>
      </c>
      <c r="G523" s="11" t="s">
        <v>354</v>
      </c>
      <c r="H523" t="s">
        <v>350</v>
      </c>
      <c r="I523" s="4" t="s">
        <v>231</v>
      </c>
      <c r="J523" s="4" t="s">
        <v>231</v>
      </c>
      <c r="K523" s="71">
        <v>0</v>
      </c>
      <c r="L523" t="str">
        <f>J523</f>
        <v>back up</v>
      </c>
      <c r="M523" s="5">
        <f>K523</f>
        <v>0</v>
      </c>
    </row>
    <row r="524" spans="1:13" x14ac:dyDescent="0.25">
      <c r="A524" s="100">
        <v>752</v>
      </c>
      <c r="B524" s="46" t="s">
        <v>10</v>
      </c>
      <c r="C524" s="46" t="s">
        <v>11</v>
      </c>
      <c r="D524" s="46" t="s">
        <v>26</v>
      </c>
      <c r="E524" s="4" t="s">
        <v>13</v>
      </c>
      <c r="F524" s="46">
        <v>1165112000</v>
      </c>
      <c r="G524" t="s">
        <v>646</v>
      </c>
      <c r="H524" t="s">
        <v>856</v>
      </c>
      <c r="M524"/>
    </row>
    <row r="525" spans="1:13" x14ac:dyDescent="0.25">
      <c r="A525" s="125">
        <v>753</v>
      </c>
      <c r="B525" s="46" t="s">
        <v>18</v>
      </c>
      <c r="C525" s="46" t="s">
        <v>11</v>
      </c>
      <c r="D525" s="46" t="s">
        <v>19</v>
      </c>
      <c r="E525" s="4" t="s">
        <v>13</v>
      </c>
      <c r="F525" s="46">
        <v>2126001000</v>
      </c>
      <c r="G525" t="s">
        <v>557</v>
      </c>
      <c r="H525" t="s">
        <v>265</v>
      </c>
      <c r="I525" s="4" t="s">
        <v>493</v>
      </c>
      <c r="J525" s="4" t="s">
        <v>492</v>
      </c>
      <c r="K525" s="71">
        <v>2</v>
      </c>
      <c r="L525" t="s">
        <v>37</v>
      </c>
      <c r="M525" s="5">
        <f>K525</f>
        <v>2</v>
      </c>
    </row>
    <row r="526" spans="1:13" x14ac:dyDescent="0.25">
      <c r="A526" s="91">
        <v>757</v>
      </c>
      <c r="B526" s="39" t="s">
        <v>10</v>
      </c>
      <c r="C526" s="39" t="s">
        <v>11</v>
      </c>
      <c r="D526" s="39" t="s">
        <v>12</v>
      </c>
      <c r="E526" s="7" t="s">
        <v>13</v>
      </c>
      <c r="F526" s="54">
        <v>165001000</v>
      </c>
      <c r="G526" s="33" t="s">
        <v>319</v>
      </c>
      <c r="H526" s="8" t="s">
        <v>338</v>
      </c>
      <c r="I526" s="7"/>
      <c r="J526" s="7" t="s">
        <v>323</v>
      </c>
      <c r="K526" s="106"/>
      <c r="L526" s="8"/>
      <c r="M526" s="30"/>
    </row>
    <row r="527" spans="1:13" x14ac:dyDescent="0.25">
      <c r="A527" s="16">
        <v>760</v>
      </c>
      <c r="B527" s="6" t="s">
        <v>70</v>
      </c>
      <c r="C527" s="6" t="s">
        <v>39</v>
      </c>
      <c r="D527" s="6" t="s">
        <v>49</v>
      </c>
      <c r="E527" s="4" t="s">
        <v>13</v>
      </c>
      <c r="F527" s="3">
        <v>2514002000</v>
      </c>
      <c r="G527" s="11" t="s">
        <v>434</v>
      </c>
      <c r="H527" s="11" t="s">
        <v>428</v>
      </c>
      <c r="I527" s="4" t="s">
        <v>432</v>
      </c>
      <c r="J527" s="4" t="s">
        <v>316</v>
      </c>
      <c r="K527" s="71">
        <v>1.5</v>
      </c>
      <c r="L527" t="s">
        <v>37</v>
      </c>
      <c r="M527" s="5">
        <f>K527</f>
        <v>1.5</v>
      </c>
    </row>
    <row r="528" spans="1:13" x14ac:dyDescent="0.25">
      <c r="A528" s="125">
        <v>761</v>
      </c>
      <c r="B528" s="46" t="s">
        <v>10</v>
      </c>
      <c r="C528" s="46" t="s">
        <v>22</v>
      </c>
      <c r="D528" s="46" t="s">
        <v>23</v>
      </c>
      <c r="E528" s="4" t="s">
        <v>13</v>
      </c>
      <c r="F528" s="35">
        <v>1014001</v>
      </c>
      <c r="G528" t="s">
        <v>543</v>
      </c>
      <c r="H528" s="4"/>
      <c r="J528" s="71"/>
      <c r="K528"/>
      <c r="L528" s="5"/>
      <c r="M528"/>
    </row>
    <row r="529" spans="1:13" x14ac:dyDescent="0.25">
      <c r="A529" s="16">
        <v>762</v>
      </c>
      <c r="B529" s="3" t="s">
        <v>10</v>
      </c>
      <c r="C529" s="3" t="s">
        <v>22</v>
      </c>
      <c r="D529" s="3" t="s">
        <v>23</v>
      </c>
      <c r="E529" s="4" t="s">
        <v>13</v>
      </c>
      <c r="F529" s="137">
        <v>1014001</v>
      </c>
      <c r="G529" t="s">
        <v>543</v>
      </c>
      <c r="M529"/>
    </row>
    <row r="530" spans="1:13" x14ac:dyDescent="0.25">
      <c r="A530" s="16">
        <v>763</v>
      </c>
      <c r="B530" s="6" t="s">
        <v>10</v>
      </c>
      <c r="C530" s="6" t="s">
        <v>68</v>
      </c>
      <c r="D530" s="6" t="s">
        <v>399</v>
      </c>
      <c r="E530" s="4" t="s">
        <v>13</v>
      </c>
      <c r="F530" s="3">
        <v>2905001000</v>
      </c>
      <c r="G530" s="11" t="s">
        <v>400</v>
      </c>
      <c r="H530" s="11" t="s">
        <v>380</v>
      </c>
      <c r="I530" s="4" t="s">
        <v>280</v>
      </c>
      <c r="J530" s="4" t="s">
        <v>353</v>
      </c>
      <c r="K530" s="71">
        <v>4</v>
      </c>
      <c r="L530" t="s">
        <v>17</v>
      </c>
      <c r="M530" s="5">
        <f>K530/7</f>
        <v>0.5714285714285714</v>
      </c>
    </row>
    <row r="531" spans="1:13" x14ac:dyDescent="0.25">
      <c r="A531" s="123">
        <v>764</v>
      </c>
      <c r="B531" s="76" t="s">
        <v>18</v>
      </c>
      <c r="C531" s="76" t="s">
        <v>11</v>
      </c>
      <c r="D531" s="76" t="s">
        <v>19</v>
      </c>
      <c r="E531" s="4" t="s">
        <v>13</v>
      </c>
      <c r="F531" s="76">
        <v>1817001000</v>
      </c>
      <c r="G531" t="s">
        <v>614</v>
      </c>
      <c r="H531" t="s">
        <v>467</v>
      </c>
      <c r="I531" s="4" t="s">
        <v>239</v>
      </c>
      <c r="J531" s="4" t="s">
        <v>492</v>
      </c>
      <c r="K531" s="71">
        <v>1</v>
      </c>
      <c r="L531" t="s">
        <v>37</v>
      </c>
      <c r="M531">
        <f>K531</f>
        <v>1</v>
      </c>
    </row>
    <row r="532" spans="1:13" x14ac:dyDescent="0.25">
      <c r="A532" s="125">
        <v>774</v>
      </c>
      <c r="B532" s="46" t="s">
        <v>43</v>
      </c>
      <c r="C532" s="46" t="s">
        <v>648</v>
      </c>
      <c r="D532" s="46" t="s">
        <v>40</v>
      </c>
      <c r="E532" s="4" t="s">
        <v>13</v>
      </c>
      <c r="F532" s="35">
        <v>1014001</v>
      </c>
      <c r="G532" t="s">
        <v>543</v>
      </c>
      <c r="H532" s="4"/>
      <c r="J532" s="71"/>
      <c r="K532"/>
      <c r="L532" s="5"/>
      <c r="M532"/>
    </row>
    <row r="533" spans="1:13" x14ac:dyDescent="0.25">
      <c r="A533" s="16">
        <v>775</v>
      </c>
      <c r="B533" s="3" t="s">
        <v>70</v>
      </c>
      <c r="C533" s="42" t="s">
        <v>11</v>
      </c>
      <c r="D533" s="46" t="s">
        <v>19</v>
      </c>
      <c r="E533" s="4" t="s">
        <v>13</v>
      </c>
      <c r="F533" s="3">
        <v>3319002000</v>
      </c>
      <c r="G533" s="11" t="s">
        <v>848</v>
      </c>
      <c r="H533" s="11" t="s">
        <v>845</v>
      </c>
      <c r="I533" s="4">
        <v>10</v>
      </c>
      <c r="J533" s="4" t="s">
        <v>103</v>
      </c>
      <c r="K533" s="71">
        <v>10</v>
      </c>
      <c r="L533" t="s">
        <v>21</v>
      </c>
      <c r="M533">
        <f>K533/30</f>
        <v>0.33333333333333331</v>
      </c>
    </row>
    <row r="534" spans="1:13" x14ac:dyDescent="0.25">
      <c r="A534" s="16">
        <v>776</v>
      </c>
      <c r="B534" s="42" t="s">
        <v>10</v>
      </c>
      <c r="C534" s="42" t="s">
        <v>11</v>
      </c>
      <c r="D534" s="42" t="s">
        <v>12</v>
      </c>
      <c r="E534" s="18" t="s">
        <v>13</v>
      </c>
      <c r="F534" s="11">
        <v>122001000</v>
      </c>
      <c r="G534" s="31" t="s">
        <v>508</v>
      </c>
      <c r="H534" s="31" t="s">
        <v>428</v>
      </c>
      <c r="I534" s="4">
        <v>1</v>
      </c>
      <c r="J534" s="18" t="s">
        <v>16</v>
      </c>
      <c r="K534" s="71">
        <v>1</v>
      </c>
      <c r="L534" t="s">
        <v>17</v>
      </c>
      <c r="M534" s="5">
        <f>K534/7</f>
        <v>0.14285714285714285</v>
      </c>
    </row>
    <row r="535" spans="1:13" x14ac:dyDescent="0.25">
      <c r="A535" s="16">
        <v>780</v>
      </c>
      <c r="B535" s="6" t="s">
        <v>70</v>
      </c>
      <c r="C535" s="6" t="s">
        <v>39</v>
      </c>
      <c r="D535" s="6" t="s">
        <v>40</v>
      </c>
      <c r="E535" s="4" t="s">
        <v>13</v>
      </c>
      <c r="F535" s="3">
        <v>1967003000</v>
      </c>
      <c r="G535" s="11" t="s">
        <v>114</v>
      </c>
      <c r="H535" s="11" t="s">
        <v>64</v>
      </c>
      <c r="I535" s="4">
        <v>10</v>
      </c>
      <c r="J535" s="4" t="s">
        <v>115</v>
      </c>
      <c r="K535" s="71">
        <v>10</v>
      </c>
      <c r="L535" t="s">
        <v>21</v>
      </c>
      <c r="M535" s="5">
        <f>K535/30</f>
        <v>0.33333333333333331</v>
      </c>
    </row>
    <row r="536" spans="1:13" x14ac:dyDescent="0.25">
      <c r="A536" s="16">
        <v>786</v>
      </c>
      <c r="B536" s="6" t="s">
        <v>10</v>
      </c>
      <c r="C536" s="6" t="s">
        <v>11</v>
      </c>
      <c r="D536" s="6" t="s">
        <v>12</v>
      </c>
      <c r="E536" s="4" t="s">
        <v>13</v>
      </c>
      <c r="F536" s="3">
        <v>2548092000</v>
      </c>
      <c r="G536" s="11" t="s">
        <v>182</v>
      </c>
      <c r="H536" s="11" t="s">
        <v>337</v>
      </c>
      <c r="I536" s="4" t="s">
        <v>144</v>
      </c>
      <c r="J536" s="4" t="s">
        <v>172</v>
      </c>
      <c r="K536" s="71">
        <v>3</v>
      </c>
      <c r="L536" t="s">
        <v>17</v>
      </c>
      <c r="M536" s="5">
        <f>K536/7</f>
        <v>0.42857142857142855</v>
      </c>
    </row>
    <row r="537" spans="1:13" x14ac:dyDescent="0.25">
      <c r="A537" s="16">
        <v>795</v>
      </c>
      <c r="B537" s="6" t="s">
        <v>70</v>
      </c>
      <c r="C537" s="6" t="s">
        <v>11</v>
      </c>
      <c r="D537" s="6" t="s">
        <v>19</v>
      </c>
      <c r="E537" s="4" t="s">
        <v>13</v>
      </c>
      <c r="F537" s="3">
        <v>1652002001</v>
      </c>
      <c r="G537" s="11" t="s">
        <v>292</v>
      </c>
      <c r="H537" s="11" t="s">
        <v>338</v>
      </c>
      <c r="I537" s="4" t="s">
        <v>294</v>
      </c>
      <c r="J537" s="4" t="s">
        <v>293</v>
      </c>
      <c r="K537" s="71">
        <v>0.5</v>
      </c>
      <c r="L537" t="s">
        <v>17</v>
      </c>
      <c r="M537" s="5">
        <f>K537/7</f>
        <v>7.1428571428571425E-2</v>
      </c>
    </row>
    <row r="538" spans="1:13" x14ac:dyDescent="0.25">
      <c r="A538" s="16">
        <v>796</v>
      </c>
      <c r="B538" s="42" t="s">
        <v>18</v>
      </c>
      <c r="C538" s="42" t="s">
        <v>11</v>
      </c>
      <c r="D538" s="42" t="s">
        <v>19</v>
      </c>
      <c r="E538" s="18" t="s">
        <v>13</v>
      </c>
      <c r="F538" s="11">
        <v>127002000</v>
      </c>
      <c r="G538" s="31" t="s">
        <v>507</v>
      </c>
      <c r="H538" s="31" t="s">
        <v>350</v>
      </c>
      <c r="I538" s="4">
        <v>2</v>
      </c>
      <c r="J538" s="18" t="s">
        <v>17</v>
      </c>
      <c r="K538" s="71">
        <v>2</v>
      </c>
      <c r="L538" t="s">
        <v>17</v>
      </c>
      <c r="M538" s="5">
        <f>K538/7</f>
        <v>0.2857142857142857</v>
      </c>
    </row>
    <row r="539" spans="1:13" x14ac:dyDescent="0.25">
      <c r="A539" s="125">
        <v>805</v>
      </c>
      <c r="B539" s="46" t="s">
        <v>18</v>
      </c>
      <c r="C539" s="46" t="s">
        <v>22</v>
      </c>
      <c r="D539" s="46" t="s">
        <v>649</v>
      </c>
      <c r="E539" s="4" t="s">
        <v>13</v>
      </c>
      <c r="F539" s="35">
        <v>1014001</v>
      </c>
      <c r="G539" t="s">
        <v>543</v>
      </c>
      <c r="H539" s="4"/>
      <c r="J539" s="71"/>
      <c r="K539"/>
      <c r="L539" s="5"/>
      <c r="M539"/>
    </row>
    <row r="540" spans="1:13" x14ac:dyDescent="0.25">
      <c r="A540" s="16">
        <v>825</v>
      </c>
      <c r="B540" s="6" t="s">
        <v>18</v>
      </c>
      <c r="C540" s="6" t="s">
        <v>11</v>
      </c>
      <c r="D540" s="6" t="s">
        <v>19</v>
      </c>
      <c r="E540" s="4" t="s">
        <v>13</v>
      </c>
      <c r="F540" s="3">
        <v>1978003000</v>
      </c>
      <c r="G540" s="11" t="s">
        <v>438</v>
      </c>
      <c r="H540" s="11" t="s">
        <v>428</v>
      </c>
      <c r="I540" s="4" t="s">
        <v>280</v>
      </c>
      <c r="J540" s="4" t="s">
        <v>352</v>
      </c>
      <c r="K540" s="71">
        <v>2</v>
      </c>
      <c r="L540" t="s">
        <v>17</v>
      </c>
      <c r="M540" s="5">
        <f>K540/7</f>
        <v>0.2857142857142857</v>
      </c>
    </row>
    <row r="541" spans="1:13" x14ac:dyDescent="0.25">
      <c r="A541" s="16">
        <v>832</v>
      </c>
      <c r="B541" s="6" t="s">
        <v>70</v>
      </c>
      <c r="C541" s="6" t="s">
        <v>11</v>
      </c>
      <c r="D541" s="6" t="s">
        <v>19</v>
      </c>
      <c r="E541" s="4" t="s">
        <v>13</v>
      </c>
      <c r="F541" s="3">
        <v>2126001000</v>
      </c>
      <c r="G541" s="11" t="s">
        <v>264</v>
      </c>
      <c r="H541" s="11" t="s">
        <v>265</v>
      </c>
      <c r="I541" s="19" t="s">
        <v>266</v>
      </c>
      <c r="J541" s="19" t="s">
        <v>274</v>
      </c>
      <c r="K541" s="71">
        <v>6</v>
      </c>
      <c r="L541" t="s">
        <v>17</v>
      </c>
      <c r="M541" s="5">
        <f>K541/7</f>
        <v>0.8571428571428571</v>
      </c>
    </row>
    <row r="542" spans="1:13" x14ac:dyDescent="0.25">
      <c r="A542" s="125">
        <v>833</v>
      </c>
      <c r="B542" s="46" t="s">
        <v>18</v>
      </c>
      <c r="C542" s="46" t="s">
        <v>22</v>
      </c>
      <c r="D542" s="46" t="s">
        <v>649</v>
      </c>
      <c r="E542" s="4" t="s">
        <v>13</v>
      </c>
      <c r="F542" s="35">
        <v>1014001</v>
      </c>
      <c r="G542" t="s">
        <v>543</v>
      </c>
      <c r="H542" s="4"/>
      <c r="J542" s="71"/>
      <c r="K542"/>
      <c r="L542" s="5"/>
      <c r="M542"/>
    </row>
    <row r="543" spans="1:13" x14ac:dyDescent="0.25">
      <c r="A543" s="16">
        <v>840</v>
      </c>
      <c r="B543" s="6" t="s">
        <v>10</v>
      </c>
      <c r="C543" s="6" t="s">
        <v>22</v>
      </c>
      <c r="D543" s="6" t="s">
        <v>23</v>
      </c>
      <c r="E543" s="4" t="s">
        <v>13</v>
      </c>
      <c r="F543" s="3">
        <v>2840001000</v>
      </c>
      <c r="G543" s="11" t="s">
        <v>349</v>
      </c>
      <c r="H543" s="11" t="s">
        <v>350</v>
      </c>
      <c r="I543" s="4" t="s">
        <v>290</v>
      </c>
      <c r="J543" s="4" t="s">
        <v>353</v>
      </c>
      <c r="K543" s="71">
        <v>2</v>
      </c>
      <c r="L543" t="s">
        <v>17</v>
      </c>
      <c r="M543" s="5">
        <f>K543/7</f>
        <v>0.2857142857142857</v>
      </c>
    </row>
    <row r="544" spans="1:13" x14ac:dyDescent="0.25">
      <c r="A544" s="16">
        <v>844</v>
      </c>
      <c r="B544" s="6" t="s">
        <v>18</v>
      </c>
      <c r="C544" s="6" t="s">
        <v>11</v>
      </c>
      <c r="D544" s="6" t="s">
        <v>19</v>
      </c>
      <c r="E544" s="4" t="s">
        <v>13</v>
      </c>
      <c r="F544" s="3">
        <v>165001000</v>
      </c>
      <c r="G544" s="11" t="s">
        <v>319</v>
      </c>
      <c r="H544" s="11" t="s">
        <v>338</v>
      </c>
      <c r="I544" s="4" t="s">
        <v>320</v>
      </c>
      <c r="J544" s="4" t="s">
        <v>17</v>
      </c>
      <c r="K544" s="71">
        <v>26</v>
      </c>
      <c r="L544" t="s">
        <v>17</v>
      </c>
      <c r="M544" s="5">
        <f>K544/7</f>
        <v>3.7142857142857144</v>
      </c>
    </row>
    <row r="545" spans="1:13" x14ac:dyDescent="0.25">
      <c r="A545" s="16">
        <v>846</v>
      </c>
      <c r="B545" s="6" t="s">
        <v>10</v>
      </c>
      <c r="C545" s="6" t="s">
        <v>11</v>
      </c>
      <c r="D545" s="6" t="s">
        <v>12</v>
      </c>
      <c r="E545" s="4" t="s">
        <v>13</v>
      </c>
      <c r="F545" s="3">
        <v>2548051000</v>
      </c>
      <c r="G545" s="11" t="s">
        <v>178</v>
      </c>
      <c r="H545" s="11" t="s">
        <v>337</v>
      </c>
      <c r="I545" s="4" t="s">
        <v>144</v>
      </c>
      <c r="J545" s="4" t="s">
        <v>169</v>
      </c>
      <c r="K545" s="71">
        <v>2</v>
      </c>
      <c r="L545" t="s">
        <v>21</v>
      </c>
      <c r="M545" s="5">
        <f>K545/30</f>
        <v>6.6666666666666666E-2</v>
      </c>
    </row>
    <row r="546" spans="1:13" x14ac:dyDescent="0.25">
      <c r="A546" s="125">
        <v>847</v>
      </c>
      <c r="B546" s="46" t="s">
        <v>18</v>
      </c>
      <c r="C546" s="46" t="s">
        <v>11</v>
      </c>
      <c r="D546" s="46" t="s">
        <v>19</v>
      </c>
      <c r="E546" s="4" t="s">
        <v>13</v>
      </c>
      <c r="F546" s="35">
        <v>1014002</v>
      </c>
      <c r="G546" t="s">
        <v>564</v>
      </c>
      <c r="H546" s="4"/>
      <c r="J546" s="71"/>
      <c r="K546"/>
      <c r="L546" s="5"/>
      <c r="M546"/>
    </row>
    <row r="547" spans="1:13" x14ac:dyDescent="0.25">
      <c r="A547" s="16">
        <v>848</v>
      </c>
      <c r="B547" s="6" t="s">
        <v>10</v>
      </c>
      <c r="C547" s="6" t="s">
        <v>11</v>
      </c>
      <c r="D547" s="6" t="s">
        <v>26</v>
      </c>
      <c r="E547" s="4" t="s">
        <v>13</v>
      </c>
      <c r="F547" s="3">
        <v>66011000</v>
      </c>
      <c r="G547" s="11" t="s">
        <v>440</v>
      </c>
      <c r="H547" s="11" t="s">
        <v>521</v>
      </c>
      <c r="I547" s="4">
        <v>1</v>
      </c>
      <c r="J547" s="4" t="s">
        <v>487</v>
      </c>
      <c r="K547" s="71">
        <v>1</v>
      </c>
      <c r="L547" t="s">
        <v>17</v>
      </c>
      <c r="M547" s="5">
        <f>K547/7</f>
        <v>0.14285714285714285</v>
      </c>
    </row>
    <row r="548" spans="1:13" x14ac:dyDescent="0.25">
      <c r="A548" s="16">
        <v>849</v>
      </c>
      <c r="B548" s="6" t="s">
        <v>10</v>
      </c>
      <c r="C548" s="6" t="s">
        <v>11</v>
      </c>
      <c r="D548" s="6" t="s">
        <v>26</v>
      </c>
      <c r="E548" s="4" t="s">
        <v>13</v>
      </c>
      <c r="F548" s="3">
        <v>3372001000</v>
      </c>
      <c r="G548" s="11" t="s">
        <v>511</v>
      </c>
      <c r="H548" s="11" t="s">
        <v>337</v>
      </c>
      <c r="I548" s="4">
        <v>1</v>
      </c>
      <c r="J548" s="4" t="s">
        <v>16</v>
      </c>
      <c r="K548" s="71">
        <v>1</v>
      </c>
      <c r="L548" t="s">
        <v>17</v>
      </c>
      <c r="M548" s="5">
        <f>K548/7</f>
        <v>0.14285714285714285</v>
      </c>
    </row>
    <row r="549" spans="1:13" x14ac:dyDescent="0.25">
      <c r="A549" s="123">
        <v>851</v>
      </c>
      <c r="B549" s="76" t="s">
        <v>18</v>
      </c>
      <c r="C549" s="76" t="s">
        <v>11</v>
      </c>
      <c r="D549" s="76" t="s">
        <v>19</v>
      </c>
      <c r="E549" s="4" t="s">
        <v>13</v>
      </c>
      <c r="F549" s="76">
        <v>3370003000</v>
      </c>
      <c r="G549" t="s">
        <v>552</v>
      </c>
      <c r="H549" t="s">
        <v>879</v>
      </c>
      <c r="I549" s="4" t="s">
        <v>880</v>
      </c>
      <c r="J549" s="4" t="s">
        <v>858</v>
      </c>
      <c r="K549" s="71">
        <v>12</v>
      </c>
      <c r="L549" t="s">
        <v>21</v>
      </c>
      <c r="M549">
        <f>K549/30</f>
        <v>0.4</v>
      </c>
    </row>
    <row r="550" spans="1:13" x14ac:dyDescent="0.25">
      <c r="A550" s="16">
        <v>852</v>
      </c>
      <c r="B550" s="6" t="s">
        <v>18</v>
      </c>
      <c r="C550" s="6" t="s">
        <v>11</v>
      </c>
      <c r="D550" s="6" t="s">
        <v>19</v>
      </c>
      <c r="E550" s="4" t="s">
        <v>13</v>
      </c>
      <c r="F550" s="3">
        <v>1165000000</v>
      </c>
      <c r="G550" s="11" t="s">
        <v>216</v>
      </c>
      <c r="H550" s="11" t="s">
        <v>215</v>
      </c>
      <c r="I550" s="4">
        <v>4</v>
      </c>
      <c r="J550" s="4" t="s">
        <v>16</v>
      </c>
      <c r="K550" s="71">
        <v>4</v>
      </c>
      <c r="L550" t="s">
        <v>17</v>
      </c>
      <c r="M550" s="5">
        <f>K550/7</f>
        <v>0.5714285714285714</v>
      </c>
    </row>
    <row r="551" spans="1:13" x14ac:dyDescent="0.25">
      <c r="A551" s="125">
        <v>853</v>
      </c>
      <c r="B551" s="46" t="s">
        <v>18</v>
      </c>
      <c r="C551" s="46" t="s">
        <v>39</v>
      </c>
      <c r="D551" s="46" t="s">
        <v>49</v>
      </c>
      <c r="E551" s="4" t="s">
        <v>13</v>
      </c>
      <c r="F551" s="35">
        <v>1014001</v>
      </c>
      <c r="G551" t="s">
        <v>543</v>
      </c>
      <c r="H551" s="4"/>
      <c r="J551" s="71"/>
      <c r="K551"/>
      <c r="L551" s="5"/>
      <c r="M551"/>
    </row>
    <row r="552" spans="1:13" x14ac:dyDescent="0.25">
      <c r="A552" s="16">
        <v>863</v>
      </c>
      <c r="B552" s="3" t="s">
        <v>312</v>
      </c>
      <c r="C552" s="3" t="s">
        <v>11</v>
      </c>
      <c r="D552" s="3" t="s">
        <v>302</v>
      </c>
      <c r="E552" s="4" t="s">
        <v>13</v>
      </c>
      <c r="F552" s="3">
        <v>1748001000</v>
      </c>
      <c r="G552" s="11" t="s">
        <v>854</v>
      </c>
      <c r="H552" s="11" t="s">
        <v>845</v>
      </c>
      <c r="I552" s="4">
        <v>40</v>
      </c>
      <c r="J552" s="4" t="s">
        <v>851</v>
      </c>
      <c r="K552" s="71">
        <v>40</v>
      </c>
      <c r="L552" t="s">
        <v>21</v>
      </c>
      <c r="M552">
        <f>K552/30</f>
        <v>1.3333333333333333</v>
      </c>
    </row>
    <row r="553" spans="1:13" x14ac:dyDescent="0.25">
      <c r="A553" s="16">
        <v>866</v>
      </c>
      <c r="B553" s="6" t="s">
        <v>10</v>
      </c>
      <c r="C553" s="6" t="s">
        <v>11</v>
      </c>
      <c r="D553" s="6" t="s">
        <v>26</v>
      </c>
      <c r="E553" s="4" t="s">
        <v>13</v>
      </c>
      <c r="F553" s="3">
        <v>3370002000</v>
      </c>
      <c r="G553" s="11" t="s">
        <v>512</v>
      </c>
      <c r="H553" s="11" t="s">
        <v>467</v>
      </c>
      <c r="I553" s="4">
        <v>2</v>
      </c>
      <c r="J553" s="4" t="s">
        <v>513</v>
      </c>
      <c r="K553" s="71">
        <v>2</v>
      </c>
      <c r="L553" t="s">
        <v>37</v>
      </c>
      <c r="M553" s="5">
        <f>K553</f>
        <v>2</v>
      </c>
    </row>
    <row r="554" spans="1:13" x14ac:dyDescent="0.25">
      <c r="A554" s="16">
        <v>868</v>
      </c>
      <c r="B554" s="6" t="s">
        <v>10</v>
      </c>
      <c r="C554" s="6" t="s">
        <v>22</v>
      </c>
      <c r="D554" s="6" t="s">
        <v>42</v>
      </c>
      <c r="E554" s="4" t="s">
        <v>13</v>
      </c>
      <c r="F554" s="3">
        <v>2126001000</v>
      </c>
      <c r="G554" s="11" t="s">
        <v>264</v>
      </c>
      <c r="H554" s="11" t="s">
        <v>265</v>
      </c>
      <c r="I554" s="19" t="s">
        <v>275</v>
      </c>
      <c r="J554" s="19" t="s">
        <v>271</v>
      </c>
      <c r="K554" s="71">
        <v>5</v>
      </c>
      <c r="L554" t="s">
        <v>17</v>
      </c>
      <c r="M554" s="5">
        <f>K554/7</f>
        <v>0.7142857142857143</v>
      </c>
    </row>
    <row r="555" spans="1:13" x14ac:dyDescent="0.25">
      <c r="A555" s="123">
        <v>869</v>
      </c>
      <c r="B555" s="76" t="s">
        <v>18</v>
      </c>
      <c r="C555" s="76" t="s">
        <v>39</v>
      </c>
      <c r="D555" s="76" t="s">
        <v>49</v>
      </c>
      <c r="E555" s="4" t="s">
        <v>13</v>
      </c>
      <c r="F555" s="76">
        <v>3043001000</v>
      </c>
      <c r="G555" t="s">
        <v>652</v>
      </c>
      <c r="H555" t="s">
        <v>380</v>
      </c>
      <c r="I555" s="4" t="s">
        <v>239</v>
      </c>
      <c r="J555" s="4" t="s">
        <v>523</v>
      </c>
      <c r="K555" s="71">
        <v>1</v>
      </c>
      <c r="L555" t="s">
        <v>17</v>
      </c>
      <c r="M555">
        <f>K555/7</f>
        <v>0.14285714285714285</v>
      </c>
    </row>
    <row r="556" spans="1:13" x14ac:dyDescent="0.25">
      <c r="A556" s="16">
        <v>871</v>
      </c>
      <c r="B556" s="6" t="s">
        <v>10</v>
      </c>
      <c r="C556" s="6" t="s">
        <v>76</v>
      </c>
      <c r="D556" s="6" t="s">
        <v>87</v>
      </c>
      <c r="E556" s="4" t="s">
        <v>13</v>
      </c>
      <c r="F556" s="3">
        <v>165001000</v>
      </c>
      <c r="G556" s="11" t="s">
        <v>319</v>
      </c>
      <c r="H556" s="11" t="s">
        <v>338</v>
      </c>
      <c r="I556" s="4" t="s">
        <v>320</v>
      </c>
      <c r="J556" s="4" t="s">
        <v>17</v>
      </c>
      <c r="K556" s="71">
        <v>26</v>
      </c>
      <c r="L556" t="s">
        <v>17</v>
      </c>
      <c r="M556" s="5">
        <f>K556/7</f>
        <v>3.7142857142857144</v>
      </c>
    </row>
    <row r="557" spans="1:13" x14ac:dyDescent="0.25">
      <c r="A557" s="125">
        <v>872</v>
      </c>
      <c r="B557" s="46" t="s">
        <v>18</v>
      </c>
      <c r="C557" s="46" t="s">
        <v>11</v>
      </c>
      <c r="D557" s="46" t="s">
        <v>41</v>
      </c>
      <c r="E557" s="4" t="s">
        <v>13</v>
      </c>
      <c r="F557" s="35">
        <v>1014001</v>
      </c>
      <c r="G557" t="s">
        <v>543</v>
      </c>
      <c r="H557" s="4"/>
      <c r="J557" s="71"/>
      <c r="K557"/>
      <c r="L557" s="5"/>
      <c r="M557"/>
    </row>
    <row r="558" spans="1:13" x14ac:dyDescent="0.25">
      <c r="A558" s="16">
        <v>873</v>
      </c>
      <c r="B558" s="6" t="s">
        <v>18</v>
      </c>
      <c r="C558" s="6" t="s">
        <v>11</v>
      </c>
      <c r="D558" s="6" t="s">
        <v>19</v>
      </c>
      <c r="E558" s="4" t="s">
        <v>13</v>
      </c>
      <c r="F558" s="3">
        <v>2675001000</v>
      </c>
      <c r="G558" s="11" t="s">
        <v>406</v>
      </c>
      <c r="H558" s="11" t="s">
        <v>407</v>
      </c>
      <c r="I558" s="4" t="s">
        <v>290</v>
      </c>
      <c r="J558" s="4" t="s">
        <v>408</v>
      </c>
      <c r="K558" s="71">
        <v>1</v>
      </c>
      <c r="L558" t="s">
        <v>21</v>
      </c>
      <c r="M558" s="5">
        <f>K558/30</f>
        <v>3.3333333333333333E-2</v>
      </c>
    </row>
    <row r="559" spans="1:13" x14ac:dyDescent="0.25">
      <c r="A559" s="16">
        <v>876</v>
      </c>
      <c r="B559" s="6" t="s">
        <v>18</v>
      </c>
      <c r="C559" s="6" t="s">
        <v>11</v>
      </c>
      <c r="D559" s="6" t="s">
        <v>19</v>
      </c>
      <c r="E559" s="4" t="s">
        <v>13</v>
      </c>
      <c r="F559" s="3">
        <v>193012000</v>
      </c>
      <c r="G559" s="11" t="s">
        <v>34</v>
      </c>
      <c r="H559" s="11" t="s">
        <v>339</v>
      </c>
      <c r="I559" s="4" t="s">
        <v>38</v>
      </c>
      <c r="J559" s="4" t="s">
        <v>36</v>
      </c>
      <c r="K559" s="71">
        <v>3</v>
      </c>
      <c r="L559" t="s">
        <v>37</v>
      </c>
      <c r="M559" s="5">
        <f>K559</f>
        <v>3</v>
      </c>
    </row>
    <row r="560" spans="1:13" x14ac:dyDescent="0.25">
      <c r="A560" s="125">
        <v>884</v>
      </c>
      <c r="B560" s="46" t="s">
        <v>18</v>
      </c>
      <c r="C560" s="46" t="s">
        <v>11</v>
      </c>
      <c r="D560" s="46" t="s">
        <v>41</v>
      </c>
      <c r="E560" s="4" t="s">
        <v>13</v>
      </c>
      <c r="F560" s="35">
        <v>1000005</v>
      </c>
      <c r="G560" t="s">
        <v>653</v>
      </c>
      <c r="H560" s="4"/>
      <c r="J560" s="71"/>
      <c r="K560"/>
      <c r="L560" s="5"/>
      <c r="M560"/>
    </row>
    <row r="561" spans="1:13" x14ac:dyDescent="0.25">
      <c r="A561" s="16">
        <v>894</v>
      </c>
      <c r="B561" s="6" t="s">
        <v>18</v>
      </c>
      <c r="C561" s="6" t="s">
        <v>11</v>
      </c>
      <c r="D561" s="6" t="s">
        <v>19</v>
      </c>
      <c r="E561" s="4" t="s">
        <v>13</v>
      </c>
      <c r="F561" s="3">
        <v>3207012000</v>
      </c>
      <c r="G561" s="11" t="s">
        <v>452</v>
      </c>
      <c r="H561" s="11" t="s">
        <v>456</v>
      </c>
      <c r="I561" s="4" t="s">
        <v>485</v>
      </c>
      <c r="J561" s="4" t="s">
        <v>235</v>
      </c>
      <c r="K561" s="71">
        <v>2</v>
      </c>
      <c r="L561" t="s">
        <v>17</v>
      </c>
      <c r="M561" s="5">
        <f>K561/7</f>
        <v>0.2857142857142857</v>
      </c>
    </row>
    <row r="562" spans="1:13" x14ac:dyDescent="0.25">
      <c r="A562" s="16">
        <v>897</v>
      </c>
      <c r="B562" s="6" t="s">
        <v>18</v>
      </c>
      <c r="C562" s="6" t="s">
        <v>22</v>
      </c>
      <c r="D562" s="6" t="s">
        <v>276</v>
      </c>
      <c r="E562" s="4" t="s">
        <v>13</v>
      </c>
      <c r="F562" s="3">
        <v>2126001000</v>
      </c>
      <c r="G562" s="11" t="s">
        <v>264</v>
      </c>
      <c r="H562" s="11" t="s">
        <v>265</v>
      </c>
      <c r="I562" s="19" t="s">
        <v>266</v>
      </c>
      <c r="J562" s="19" t="s">
        <v>267</v>
      </c>
      <c r="K562" s="71">
        <v>12</v>
      </c>
      <c r="L562" t="s">
        <v>17</v>
      </c>
      <c r="M562" s="5">
        <f>K562/7</f>
        <v>1.7142857142857142</v>
      </c>
    </row>
    <row r="563" spans="1:13" x14ac:dyDescent="0.25">
      <c r="A563" s="16">
        <v>899</v>
      </c>
      <c r="B563" s="6" t="s">
        <v>18</v>
      </c>
      <c r="C563" s="6" t="s">
        <v>11</v>
      </c>
      <c r="D563" s="6" t="s">
        <v>19</v>
      </c>
      <c r="E563" s="4" t="s">
        <v>13</v>
      </c>
      <c r="F563" s="3">
        <v>1406006000</v>
      </c>
      <c r="G563" s="11" t="s">
        <v>389</v>
      </c>
      <c r="H563" s="11" t="s">
        <v>380</v>
      </c>
      <c r="I563" s="4" t="s">
        <v>390</v>
      </c>
      <c r="J563" s="4" t="s">
        <v>353</v>
      </c>
      <c r="K563" s="71">
        <v>4</v>
      </c>
      <c r="L563" t="s">
        <v>17</v>
      </c>
      <c r="M563" s="5">
        <f>K563/7</f>
        <v>0.5714285714285714</v>
      </c>
    </row>
    <row r="564" spans="1:13" x14ac:dyDescent="0.25">
      <c r="A564" s="16">
        <v>910</v>
      </c>
      <c r="B564" s="6" t="s">
        <v>18</v>
      </c>
      <c r="C564" s="6" t="s">
        <v>11</v>
      </c>
      <c r="D564" s="6" t="s">
        <v>19</v>
      </c>
      <c r="E564" s="4" t="s">
        <v>13</v>
      </c>
      <c r="F564" s="3">
        <v>3042060001</v>
      </c>
      <c r="G564" s="11" t="s">
        <v>372</v>
      </c>
      <c r="H564" s="11" t="s">
        <v>350</v>
      </c>
      <c r="I564" s="4" t="s">
        <v>296</v>
      </c>
      <c r="J564" s="4" t="s">
        <v>352</v>
      </c>
      <c r="K564" s="105">
        <f>40/60</f>
        <v>0.66666666666666663</v>
      </c>
      <c r="L564" t="s">
        <v>17</v>
      </c>
      <c r="M564" s="5">
        <f>K564/7</f>
        <v>9.5238095238095233E-2</v>
      </c>
    </row>
    <row r="565" spans="1:13" x14ac:dyDescent="0.25">
      <c r="A565" s="125">
        <v>915</v>
      </c>
      <c r="B565" s="46" t="s">
        <v>18</v>
      </c>
      <c r="C565" s="46" t="s">
        <v>11</v>
      </c>
      <c r="D565" s="46" t="s">
        <v>19</v>
      </c>
      <c r="E565" s="4" t="s">
        <v>13</v>
      </c>
      <c r="F565" s="46">
        <v>2315001000</v>
      </c>
      <c r="G565" t="s">
        <v>655</v>
      </c>
      <c r="H565" t="s">
        <v>338</v>
      </c>
      <c r="I565" s="4" t="s">
        <v>862</v>
      </c>
      <c r="J565" s="4" t="s">
        <v>523</v>
      </c>
      <c r="K565" s="71">
        <v>5</v>
      </c>
      <c r="L565" t="s">
        <v>17</v>
      </c>
      <c r="M565" s="5">
        <f>K565/7</f>
        <v>0.7142857142857143</v>
      </c>
    </row>
    <row r="566" spans="1:13" x14ac:dyDescent="0.25">
      <c r="A566" s="16">
        <v>919</v>
      </c>
      <c r="B566" s="3" t="s">
        <v>10</v>
      </c>
      <c r="C566" s="3" t="s">
        <v>22</v>
      </c>
      <c r="D566" s="3" t="s">
        <v>40</v>
      </c>
      <c r="E566" s="4" t="s">
        <v>13</v>
      </c>
      <c r="F566" s="3">
        <v>2548101000</v>
      </c>
      <c r="G566" s="11" t="s">
        <v>838</v>
      </c>
      <c r="H566" s="11" t="s">
        <v>829</v>
      </c>
      <c r="I566" s="4">
        <v>6</v>
      </c>
      <c r="J566" s="4" t="s">
        <v>836</v>
      </c>
      <c r="K566" s="71">
        <v>6</v>
      </c>
      <c r="L566" t="s">
        <v>21</v>
      </c>
      <c r="M566" s="5">
        <f>K566/30</f>
        <v>0.2</v>
      </c>
    </row>
    <row r="567" spans="1:13" x14ac:dyDescent="0.25">
      <c r="A567" s="123">
        <v>920</v>
      </c>
      <c r="B567" s="76" t="s">
        <v>18</v>
      </c>
      <c r="C567" s="76" t="s">
        <v>39</v>
      </c>
      <c r="D567" s="76" t="s">
        <v>40</v>
      </c>
      <c r="E567" s="4" t="s">
        <v>13</v>
      </c>
      <c r="F567" s="76">
        <v>2777001000</v>
      </c>
      <c r="G567" t="s">
        <v>656</v>
      </c>
      <c r="H567" t="s">
        <v>467</v>
      </c>
      <c r="I567" s="4" t="s">
        <v>866</v>
      </c>
      <c r="J567" s="4" t="s">
        <v>235</v>
      </c>
      <c r="K567" s="71">
        <v>1</v>
      </c>
      <c r="L567" t="s">
        <v>17</v>
      </c>
      <c r="M567">
        <f>K567/7</f>
        <v>0.14285714285714285</v>
      </c>
    </row>
    <row r="568" spans="1:13" x14ac:dyDescent="0.25">
      <c r="A568" s="125">
        <v>923</v>
      </c>
      <c r="B568" s="46" t="s">
        <v>18</v>
      </c>
      <c r="C568" s="46" t="s">
        <v>39</v>
      </c>
      <c r="D568" s="46" t="s">
        <v>40</v>
      </c>
      <c r="E568" s="4" t="s">
        <v>13</v>
      </c>
      <c r="F568" s="35">
        <v>1014001</v>
      </c>
      <c r="G568" t="s">
        <v>543</v>
      </c>
      <c r="H568" s="4"/>
      <c r="J568" s="71"/>
      <c r="K568"/>
      <c r="L568" s="5"/>
      <c r="M568"/>
    </row>
    <row r="569" spans="1:13" x14ac:dyDescent="0.25">
      <c r="A569" s="16">
        <v>925</v>
      </c>
      <c r="B569" s="6" t="s">
        <v>10</v>
      </c>
      <c r="C569" s="6" t="s">
        <v>76</v>
      </c>
      <c r="D569" s="6" t="s">
        <v>87</v>
      </c>
      <c r="E569" s="4" t="s">
        <v>13</v>
      </c>
      <c r="F569" s="46">
        <v>1014001</v>
      </c>
      <c r="G569" t="s">
        <v>543</v>
      </c>
    </row>
    <row r="570" spans="1:13" x14ac:dyDescent="0.25">
      <c r="A570" s="91">
        <v>930</v>
      </c>
      <c r="B570" s="57" t="s">
        <v>18</v>
      </c>
      <c r="C570" s="57" t="s">
        <v>11</v>
      </c>
      <c r="D570" s="57" t="s">
        <v>41</v>
      </c>
      <c r="E570" s="7" t="s">
        <v>13</v>
      </c>
      <c r="F570" s="54">
        <v>3178001000</v>
      </c>
      <c r="G570" s="8" t="s">
        <v>657</v>
      </c>
      <c r="H570" s="8"/>
      <c r="I570" s="7"/>
      <c r="J570" s="7"/>
      <c r="K570" s="106"/>
      <c r="L570" s="8"/>
      <c r="M570" s="8"/>
    </row>
    <row r="571" spans="1:13" x14ac:dyDescent="0.25">
      <c r="A571" s="94">
        <v>931</v>
      </c>
      <c r="B571" s="3" t="s">
        <v>18</v>
      </c>
      <c r="C571" s="3" t="s">
        <v>39</v>
      </c>
      <c r="D571" s="3">
        <v>1014</v>
      </c>
      <c r="E571" s="4" t="s">
        <v>13</v>
      </c>
      <c r="F571" s="3">
        <v>212005000</v>
      </c>
      <c r="G571" s="11" t="s">
        <v>833</v>
      </c>
      <c r="H571" t="s">
        <v>829</v>
      </c>
      <c r="M571"/>
    </row>
    <row r="572" spans="1:13" x14ac:dyDescent="0.25">
      <c r="A572" s="16">
        <v>932</v>
      </c>
      <c r="B572" s="3" t="s">
        <v>18</v>
      </c>
      <c r="C572" s="3" t="s">
        <v>11</v>
      </c>
      <c r="D572" s="3" t="s">
        <v>19</v>
      </c>
      <c r="E572" s="4" t="s">
        <v>13</v>
      </c>
      <c r="F572" s="46">
        <v>1014001</v>
      </c>
      <c r="G572" t="s">
        <v>543</v>
      </c>
      <c r="M572"/>
    </row>
    <row r="573" spans="1:13" x14ac:dyDescent="0.25">
      <c r="A573" s="100">
        <v>934</v>
      </c>
      <c r="B573" s="46" t="s">
        <v>10</v>
      </c>
      <c r="C573" s="46" t="s">
        <v>22</v>
      </c>
      <c r="D573" s="46" t="s">
        <v>23</v>
      </c>
      <c r="E573" s="4" t="s">
        <v>13</v>
      </c>
      <c r="F573" s="46">
        <v>1165001000</v>
      </c>
      <c r="G573" t="s">
        <v>658</v>
      </c>
      <c r="H573" t="s">
        <v>856</v>
      </c>
      <c r="M573"/>
    </row>
    <row r="574" spans="1:13" ht="18.75" customHeight="1" x14ac:dyDescent="0.25">
      <c r="A574" s="16">
        <v>935</v>
      </c>
      <c r="B574" s="6" t="s">
        <v>18</v>
      </c>
      <c r="C574" s="6" t="s">
        <v>11</v>
      </c>
      <c r="D574" s="6" t="s">
        <v>41</v>
      </c>
      <c r="E574" s="4" t="s">
        <v>13</v>
      </c>
      <c r="F574" s="3">
        <v>66011000</v>
      </c>
      <c r="G574" s="11" t="s">
        <v>440</v>
      </c>
      <c r="H574" s="11" t="s">
        <v>521</v>
      </c>
      <c r="I574" s="4">
        <v>2</v>
      </c>
      <c r="J574" s="4" t="s">
        <v>513</v>
      </c>
      <c r="K574" s="71">
        <v>2</v>
      </c>
      <c r="L574" t="s">
        <v>37</v>
      </c>
      <c r="M574" s="5">
        <f>K574</f>
        <v>2</v>
      </c>
    </row>
    <row r="575" spans="1:13" x14ac:dyDescent="0.25">
      <c r="A575" s="123">
        <v>936</v>
      </c>
      <c r="B575" s="76" t="s">
        <v>10</v>
      </c>
      <c r="C575" s="76" t="s">
        <v>39</v>
      </c>
      <c r="D575" s="76">
        <v>2625</v>
      </c>
      <c r="E575" s="4" t="s">
        <v>13</v>
      </c>
      <c r="F575" s="76">
        <v>3370003000</v>
      </c>
      <c r="G575" t="s">
        <v>552</v>
      </c>
      <c r="H575" t="s">
        <v>879</v>
      </c>
      <c r="I575" s="4" t="s">
        <v>866</v>
      </c>
      <c r="J575" s="4" t="s">
        <v>492</v>
      </c>
      <c r="K575" s="71">
        <v>0.5</v>
      </c>
      <c r="L575" t="s">
        <v>37</v>
      </c>
      <c r="M575">
        <f>K575</f>
        <v>0.5</v>
      </c>
    </row>
    <row r="576" spans="1:13" x14ac:dyDescent="0.25">
      <c r="A576" s="16">
        <v>938</v>
      </c>
      <c r="B576" s="6" t="s">
        <v>70</v>
      </c>
      <c r="C576" s="6" t="s">
        <v>11</v>
      </c>
      <c r="D576" s="6" t="s">
        <v>19</v>
      </c>
      <c r="E576" s="4" t="s">
        <v>13</v>
      </c>
      <c r="F576" s="3">
        <v>165001000</v>
      </c>
      <c r="G576" s="11" t="s">
        <v>319</v>
      </c>
      <c r="H576" s="11" t="s">
        <v>338</v>
      </c>
      <c r="I576" s="4" t="s">
        <v>321</v>
      </c>
      <c r="J576" s="4" t="s">
        <v>17</v>
      </c>
      <c r="K576" s="71">
        <v>10</v>
      </c>
      <c r="L576" t="s">
        <v>17</v>
      </c>
      <c r="M576" s="5">
        <f t="shared" ref="M576:M582" si="5">K576/7</f>
        <v>1.4285714285714286</v>
      </c>
    </row>
    <row r="577" spans="1:13" x14ac:dyDescent="0.25">
      <c r="A577" s="16">
        <v>945</v>
      </c>
      <c r="B577" s="6" t="s">
        <v>18</v>
      </c>
      <c r="C577" s="6" t="s">
        <v>11</v>
      </c>
      <c r="D577" s="6" t="s">
        <v>19</v>
      </c>
      <c r="E577" s="16" t="s">
        <v>13</v>
      </c>
      <c r="F577" s="3">
        <v>165001000</v>
      </c>
      <c r="G577" s="11" t="s">
        <v>319</v>
      </c>
      <c r="H577" s="11" t="s">
        <v>338</v>
      </c>
      <c r="I577" s="4" t="s">
        <v>321</v>
      </c>
      <c r="J577" s="4" t="s">
        <v>17</v>
      </c>
      <c r="K577" s="71">
        <v>10</v>
      </c>
      <c r="L577" t="s">
        <v>17</v>
      </c>
      <c r="M577" s="5">
        <f t="shared" si="5"/>
        <v>1.4285714285714286</v>
      </c>
    </row>
    <row r="578" spans="1:13" x14ac:dyDescent="0.25">
      <c r="A578" s="16">
        <v>949</v>
      </c>
      <c r="B578" s="38" t="s">
        <v>10</v>
      </c>
      <c r="C578" s="6" t="s">
        <v>11</v>
      </c>
      <c r="D578" s="6" t="s">
        <v>26</v>
      </c>
      <c r="E578" s="4" t="s">
        <v>13</v>
      </c>
      <c r="F578" s="3">
        <v>2126001000</v>
      </c>
      <c r="G578" s="11" t="s">
        <v>264</v>
      </c>
      <c r="H578" s="11" t="s">
        <v>265</v>
      </c>
      <c r="I578" s="19" t="s">
        <v>275</v>
      </c>
      <c r="J578" s="19" t="s">
        <v>271</v>
      </c>
      <c r="K578" s="71">
        <v>5</v>
      </c>
      <c r="L578" t="s">
        <v>17</v>
      </c>
      <c r="M578" s="5">
        <f t="shared" si="5"/>
        <v>0.7142857142857143</v>
      </c>
    </row>
    <row r="579" spans="1:13" x14ac:dyDescent="0.25">
      <c r="A579" s="16">
        <v>950</v>
      </c>
      <c r="B579" s="6" t="s">
        <v>18</v>
      </c>
      <c r="C579" s="6" t="s">
        <v>39</v>
      </c>
      <c r="D579" s="6" t="s">
        <v>40</v>
      </c>
      <c r="E579" s="4" t="s">
        <v>13</v>
      </c>
      <c r="F579" s="3">
        <v>1967007000</v>
      </c>
      <c r="G579" s="11" t="s">
        <v>466</v>
      </c>
      <c r="H579" s="11" t="s">
        <v>467</v>
      </c>
      <c r="I579" s="4">
        <v>2</v>
      </c>
      <c r="J579" s="4" t="s">
        <v>534</v>
      </c>
      <c r="K579" s="71">
        <v>6</v>
      </c>
      <c r="L579" t="s">
        <v>17</v>
      </c>
      <c r="M579" s="5">
        <f t="shared" si="5"/>
        <v>0.8571428571428571</v>
      </c>
    </row>
    <row r="580" spans="1:13" x14ac:dyDescent="0.25">
      <c r="A580" s="16">
        <v>954</v>
      </c>
      <c r="B580" s="6" t="s">
        <v>18</v>
      </c>
      <c r="C580" s="6" t="s">
        <v>11</v>
      </c>
      <c r="D580" s="6" t="s">
        <v>19</v>
      </c>
      <c r="E580" s="4" t="s">
        <v>13</v>
      </c>
      <c r="F580" s="3">
        <v>165001000</v>
      </c>
      <c r="G580" s="11" t="s">
        <v>319</v>
      </c>
      <c r="H580" s="11" t="s">
        <v>338</v>
      </c>
      <c r="I580" s="4" t="s">
        <v>320</v>
      </c>
      <c r="J580" s="4" t="s">
        <v>17</v>
      </c>
      <c r="K580" s="71">
        <v>26</v>
      </c>
      <c r="L580" t="s">
        <v>17</v>
      </c>
      <c r="M580" s="5">
        <f t="shared" si="5"/>
        <v>3.7142857142857144</v>
      </c>
    </row>
    <row r="581" spans="1:13" x14ac:dyDescent="0.25">
      <c r="A581" s="16">
        <v>955</v>
      </c>
      <c r="B581" s="6" t="s">
        <v>10</v>
      </c>
      <c r="C581" s="6" t="s">
        <v>11</v>
      </c>
      <c r="D581" s="6" t="s">
        <v>26</v>
      </c>
      <c r="E581" s="4" t="s">
        <v>13</v>
      </c>
      <c r="F581" s="3">
        <v>1406001000</v>
      </c>
      <c r="G581" s="11" t="s">
        <v>392</v>
      </c>
      <c r="H581" s="11" t="s">
        <v>380</v>
      </c>
      <c r="I581" s="4" t="s">
        <v>358</v>
      </c>
      <c r="J581" s="4" t="s">
        <v>393</v>
      </c>
      <c r="K581" s="71">
        <v>1.5</v>
      </c>
      <c r="L581" t="s">
        <v>17</v>
      </c>
      <c r="M581" s="5">
        <f t="shared" si="5"/>
        <v>0.21428571428571427</v>
      </c>
    </row>
    <row r="582" spans="1:13" x14ac:dyDescent="0.25">
      <c r="A582" s="125">
        <v>964</v>
      </c>
      <c r="B582" s="46" t="s">
        <v>18</v>
      </c>
      <c r="C582" s="46" t="s">
        <v>39</v>
      </c>
      <c r="D582" s="46" t="s">
        <v>49</v>
      </c>
      <c r="E582" s="4" t="s">
        <v>13</v>
      </c>
      <c r="F582" s="46">
        <v>43006000</v>
      </c>
      <c r="G582" t="s">
        <v>555</v>
      </c>
      <c r="H582" t="s">
        <v>504</v>
      </c>
      <c r="I582" s="4" t="s">
        <v>494</v>
      </c>
      <c r="J582" s="4" t="s">
        <v>523</v>
      </c>
      <c r="K582" s="71">
        <v>4</v>
      </c>
      <c r="L582" t="s">
        <v>17</v>
      </c>
      <c r="M582" s="5">
        <f t="shared" si="5"/>
        <v>0.5714285714285714</v>
      </c>
    </row>
    <row r="583" spans="1:13" x14ac:dyDescent="0.25">
      <c r="A583" s="95">
        <v>965</v>
      </c>
      <c r="B583" s="39" t="s">
        <v>18</v>
      </c>
      <c r="C583" s="39" t="s">
        <v>39</v>
      </c>
      <c r="D583" s="39" t="s">
        <v>40</v>
      </c>
      <c r="E583" s="7" t="s">
        <v>13</v>
      </c>
      <c r="F583" s="57">
        <v>1165000000</v>
      </c>
      <c r="G583" s="33" t="s">
        <v>216</v>
      </c>
      <c r="H583" s="8" t="s">
        <v>215</v>
      </c>
      <c r="I583" s="7"/>
      <c r="J583" s="7" t="s">
        <v>529</v>
      </c>
      <c r="K583" s="106"/>
      <c r="L583" s="8"/>
      <c r="M583" s="30"/>
    </row>
    <row r="584" spans="1:13" x14ac:dyDescent="0.25">
      <c r="A584" s="16">
        <v>972</v>
      </c>
      <c r="B584" s="6" t="s">
        <v>10</v>
      </c>
      <c r="C584" s="6" t="s">
        <v>11</v>
      </c>
      <c r="D584" s="6" t="s">
        <v>26</v>
      </c>
      <c r="E584" s="4" t="s">
        <v>13</v>
      </c>
      <c r="F584" s="3">
        <v>66011000</v>
      </c>
      <c r="G584" s="11" t="s">
        <v>440</v>
      </c>
      <c r="H584" s="11" t="s">
        <v>521</v>
      </c>
      <c r="I584" s="4" t="s">
        <v>239</v>
      </c>
      <c r="J584" s="4" t="s">
        <v>523</v>
      </c>
      <c r="K584" s="71">
        <v>1</v>
      </c>
      <c r="L584" t="s">
        <v>17</v>
      </c>
      <c r="M584" s="5">
        <f>K584/7</f>
        <v>0.14285714285714285</v>
      </c>
    </row>
    <row r="585" spans="1:13" x14ac:dyDescent="0.25">
      <c r="A585" s="16">
        <v>979</v>
      </c>
      <c r="B585" s="6" t="s">
        <v>18</v>
      </c>
      <c r="C585" s="6" t="s">
        <v>11</v>
      </c>
      <c r="D585" s="6" t="s">
        <v>19</v>
      </c>
      <c r="E585" s="4" t="s">
        <v>13</v>
      </c>
      <c r="F585" s="3">
        <v>2548053000</v>
      </c>
      <c r="G585" s="11" t="s">
        <v>180</v>
      </c>
      <c r="H585" s="11" t="s">
        <v>337</v>
      </c>
      <c r="I585" s="4" t="s">
        <v>144</v>
      </c>
      <c r="J585" s="4" t="s">
        <v>172</v>
      </c>
      <c r="K585" s="71">
        <v>3</v>
      </c>
      <c r="L585" t="s">
        <v>17</v>
      </c>
      <c r="M585" s="5">
        <f>K585/7</f>
        <v>0.42857142857142855</v>
      </c>
    </row>
    <row r="586" spans="1:13" x14ac:dyDescent="0.25">
      <c r="A586" s="125">
        <v>997</v>
      </c>
      <c r="B586" s="46" t="s">
        <v>222</v>
      </c>
      <c r="C586" s="46" t="s">
        <v>659</v>
      </c>
      <c r="D586" s="46" t="s">
        <v>40</v>
      </c>
      <c r="E586" s="4" t="s">
        <v>13</v>
      </c>
      <c r="F586" s="35">
        <v>1014001</v>
      </c>
      <c r="G586" t="s">
        <v>543</v>
      </c>
      <c r="H586" s="4"/>
      <c r="J586" s="71"/>
      <c r="K586"/>
      <c r="L586" s="5"/>
      <c r="M586"/>
    </row>
    <row r="587" spans="1:13" x14ac:dyDescent="0.25">
      <c r="A587" s="125">
        <v>1002</v>
      </c>
      <c r="B587" s="46" t="s">
        <v>18</v>
      </c>
      <c r="C587" s="46" t="s">
        <v>11</v>
      </c>
      <c r="D587" s="46" t="s">
        <v>41</v>
      </c>
      <c r="E587" s="4" t="s">
        <v>13</v>
      </c>
      <c r="F587" s="35">
        <v>1014001</v>
      </c>
      <c r="G587" t="s">
        <v>543</v>
      </c>
      <c r="H587" s="4"/>
      <c r="J587" s="71"/>
      <c r="K587"/>
      <c r="L587" s="5"/>
      <c r="M587"/>
    </row>
    <row r="588" spans="1:13" x14ac:dyDescent="0.25">
      <c r="A588" s="16">
        <v>1003</v>
      </c>
      <c r="B588" s="6" t="s">
        <v>70</v>
      </c>
      <c r="C588" s="6" t="s">
        <v>11</v>
      </c>
      <c r="D588" s="6" t="s">
        <v>19</v>
      </c>
      <c r="E588" s="4" t="s">
        <v>13</v>
      </c>
      <c r="F588" s="3">
        <v>1967007000</v>
      </c>
      <c r="G588" s="11" t="s">
        <v>466</v>
      </c>
      <c r="H588" s="11" t="s">
        <v>467</v>
      </c>
      <c r="I588" s="4">
        <v>6</v>
      </c>
      <c r="J588" s="4" t="s">
        <v>533</v>
      </c>
      <c r="K588" s="71">
        <v>6</v>
      </c>
      <c r="L588" t="s">
        <v>538</v>
      </c>
      <c r="M588" s="5">
        <f>K588/90</f>
        <v>6.6666666666666666E-2</v>
      </c>
    </row>
    <row r="589" spans="1:13" x14ac:dyDescent="0.25">
      <c r="A589" s="125">
        <v>1004</v>
      </c>
      <c r="B589" s="46" t="s">
        <v>18</v>
      </c>
      <c r="C589" s="46" t="s">
        <v>11</v>
      </c>
      <c r="D589" s="46" t="s">
        <v>19</v>
      </c>
      <c r="E589" s="4" t="s">
        <v>13</v>
      </c>
      <c r="F589" s="46">
        <v>43006000</v>
      </c>
      <c r="G589" t="s">
        <v>555</v>
      </c>
      <c r="H589" t="s">
        <v>504</v>
      </c>
      <c r="I589" s="4" t="s">
        <v>493</v>
      </c>
      <c r="J589" s="4" t="s">
        <v>492</v>
      </c>
      <c r="K589" s="71">
        <v>2</v>
      </c>
      <c r="L589" t="s">
        <v>37</v>
      </c>
      <c r="M589" s="5">
        <f>K589</f>
        <v>2</v>
      </c>
    </row>
    <row r="590" spans="1:13" x14ac:dyDescent="0.25">
      <c r="A590" s="16">
        <v>1007</v>
      </c>
      <c r="B590" s="6" t="s">
        <v>70</v>
      </c>
      <c r="C590" s="6" t="s">
        <v>39</v>
      </c>
      <c r="D590" s="6" t="s">
        <v>40</v>
      </c>
      <c r="E590" s="4" t="s">
        <v>13</v>
      </c>
      <c r="F590" s="3">
        <v>1165000000</v>
      </c>
      <c r="G590" s="11" t="s">
        <v>216</v>
      </c>
      <c r="H590" s="11" t="s">
        <v>215</v>
      </c>
      <c r="I590" s="4">
        <v>4</v>
      </c>
      <c r="J590" s="4" t="s">
        <v>16</v>
      </c>
      <c r="K590" s="71">
        <v>4</v>
      </c>
      <c r="L590" t="s">
        <v>17</v>
      </c>
      <c r="M590" s="5">
        <f>K590/7</f>
        <v>0.5714285714285714</v>
      </c>
    </row>
    <row r="591" spans="1:13" x14ac:dyDescent="0.25">
      <c r="A591" s="16">
        <v>1013</v>
      </c>
      <c r="B591" s="3" t="s">
        <v>18</v>
      </c>
      <c r="C591" s="3" t="s">
        <v>22</v>
      </c>
      <c r="D591" s="3" t="s">
        <v>224</v>
      </c>
      <c r="E591" s="4" t="s">
        <v>13</v>
      </c>
      <c r="F591" s="3">
        <v>3319002000</v>
      </c>
      <c r="G591" s="11" t="s">
        <v>848</v>
      </c>
      <c r="H591" s="4" t="s">
        <v>845</v>
      </c>
      <c r="I591" s="4">
        <v>20</v>
      </c>
      <c r="J591" s="4" t="s">
        <v>135</v>
      </c>
      <c r="K591" s="71">
        <v>20</v>
      </c>
      <c r="L591" t="s">
        <v>21</v>
      </c>
      <c r="M591">
        <f>K591/30</f>
        <v>0.66666666666666663</v>
      </c>
    </row>
    <row r="592" spans="1:13" x14ac:dyDescent="0.25">
      <c r="A592" s="123">
        <v>1030</v>
      </c>
      <c r="B592" s="76" t="s">
        <v>10</v>
      </c>
      <c r="C592" s="76" t="s">
        <v>76</v>
      </c>
      <c r="D592" s="76" t="s">
        <v>87</v>
      </c>
      <c r="E592" s="4" t="s">
        <v>13</v>
      </c>
      <c r="F592" s="76">
        <v>2126006000</v>
      </c>
      <c r="G592" t="s">
        <v>660</v>
      </c>
      <c r="H592" t="s">
        <v>467</v>
      </c>
      <c r="I592" s="4" t="s">
        <v>239</v>
      </c>
      <c r="J592" s="4" t="s">
        <v>492</v>
      </c>
      <c r="K592" s="71">
        <v>1</v>
      </c>
      <c r="L592" t="s">
        <v>37</v>
      </c>
      <c r="M592">
        <f>K592</f>
        <v>1</v>
      </c>
    </row>
    <row r="593" spans="1:13" x14ac:dyDescent="0.25">
      <c r="A593" s="16">
        <v>1031</v>
      </c>
      <c r="B593" s="6" t="s">
        <v>18</v>
      </c>
      <c r="C593" s="6" t="s">
        <v>11</v>
      </c>
      <c r="D593" s="6" t="s">
        <v>41</v>
      </c>
      <c r="E593" s="4" t="s">
        <v>13</v>
      </c>
      <c r="F593" s="3">
        <v>3300202000</v>
      </c>
      <c r="G593" s="11" t="s">
        <v>354</v>
      </c>
      <c r="H593" s="11" t="s">
        <v>350</v>
      </c>
      <c r="I593" s="4" t="s">
        <v>296</v>
      </c>
      <c r="J593" s="4" t="s">
        <v>355</v>
      </c>
      <c r="K593" s="105">
        <f>40/60</f>
        <v>0.66666666666666663</v>
      </c>
      <c r="L593" t="s">
        <v>37</v>
      </c>
      <c r="M593" s="5">
        <f>K593</f>
        <v>0.66666666666666663</v>
      </c>
    </row>
    <row r="594" spans="1:13" x14ac:dyDescent="0.25">
      <c r="A594" s="126">
        <v>1035</v>
      </c>
      <c r="B594" s="42" t="s">
        <v>18</v>
      </c>
      <c r="C594" s="42" t="s">
        <v>11</v>
      </c>
      <c r="D594" s="42" t="s">
        <v>19</v>
      </c>
      <c r="E594" s="4" t="s">
        <v>13</v>
      </c>
      <c r="F594" s="60">
        <v>3284001000</v>
      </c>
      <c r="G594" s="31" t="s">
        <v>509</v>
      </c>
      <c r="H594" s="17" t="s">
        <v>525</v>
      </c>
      <c r="I594" s="18" t="s">
        <v>231</v>
      </c>
      <c r="J594" s="4" t="s">
        <v>231</v>
      </c>
      <c r="K594" s="71">
        <v>0</v>
      </c>
      <c r="L594" t="str">
        <f>J594</f>
        <v>back up</v>
      </c>
      <c r="M594" s="5">
        <v>0</v>
      </c>
    </row>
    <row r="595" spans="1:13" x14ac:dyDescent="0.25">
      <c r="A595" s="123">
        <v>1042</v>
      </c>
      <c r="B595" s="76" t="s">
        <v>10</v>
      </c>
      <c r="C595" s="76" t="s">
        <v>11</v>
      </c>
      <c r="D595" s="76" t="s">
        <v>26</v>
      </c>
      <c r="E595" s="4" t="s">
        <v>13</v>
      </c>
      <c r="F595" s="76">
        <v>2735001000</v>
      </c>
      <c r="G595" t="s">
        <v>661</v>
      </c>
      <c r="H595" t="s">
        <v>467</v>
      </c>
      <c r="I595" s="4" t="s">
        <v>239</v>
      </c>
      <c r="J595" s="4" t="s">
        <v>535</v>
      </c>
      <c r="K595" s="71">
        <v>3</v>
      </c>
      <c r="L595" t="s">
        <v>17</v>
      </c>
      <c r="M595">
        <f>K595/7</f>
        <v>0.42857142857142855</v>
      </c>
    </row>
    <row r="596" spans="1:13" x14ac:dyDescent="0.25">
      <c r="A596" s="125">
        <v>1049</v>
      </c>
      <c r="B596" s="46" t="s">
        <v>18</v>
      </c>
      <c r="C596" s="46" t="s">
        <v>39</v>
      </c>
      <c r="D596" s="46" t="s">
        <v>40</v>
      </c>
      <c r="E596" s="4" t="s">
        <v>13</v>
      </c>
      <c r="F596" s="46">
        <v>3034001000</v>
      </c>
      <c r="G596" t="s">
        <v>662</v>
      </c>
      <c r="H596" t="s">
        <v>338</v>
      </c>
      <c r="I596" s="4" t="s">
        <v>862</v>
      </c>
      <c r="J596" s="4" t="s">
        <v>523</v>
      </c>
      <c r="K596" s="71">
        <v>5</v>
      </c>
      <c r="L596" t="s">
        <v>17</v>
      </c>
      <c r="M596" s="5">
        <f>K596/7</f>
        <v>0.7142857142857143</v>
      </c>
    </row>
    <row r="597" spans="1:13" x14ac:dyDescent="0.25">
      <c r="A597" s="16">
        <v>1051</v>
      </c>
      <c r="B597" s="6" t="s">
        <v>18</v>
      </c>
      <c r="C597" s="6" t="s">
        <v>11</v>
      </c>
      <c r="D597" s="6" t="s">
        <v>19</v>
      </c>
      <c r="E597" s="4" t="s">
        <v>13</v>
      </c>
      <c r="F597" s="3">
        <v>3343001000</v>
      </c>
      <c r="G597" s="11" t="s">
        <v>514</v>
      </c>
      <c r="H597" s="11" t="s">
        <v>428</v>
      </c>
      <c r="I597" s="4">
        <v>2</v>
      </c>
      <c r="J597" s="4" t="s">
        <v>487</v>
      </c>
      <c r="K597" s="71">
        <v>2</v>
      </c>
      <c r="L597" t="s">
        <v>17</v>
      </c>
      <c r="M597" s="5">
        <f>K597/7</f>
        <v>0.2857142857142857</v>
      </c>
    </row>
    <row r="598" spans="1:13" x14ac:dyDescent="0.25">
      <c r="A598" s="123">
        <v>1053</v>
      </c>
      <c r="B598" s="76" t="s">
        <v>18</v>
      </c>
      <c r="C598" s="76" t="s">
        <v>39</v>
      </c>
      <c r="D598" s="76" t="s">
        <v>40</v>
      </c>
      <c r="E598" s="4" t="s">
        <v>13</v>
      </c>
      <c r="F598" s="76">
        <v>3234001000</v>
      </c>
      <c r="G598" t="s">
        <v>565</v>
      </c>
      <c r="H598" t="s">
        <v>380</v>
      </c>
      <c r="I598" s="4" t="s">
        <v>493</v>
      </c>
      <c r="J598" s="4" t="s">
        <v>235</v>
      </c>
      <c r="K598" s="71">
        <v>4</v>
      </c>
      <c r="L598" t="s">
        <v>17</v>
      </c>
      <c r="M598">
        <f>K598/7</f>
        <v>0.5714285714285714</v>
      </c>
    </row>
    <row r="599" spans="1:13" x14ac:dyDescent="0.25">
      <c r="A599" s="16">
        <v>1056</v>
      </c>
      <c r="B599" s="6" t="s">
        <v>10</v>
      </c>
      <c r="C599" s="6" t="s">
        <v>39</v>
      </c>
      <c r="D599" s="6">
        <v>2815</v>
      </c>
      <c r="E599" s="4" t="s">
        <v>13</v>
      </c>
      <c r="F599" s="3">
        <v>66011000</v>
      </c>
      <c r="G599" s="11" t="s">
        <v>440</v>
      </c>
      <c r="H599" s="11" t="s">
        <v>521</v>
      </c>
      <c r="I599" s="4" t="s">
        <v>239</v>
      </c>
      <c r="J599" s="4" t="s">
        <v>523</v>
      </c>
      <c r="K599" s="71">
        <v>1</v>
      </c>
      <c r="L599" t="s">
        <v>17</v>
      </c>
      <c r="M599" s="5">
        <f>K599/7</f>
        <v>0.14285714285714285</v>
      </c>
    </row>
    <row r="600" spans="1:13" x14ac:dyDescent="0.25">
      <c r="A600" s="125">
        <v>1059</v>
      </c>
      <c r="B600" s="46" t="s">
        <v>18</v>
      </c>
      <c r="C600" s="46" t="s">
        <v>11</v>
      </c>
      <c r="D600" s="46" t="s">
        <v>41</v>
      </c>
      <c r="E600" s="4" t="s">
        <v>13</v>
      </c>
      <c r="F600" s="35">
        <v>1022000</v>
      </c>
      <c r="G600" t="s">
        <v>643</v>
      </c>
      <c r="H600" s="4"/>
      <c r="J600" s="71"/>
      <c r="K600"/>
      <c r="L600" s="5"/>
      <c r="M600"/>
    </row>
    <row r="601" spans="1:13" x14ac:dyDescent="0.25">
      <c r="A601" s="16">
        <v>1063</v>
      </c>
      <c r="B601" s="6" t="s">
        <v>18</v>
      </c>
      <c r="C601" s="6" t="s">
        <v>11</v>
      </c>
      <c r="D601" s="6" t="s">
        <v>41</v>
      </c>
      <c r="E601" s="4" t="s">
        <v>13</v>
      </c>
      <c r="F601" s="46">
        <v>1014001</v>
      </c>
      <c r="G601" t="s">
        <v>543</v>
      </c>
    </row>
    <row r="602" spans="1:13" x14ac:dyDescent="0.25">
      <c r="A602" s="125">
        <v>1064</v>
      </c>
      <c r="B602" s="46" t="s">
        <v>10</v>
      </c>
      <c r="C602" s="46" t="s">
        <v>39</v>
      </c>
      <c r="D602" s="46">
        <v>2815</v>
      </c>
      <c r="E602" s="4" t="s">
        <v>13</v>
      </c>
      <c r="F602" s="35">
        <v>1000008</v>
      </c>
      <c r="G602" t="s">
        <v>663</v>
      </c>
      <c r="H602" s="4"/>
      <c r="J602" s="71"/>
      <c r="K602"/>
      <c r="L602" s="5"/>
      <c r="M602"/>
    </row>
    <row r="603" spans="1:13" x14ac:dyDescent="0.25">
      <c r="A603" s="16">
        <v>1101</v>
      </c>
      <c r="B603" s="6" t="s">
        <v>10</v>
      </c>
      <c r="C603" s="6" t="s">
        <v>22</v>
      </c>
      <c r="D603" s="6" t="s">
        <v>23</v>
      </c>
      <c r="E603" s="4" t="s">
        <v>13</v>
      </c>
      <c r="F603" s="46">
        <v>1014001</v>
      </c>
      <c r="G603" t="s">
        <v>543</v>
      </c>
    </row>
    <row r="604" spans="1:13" x14ac:dyDescent="0.25">
      <c r="A604" s="16">
        <v>1111</v>
      </c>
      <c r="B604" s="6" t="s">
        <v>18</v>
      </c>
      <c r="C604" s="6" t="s">
        <v>183</v>
      </c>
      <c r="D604" s="6"/>
      <c r="E604" s="4" t="s">
        <v>13</v>
      </c>
      <c r="F604" s="3">
        <v>3319002000</v>
      </c>
      <c r="G604" t="s">
        <v>848</v>
      </c>
      <c r="H604" s="4" t="s">
        <v>64</v>
      </c>
      <c r="I604" s="4">
        <v>20</v>
      </c>
      <c r="J604" s="4" t="s">
        <v>135</v>
      </c>
      <c r="K604" s="71">
        <v>20</v>
      </c>
      <c r="L604" t="s">
        <v>21</v>
      </c>
      <c r="M604" s="5">
        <f>K604/30</f>
        <v>0.66666666666666663</v>
      </c>
    </row>
    <row r="605" spans="1:13" x14ac:dyDescent="0.25">
      <c r="A605" s="125">
        <v>1112</v>
      </c>
      <c r="B605" s="46" t="s">
        <v>18</v>
      </c>
      <c r="C605" s="46" t="s">
        <v>11</v>
      </c>
      <c r="D605" s="46" t="s">
        <v>41</v>
      </c>
      <c r="E605" s="4" t="s">
        <v>13</v>
      </c>
      <c r="F605" s="35">
        <v>1014001</v>
      </c>
      <c r="G605" t="s">
        <v>543</v>
      </c>
      <c r="H605" s="4"/>
      <c r="J605" s="71"/>
      <c r="K605"/>
      <c r="L605" s="5"/>
      <c r="M605"/>
    </row>
    <row r="606" spans="1:13" x14ac:dyDescent="0.25">
      <c r="A606" s="16">
        <v>1113</v>
      </c>
      <c r="B606" s="6" t="s">
        <v>18</v>
      </c>
      <c r="C606" s="6" t="s">
        <v>11</v>
      </c>
      <c r="D606" s="6" t="s">
        <v>19</v>
      </c>
      <c r="E606" s="4" t="s">
        <v>13</v>
      </c>
      <c r="F606" s="3">
        <v>165001000</v>
      </c>
      <c r="G606" s="11" t="s">
        <v>319</v>
      </c>
      <c r="H606" s="11" t="s">
        <v>338</v>
      </c>
      <c r="I606" s="4" t="s">
        <v>320</v>
      </c>
      <c r="J606" s="4" t="s">
        <v>17</v>
      </c>
      <c r="K606" s="71">
        <v>26</v>
      </c>
      <c r="L606" t="s">
        <v>17</v>
      </c>
      <c r="M606" s="5">
        <f>K606/7</f>
        <v>3.7142857142857144</v>
      </c>
    </row>
    <row r="607" spans="1:13" x14ac:dyDescent="0.25">
      <c r="A607" s="91">
        <v>1114</v>
      </c>
      <c r="B607" s="57" t="s">
        <v>18</v>
      </c>
      <c r="C607" s="57" t="s">
        <v>22</v>
      </c>
      <c r="D607" s="57" t="s">
        <v>224</v>
      </c>
      <c r="E607" s="7" t="s">
        <v>13</v>
      </c>
      <c r="F607" s="57">
        <v>3319002000</v>
      </c>
      <c r="G607" s="8" t="s">
        <v>848</v>
      </c>
      <c r="H607" s="8" t="s">
        <v>64</v>
      </c>
      <c r="I607" s="7"/>
      <c r="J607" s="7" t="s">
        <v>849</v>
      </c>
      <c r="K607" s="106"/>
      <c r="L607" s="8"/>
      <c r="M607" s="8"/>
    </row>
    <row r="608" spans="1:13" x14ac:dyDescent="0.25">
      <c r="A608" s="16">
        <v>1115</v>
      </c>
      <c r="B608" s="3" t="s">
        <v>18</v>
      </c>
      <c r="C608" s="3" t="s">
        <v>22</v>
      </c>
      <c r="D608" s="3" t="s">
        <v>224</v>
      </c>
      <c r="E608" s="4" t="s">
        <v>13</v>
      </c>
      <c r="F608" s="3">
        <v>2341002000</v>
      </c>
      <c r="G608" t="s">
        <v>831</v>
      </c>
      <c r="H608" s="11" t="s">
        <v>829</v>
      </c>
      <c r="I608" s="4" t="s">
        <v>35</v>
      </c>
      <c r="J608" s="4" t="s">
        <v>832</v>
      </c>
      <c r="K608" s="71">
        <v>2</v>
      </c>
      <c r="L608" t="s">
        <v>160</v>
      </c>
      <c r="M608">
        <f>K608/60</f>
        <v>3.3333333333333333E-2</v>
      </c>
    </row>
    <row r="609" spans="1:13" x14ac:dyDescent="0.25">
      <c r="A609" s="125">
        <v>1118</v>
      </c>
      <c r="B609" s="46" t="s">
        <v>70</v>
      </c>
      <c r="C609" s="46" t="s">
        <v>11</v>
      </c>
      <c r="D609" s="46" t="s">
        <v>19</v>
      </c>
      <c r="E609" s="4" t="s">
        <v>13</v>
      </c>
      <c r="F609" s="46">
        <v>1165000000</v>
      </c>
      <c r="G609" t="s">
        <v>559</v>
      </c>
      <c r="H609" t="s">
        <v>856</v>
      </c>
      <c r="I609" s="4" t="s">
        <v>493</v>
      </c>
      <c r="J609" s="4" t="s">
        <v>523</v>
      </c>
      <c r="K609" s="71">
        <v>2</v>
      </c>
      <c r="L609" t="s">
        <v>17</v>
      </c>
      <c r="M609" s="5">
        <f>K609/7</f>
        <v>0.2857142857142857</v>
      </c>
    </row>
    <row r="610" spans="1:13" x14ac:dyDescent="0.25">
      <c r="A610" s="95">
        <v>1121</v>
      </c>
      <c r="B610" s="139" t="s">
        <v>18</v>
      </c>
      <c r="C610" s="139" t="s">
        <v>11</v>
      </c>
      <c r="D610" s="139" t="s">
        <v>19</v>
      </c>
      <c r="E610" s="7" t="s">
        <v>13</v>
      </c>
      <c r="F610" s="140">
        <v>3042116001</v>
      </c>
      <c r="G610" s="141" t="s">
        <v>546</v>
      </c>
      <c r="H610" s="142" t="s">
        <v>227</v>
      </c>
      <c r="I610" s="7"/>
      <c r="J610" s="143" t="s">
        <v>221</v>
      </c>
      <c r="K610" s="106"/>
      <c r="L610" s="8"/>
      <c r="M610" s="30"/>
    </row>
    <row r="611" spans="1:13" x14ac:dyDescent="0.25">
      <c r="A611" s="16">
        <v>1124</v>
      </c>
      <c r="B611" s="6" t="s">
        <v>18</v>
      </c>
      <c r="C611" s="6" t="s">
        <v>11</v>
      </c>
      <c r="D611" s="6" t="s">
        <v>41</v>
      </c>
      <c r="E611" s="4" t="s">
        <v>13</v>
      </c>
      <c r="F611" s="3">
        <v>3207001000</v>
      </c>
      <c r="G611" s="11" t="s">
        <v>190</v>
      </c>
      <c r="H611" s="11" t="s">
        <v>337</v>
      </c>
      <c r="I611" s="4" t="s">
        <v>144</v>
      </c>
      <c r="J611" s="4" t="s">
        <v>139</v>
      </c>
      <c r="K611" s="71">
        <v>2</v>
      </c>
      <c r="L611" t="s">
        <v>17</v>
      </c>
      <c r="M611" s="5">
        <f>K611/7</f>
        <v>0.2857142857142857</v>
      </c>
    </row>
    <row r="612" spans="1:13" x14ac:dyDescent="0.25">
      <c r="A612" s="16">
        <v>1128</v>
      </c>
      <c r="B612" s="6" t="s">
        <v>10</v>
      </c>
      <c r="C612" s="6" t="s">
        <v>39</v>
      </c>
      <c r="D612" s="6">
        <v>2815</v>
      </c>
      <c r="E612" s="4" t="s">
        <v>13</v>
      </c>
      <c r="F612" s="3">
        <v>66032000</v>
      </c>
      <c r="G612" s="11" t="s">
        <v>503</v>
      </c>
      <c r="H612" s="11" t="s">
        <v>498</v>
      </c>
      <c r="I612" s="4">
        <v>4</v>
      </c>
      <c r="J612" s="4" t="s">
        <v>20</v>
      </c>
      <c r="K612" s="71">
        <f>I612</f>
        <v>4</v>
      </c>
      <c r="L612" t="s">
        <v>21</v>
      </c>
      <c r="M612" s="5">
        <f>K612/30</f>
        <v>0.13333333333333333</v>
      </c>
    </row>
    <row r="613" spans="1:13" x14ac:dyDescent="0.25">
      <c r="A613" s="16">
        <v>1129</v>
      </c>
      <c r="B613" s="6" t="s">
        <v>18</v>
      </c>
      <c r="C613" s="6" t="s">
        <v>11</v>
      </c>
      <c r="D613" s="6"/>
      <c r="E613" s="4" t="s">
        <v>13</v>
      </c>
      <c r="F613" s="3">
        <v>3042058002</v>
      </c>
      <c r="G613" s="11" t="s">
        <v>210</v>
      </c>
      <c r="H613" s="11" t="s">
        <v>211</v>
      </c>
      <c r="I613" s="4" t="s">
        <v>144</v>
      </c>
      <c r="J613" s="4" t="s">
        <v>172</v>
      </c>
      <c r="K613" s="71">
        <v>3</v>
      </c>
      <c r="L613" t="s">
        <v>17</v>
      </c>
      <c r="M613" s="5">
        <f>K613/7</f>
        <v>0.42857142857142855</v>
      </c>
    </row>
    <row r="614" spans="1:13" x14ac:dyDescent="0.25">
      <c r="A614" s="16">
        <v>1132</v>
      </c>
      <c r="B614" s="6" t="s">
        <v>10</v>
      </c>
      <c r="C614" s="6" t="s">
        <v>76</v>
      </c>
      <c r="D614" s="6" t="s">
        <v>87</v>
      </c>
      <c r="E614" s="4" t="s">
        <v>13</v>
      </c>
      <c r="F614" s="3">
        <v>2924001000</v>
      </c>
      <c r="G614" s="11" t="s">
        <v>85</v>
      </c>
      <c r="H614" s="11" t="s">
        <v>64</v>
      </c>
      <c r="I614" s="4">
        <v>20</v>
      </c>
      <c r="J614" s="4" t="s">
        <v>75</v>
      </c>
      <c r="K614" s="71">
        <v>20</v>
      </c>
      <c r="L614" t="s">
        <v>21</v>
      </c>
      <c r="M614" s="5">
        <f>K614/30</f>
        <v>0.66666666666666663</v>
      </c>
    </row>
    <row r="615" spans="1:13" x14ac:dyDescent="0.25">
      <c r="A615" s="16">
        <v>1136</v>
      </c>
      <c r="B615" s="6" t="s">
        <v>70</v>
      </c>
      <c r="C615" s="6" t="s">
        <v>39</v>
      </c>
      <c r="D615" s="6" t="s">
        <v>49</v>
      </c>
      <c r="E615" s="4" t="s">
        <v>13</v>
      </c>
      <c r="F615" s="3">
        <v>66011000</v>
      </c>
      <c r="G615" s="11" t="s">
        <v>440</v>
      </c>
      <c r="H615" t="s">
        <v>521</v>
      </c>
      <c r="I615" s="4" t="s">
        <v>522</v>
      </c>
      <c r="J615" s="4" t="s">
        <v>522</v>
      </c>
      <c r="K615" s="71">
        <v>0</v>
      </c>
      <c r="L615" t="str">
        <f>J615</f>
        <v>Operativos</v>
      </c>
      <c r="M615" s="5">
        <f>K615</f>
        <v>0</v>
      </c>
    </row>
    <row r="616" spans="1:13" x14ac:dyDescent="0.25">
      <c r="A616" s="16">
        <v>1143</v>
      </c>
      <c r="B616" s="6" t="s">
        <v>10</v>
      </c>
      <c r="C616" s="6" t="s">
        <v>39</v>
      </c>
      <c r="D616" s="6" t="s">
        <v>40</v>
      </c>
      <c r="E616" s="4" t="s">
        <v>13</v>
      </c>
      <c r="F616" s="3">
        <v>193012000</v>
      </c>
      <c r="G616" s="11" t="s">
        <v>34</v>
      </c>
      <c r="H616" s="11" t="s">
        <v>339</v>
      </c>
      <c r="I616" s="4" t="s">
        <v>35</v>
      </c>
      <c r="J616" s="4" t="s">
        <v>36</v>
      </c>
      <c r="K616" s="71">
        <v>2</v>
      </c>
      <c r="L616" t="s">
        <v>37</v>
      </c>
      <c r="M616" s="5">
        <f>K616</f>
        <v>2</v>
      </c>
    </row>
    <row r="617" spans="1:13" x14ac:dyDescent="0.25">
      <c r="A617" s="123">
        <v>1145</v>
      </c>
      <c r="B617" s="76" t="s">
        <v>10</v>
      </c>
      <c r="C617" s="76" t="s">
        <v>11</v>
      </c>
      <c r="D617" s="76" t="s">
        <v>26</v>
      </c>
      <c r="E617" s="4" t="s">
        <v>13</v>
      </c>
      <c r="F617" s="76">
        <v>1817001000</v>
      </c>
      <c r="G617" t="s">
        <v>614</v>
      </c>
      <c r="H617" t="s">
        <v>467</v>
      </c>
      <c r="I617" s="4" t="s">
        <v>866</v>
      </c>
      <c r="J617" s="4" t="s">
        <v>492</v>
      </c>
      <c r="K617" s="71">
        <v>0.5</v>
      </c>
      <c r="L617" t="s">
        <v>37</v>
      </c>
      <c r="M617">
        <f>K617</f>
        <v>0.5</v>
      </c>
    </row>
    <row r="618" spans="1:13" x14ac:dyDescent="0.25">
      <c r="A618" s="125">
        <v>1146</v>
      </c>
      <c r="B618" s="46" t="s">
        <v>18</v>
      </c>
      <c r="C618" s="46" t="s">
        <v>22</v>
      </c>
      <c r="D618" s="46" t="s">
        <v>579</v>
      </c>
      <c r="E618" s="4" t="s">
        <v>13</v>
      </c>
      <c r="F618" s="35">
        <v>1014002</v>
      </c>
      <c r="G618" t="s">
        <v>564</v>
      </c>
      <c r="H618" s="4"/>
      <c r="J618" s="71"/>
      <c r="K618"/>
      <c r="L618" s="5"/>
      <c r="M618"/>
    </row>
    <row r="619" spans="1:13" x14ac:dyDescent="0.25">
      <c r="A619" s="16">
        <v>1147</v>
      </c>
      <c r="B619" s="6" t="s">
        <v>18</v>
      </c>
      <c r="C619" s="6" t="s">
        <v>11</v>
      </c>
      <c r="D619" t="s">
        <v>19</v>
      </c>
      <c r="E619" s="4" t="s">
        <v>13</v>
      </c>
      <c r="F619" s="3">
        <v>165001000</v>
      </c>
      <c r="G619" s="3" t="s">
        <v>319</v>
      </c>
      <c r="H619" s="11" t="s">
        <v>338</v>
      </c>
      <c r="I619" s="4" t="s">
        <v>332</v>
      </c>
      <c r="J619" s="4" t="s">
        <v>17</v>
      </c>
      <c r="K619" s="71">
        <v>24</v>
      </c>
      <c r="L619" t="s">
        <v>17</v>
      </c>
      <c r="M619" s="5">
        <f>K619/7</f>
        <v>3.4285714285714284</v>
      </c>
    </row>
    <row r="620" spans="1:13" x14ac:dyDescent="0.25">
      <c r="A620" s="16">
        <v>1151</v>
      </c>
      <c r="B620" s="6" t="s">
        <v>10</v>
      </c>
      <c r="C620" s="6" t="s">
        <v>22</v>
      </c>
      <c r="E620" s="4" t="s">
        <v>13</v>
      </c>
      <c r="F620" s="3">
        <v>3042104001</v>
      </c>
      <c r="G620" s="11" t="s">
        <v>205</v>
      </c>
      <c r="H620" s="11" t="s">
        <v>337</v>
      </c>
      <c r="I620" s="4" t="s">
        <v>144</v>
      </c>
      <c r="J620" s="4" t="s">
        <v>169</v>
      </c>
      <c r="K620" s="71">
        <v>2</v>
      </c>
      <c r="L620" t="s">
        <v>21</v>
      </c>
      <c r="M620" s="5">
        <f>K620/30</f>
        <v>6.6666666666666666E-2</v>
      </c>
    </row>
    <row r="621" spans="1:13" x14ac:dyDescent="0.25">
      <c r="A621" s="125">
        <v>1159</v>
      </c>
      <c r="B621" s="46" t="s">
        <v>18</v>
      </c>
      <c r="C621" s="46" t="s">
        <v>22</v>
      </c>
      <c r="D621" s="46" t="s">
        <v>224</v>
      </c>
      <c r="E621" s="4" t="s">
        <v>13</v>
      </c>
      <c r="F621" s="35">
        <v>1014001</v>
      </c>
      <c r="G621" t="s">
        <v>543</v>
      </c>
      <c r="H621" s="4"/>
      <c r="J621" s="71"/>
      <c r="K621"/>
      <c r="L621" s="5"/>
      <c r="M621"/>
    </row>
    <row r="622" spans="1:13" x14ac:dyDescent="0.25">
      <c r="A622" s="16">
        <v>1162</v>
      </c>
      <c r="B622" s="6" t="s">
        <v>10</v>
      </c>
      <c r="C622" s="6" t="s">
        <v>11</v>
      </c>
      <c r="D622" s="6" t="s">
        <v>26</v>
      </c>
      <c r="E622" s="4" t="s">
        <v>13</v>
      </c>
      <c r="F622" s="3">
        <v>2053002000</v>
      </c>
      <c r="G622" s="11" t="s">
        <v>433</v>
      </c>
      <c r="H622" s="11" t="s">
        <v>428</v>
      </c>
      <c r="I622" s="4" t="s">
        <v>290</v>
      </c>
      <c r="J622" s="4" t="s">
        <v>316</v>
      </c>
      <c r="K622" s="71">
        <v>1</v>
      </c>
      <c r="L622" t="s">
        <v>37</v>
      </c>
      <c r="M622" s="5">
        <f>K622</f>
        <v>1</v>
      </c>
    </row>
    <row r="623" spans="1:13" x14ac:dyDescent="0.25">
      <c r="A623" s="16">
        <v>1165</v>
      </c>
      <c r="B623" s="6" t="s">
        <v>70</v>
      </c>
      <c r="C623" s="6" t="s">
        <v>11</v>
      </c>
      <c r="D623" s="6" t="s">
        <v>19</v>
      </c>
      <c r="E623" s="4" t="s">
        <v>13</v>
      </c>
      <c r="F623" s="3">
        <v>1023000</v>
      </c>
      <c r="G623" s="11" t="s">
        <v>311</v>
      </c>
      <c r="H623" t="s">
        <v>338</v>
      </c>
      <c r="I623" s="4" t="s">
        <v>308</v>
      </c>
      <c r="J623" s="4" t="s">
        <v>308</v>
      </c>
      <c r="K623" s="71">
        <v>0</v>
      </c>
      <c r="L623" t="str">
        <f>J623</f>
        <v>backup</v>
      </c>
      <c r="M623" s="5">
        <v>0</v>
      </c>
    </row>
    <row r="624" spans="1:13" x14ac:dyDescent="0.25">
      <c r="A624" s="16">
        <v>1168</v>
      </c>
      <c r="B624" s="6" t="s">
        <v>18</v>
      </c>
      <c r="C624" s="6" t="s">
        <v>11</v>
      </c>
      <c r="D624" s="6" t="s">
        <v>19</v>
      </c>
      <c r="E624" s="4" t="s">
        <v>13</v>
      </c>
      <c r="F624" s="3">
        <v>165001000</v>
      </c>
      <c r="G624" s="11" t="s">
        <v>319</v>
      </c>
      <c r="H624" s="11" t="s">
        <v>338</v>
      </c>
      <c r="I624" s="4" t="s">
        <v>320</v>
      </c>
      <c r="J624" s="4" t="s">
        <v>17</v>
      </c>
      <c r="K624" s="71">
        <v>26</v>
      </c>
      <c r="L624" t="s">
        <v>17</v>
      </c>
      <c r="M624" s="5">
        <f>K624/7</f>
        <v>3.7142857142857144</v>
      </c>
    </row>
    <row r="625" spans="1:13" x14ac:dyDescent="0.25">
      <c r="A625" s="125">
        <v>1169</v>
      </c>
      <c r="B625" s="46" t="s">
        <v>18</v>
      </c>
      <c r="C625" s="46" t="s">
        <v>22</v>
      </c>
      <c r="D625" s="46" t="s">
        <v>579</v>
      </c>
      <c r="E625" s="4" t="s">
        <v>13</v>
      </c>
      <c r="F625" s="35">
        <v>1014001</v>
      </c>
      <c r="G625" t="s">
        <v>543</v>
      </c>
      <c r="H625" s="4"/>
      <c r="J625" s="71"/>
      <c r="K625"/>
      <c r="L625" s="5"/>
      <c r="M625"/>
    </row>
    <row r="626" spans="1:13" x14ac:dyDescent="0.25">
      <c r="A626" s="16">
        <v>1172</v>
      </c>
      <c r="B626" s="6" t="s">
        <v>18</v>
      </c>
      <c r="C626" s="6" t="s">
        <v>11</v>
      </c>
      <c r="D626" s="6" t="s">
        <v>19</v>
      </c>
      <c r="E626" s="4" t="s">
        <v>13</v>
      </c>
      <c r="F626" s="3">
        <v>2126001000</v>
      </c>
      <c r="G626" s="11" t="s">
        <v>264</v>
      </c>
      <c r="H626" s="11" t="s">
        <v>265</v>
      </c>
      <c r="I626" s="19" t="s">
        <v>266</v>
      </c>
      <c r="J626" s="19" t="s">
        <v>267</v>
      </c>
      <c r="K626" s="71">
        <v>12</v>
      </c>
      <c r="L626" t="s">
        <v>17</v>
      </c>
      <c r="M626" s="5">
        <f>K626/7</f>
        <v>1.7142857142857142</v>
      </c>
    </row>
    <row r="627" spans="1:13" x14ac:dyDescent="0.25">
      <c r="A627" s="125">
        <v>1176</v>
      </c>
      <c r="B627" s="46" t="s">
        <v>18</v>
      </c>
      <c r="C627" s="46" t="s">
        <v>11</v>
      </c>
      <c r="D627" s="46" t="s">
        <v>41</v>
      </c>
      <c r="E627" s="4" t="s">
        <v>13</v>
      </c>
      <c r="F627" s="35">
        <v>1014001</v>
      </c>
      <c r="G627" t="s">
        <v>543</v>
      </c>
      <c r="H627" s="4"/>
      <c r="J627" s="71"/>
      <c r="K627"/>
      <c r="L627" s="5"/>
      <c r="M627"/>
    </row>
    <row r="628" spans="1:13" x14ac:dyDescent="0.25">
      <c r="A628" s="16">
        <v>1180</v>
      </c>
      <c r="B628" s="6" t="s">
        <v>18</v>
      </c>
      <c r="C628" s="6" t="s">
        <v>39</v>
      </c>
      <c r="D628" s="6" t="s">
        <v>19</v>
      </c>
      <c r="E628" s="4" t="s">
        <v>13</v>
      </c>
      <c r="F628" s="3">
        <v>1023006</v>
      </c>
      <c r="G628" s="11" t="s">
        <v>307</v>
      </c>
      <c r="H628" t="s">
        <v>338</v>
      </c>
      <c r="I628" s="4" t="s">
        <v>308</v>
      </c>
      <c r="J628" s="4" t="s">
        <v>308</v>
      </c>
      <c r="K628" s="71">
        <v>0</v>
      </c>
      <c r="L628" t="str">
        <f>J628</f>
        <v>backup</v>
      </c>
      <c r="M628" s="5">
        <v>0</v>
      </c>
    </row>
    <row r="629" spans="1:13" x14ac:dyDescent="0.25">
      <c r="A629" s="101">
        <v>1182</v>
      </c>
      <c r="B629" s="72" t="s">
        <v>70</v>
      </c>
      <c r="C629" s="72" t="s">
        <v>11</v>
      </c>
      <c r="D629" s="72" t="s">
        <v>19</v>
      </c>
      <c r="E629" s="10" t="s">
        <v>13</v>
      </c>
      <c r="F629" s="72">
        <v>3223006000</v>
      </c>
      <c r="G629" s="9" t="s">
        <v>664</v>
      </c>
      <c r="H629" s="9" t="s">
        <v>860</v>
      </c>
      <c r="I629" s="10"/>
      <c r="J629" s="10"/>
      <c r="K629" s="107"/>
      <c r="L629" s="9"/>
      <c r="M629" s="9"/>
    </row>
    <row r="630" spans="1:13" x14ac:dyDescent="0.25">
      <c r="A630" s="16">
        <v>1185</v>
      </c>
      <c r="B630" s="6" t="s">
        <v>70</v>
      </c>
      <c r="C630" s="6" t="s">
        <v>11</v>
      </c>
      <c r="D630" s="6" t="s">
        <v>19</v>
      </c>
      <c r="E630" s="4" t="s">
        <v>13</v>
      </c>
      <c r="F630" s="3">
        <v>18001000</v>
      </c>
      <c r="G630" t="s">
        <v>820</v>
      </c>
      <c r="H630" s="11" t="s">
        <v>64</v>
      </c>
      <c r="I630" s="4" t="s">
        <v>880</v>
      </c>
      <c r="J630" s="4" t="s">
        <v>80</v>
      </c>
      <c r="K630" s="71">
        <v>12</v>
      </c>
      <c r="L630" t="s">
        <v>21</v>
      </c>
      <c r="M630" s="5">
        <f>K630/30</f>
        <v>0.4</v>
      </c>
    </row>
    <row r="631" spans="1:13" x14ac:dyDescent="0.25">
      <c r="A631" s="125">
        <v>1186</v>
      </c>
      <c r="B631" s="46" t="s">
        <v>10</v>
      </c>
      <c r="C631" s="46" t="s">
        <v>22</v>
      </c>
      <c r="D631" s="46" t="s">
        <v>23</v>
      </c>
      <c r="E631" s="4" t="s">
        <v>13</v>
      </c>
      <c r="F631" s="35">
        <v>1022000</v>
      </c>
      <c r="G631" t="s">
        <v>643</v>
      </c>
      <c r="H631" s="4"/>
      <c r="J631" s="71"/>
      <c r="K631"/>
      <c r="L631" s="5"/>
      <c r="M631"/>
    </row>
    <row r="632" spans="1:13" x14ac:dyDescent="0.25">
      <c r="A632" s="16">
        <v>1189</v>
      </c>
      <c r="B632" s="6" t="s">
        <v>18</v>
      </c>
      <c r="C632" s="6" t="s">
        <v>11</v>
      </c>
      <c r="D632" s="6" t="s">
        <v>19</v>
      </c>
      <c r="E632" s="4" t="s">
        <v>13</v>
      </c>
      <c r="F632" s="3">
        <v>2499001000</v>
      </c>
      <c r="G632" s="11" t="s">
        <v>457</v>
      </c>
      <c r="H632" t="s">
        <v>504</v>
      </c>
      <c r="I632" s="4" t="s">
        <v>308</v>
      </c>
      <c r="J632" s="4" t="s">
        <v>308</v>
      </c>
      <c r="K632" s="71">
        <v>0</v>
      </c>
      <c r="L632" t="str">
        <f>J632</f>
        <v>backup</v>
      </c>
      <c r="M632" s="5">
        <v>0</v>
      </c>
    </row>
    <row r="633" spans="1:13" x14ac:dyDescent="0.25">
      <c r="A633" s="16">
        <v>1191</v>
      </c>
      <c r="B633" s="6" t="s">
        <v>18</v>
      </c>
      <c r="C633" s="6" t="s">
        <v>11</v>
      </c>
      <c r="D633" s="6" t="s">
        <v>19</v>
      </c>
      <c r="E633" s="4" t="s">
        <v>13</v>
      </c>
      <c r="F633" s="46">
        <v>1014001</v>
      </c>
      <c r="G633" t="s">
        <v>543</v>
      </c>
    </row>
    <row r="634" spans="1:13" x14ac:dyDescent="0.25">
      <c r="A634" s="16">
        <v>1193</v>
      </c>
      <c r="B634" s="3" t="s">
        <v>18</v>
      </c>
      <c r="C634" s="3" t="s">
        <v>11</v>
      </c>
      <c r="D634" s="3" t="s">
        <v>19</v>
      </c>
      <c r="E634" s="4" t="s">
        <v>13</v>
      </c>
      <c r="F634" s="3">
        <v>165008000</v>
      </c>
      <c r="G634" t="s">
        <v>855</v>
      </c>
      <c r="H634" s="11" t="s">
        <v>64</v>
      </c>
      <c r="I634" s="4">
        <v>40</v>
      </c>
      <c r="J634" s="4" t="s">
        <v>90</v>
      </c>
      <c r="K634" s="71">
        <v>40</v>
      </c>
      <c r="L634" t="s">
        <v>21</v>
      </c>
      <c r="M634">
        <f>K634/30</f>
        <v>1.3333333333333333</v>
      </c>
    </row>
    <row r="635" spans="1:13" x14ac:dyDescent="0.25">
      <c r="A635" s="16">
        <v>1196</v>
      </c>
      <c r="B635" s="6" t="s">
        <v>18</v>
      </c>
      <c r="C635" s="6" t="s">
        <v>22</v>
      </c>
      <c r="D635" s="6" t="s">
        <v>224</v>
      </c>
      <c r="E635" s="4" t="s">
        <v>13</v>
      </c>
      <c r="F635" s="3">
        <v>1165000000</v>
      </c>
      <c r="G635" s="11" t="s">
        <v>216</v>
      </c>
      <c r="H635" s="11" t="s">
        <v>215</v>
      </c>
      <c r="I635" s="4">
        <v>4</v>
      </c>
      <c r="J635" s="4" t="s">
        <v>16</v>
      </c>
      <c r="K635" s="71">
        <v>4</v>
      </c>
      <c r="L635" t="s">
        <v>17</v>
      </c>
      <c r="M635" s="5">
        <f>K635/7</f>
        <v>0.5714285714285714</v>
      </c>
    </row>
    <row r="636" spans="1:13" x14ac:dyDescent="0.25">
      <c r="A636" s="16">
        <v>1198</v>
      </c>
      <c r="B636" s="6" t="s">
        <v>70</v>
      </c>
      <c r="C636" s="6" t="s">
        <v>11</v>
      </c>
      <c r="D636" s="6" t="s">
        <v>19</v>
      </c>
      <c r="E636" s="4" t="s">
        <v>13</v>
      </c>
      <c r="F636" s="3">
        <v>1165000000</v>
      </c>
      <c r="G636" s="11" t="s">
        <v>216</v>
      </c>
      <c r="H636" s="11" t="s">
        <v>215</v>
      </c>
      <c r="I636" s="4">
        <v>4</v>
      </c>
      <c r="J636" s="4" t="s">
        <v>16</v>
      </c>
      <c r="K636" s="71">
        <v>4</v>
      </c>
      <c r="L636" t="s">
        <v>17</v>
      </c>
      <c r="M636" s="5">
        <f>K636/7</f>
        <v>0.5714285714285714</v>
      </c>
    </row>
    <row r="637" spans="1:13" x14ac:dyDescent="0.25">
      <c r="A637" s="16">
        <v>1200</v>
      </c>
      <c r="B637" s="6" t="s">
        <v>18</v>
      </c>
      <c r="C637" s="6" t="s">
        <v>11</v>
      </c>
      <c r="D637" s="6" t="s">
        <v>19</v>
      </c>
      <c r="E637" s="4" t="s">
        <v>13</v>
      </c>
      <c r="F637" s="3">
        <v>3182003000</v>
      </c>
      <c r="G637" s="11" t="s">
        <v>398</v>
      </c>
      <c r="H637" s="11" t="s">
        <v>380</v>
      </c>
      <c r="I637" s="4" t="s">
        <v>280</v>
      </c>
      <c r="J637" s="4" t="s">
        <v>393</v>
      </c>
      <c r="K637" s="71">
        <v>6</v>
      </c>
      <c r="L637" t="s">
        <v>17</v>
      </c>
      <c r="M637" s="5">
        <f>K637/7</f>
        <v>0.8571428571428571</v>
      </c>
    </row>
    <row r="638" spans="1:13" x14ac:dyDescent="0.25">
      <c r="A638" s="16">
        <v>1204</v>
      </c>
      <c r="B638" s="6" t="s">
        <v>18</v>
      </c>
      <c r="C638" s="6" t="s">
        <v>39</v>
      </c>
      <c r="E638" s="4" t="s">
        <v>13</v>
      </c>
      <c r="F638" s="3">
        <v>3042104001</v>
      </c>
      <c r="G638" s="11" t="s">
        <v>205</v>
      </c>
      <c r="H638" s="11" t="s">
        <v>337</v>
      </c>
      <c r="I638" s="4" t="s">
        <v>138</v>
      </c>
      <c r="J638" s="4" t="s">
        <v>143</v>
      </c>
      <c r="K638" s="71">
        <v>2</v>
      </c>
      <c r="L638" t="s">
        <v>37</v>
      </c>
      <c r="M638" s="5">
        <f>K638</f>
        <v>2</v>
      </c>
    </row>
    <row r="639" spans="1:13" x14ac:dyDescent="0.25">
      <c r="A639" s="16">
        <v>1205</v>
      </c>
      <c r="B639" s="6" t="s">
        <v>18</v>
      </c>
      <c r="C639" s="6" t="s">
        <v>11</v>
      </c>
      <c r="D639" s="6" t="s">
        <v>19</v>
      </c>
      <c r="E639" s="4" t="s">
        <v>13</v>
      </c>
      <c r="F639" s="3">
        <v>2126003000</v>
      </c>
      <c r="G639" s="11" t="s">
        <v>468</v>
      </c>
      <c r="H639" s="11" t="s">
        <v>467</v>
      </c>
      <c r="I639" s="4">
        <v>4</v>
      </c>
      <c r="J639" s="4" t="s">
        <v>487</v>
      </c>
      <c r="K639" s="71">
        <v>4</v>
      </c>
      <c r="L639" t="s">
        <v>17</v>
      </c>
      <c r="M639" s="5">
        <f>K639/7</f>
        <v>0.5714285714285714</v>
      </c>
    </row>
    <row r="640" spans="1:13" x14ac:dyDescent="0.25">
      <c r="A640" s="16">
        <v>1206</v>
      </c>
      <c r="B640" s="6" t="s">
        <v>10</v>
      </c>
      <c r="C640" s="6" t="s">
        <v>11</v>
      </c>
      <c r="D640" s="6" t="s">
        <v>113</v>
      </c>
      <c r="E640" s="4" t="s">
        <v>13</v>
      </c>
      <c r="F640" s="3">
        <v>2126001000</v>
      </c>
      <c r="G640" s="11" t="s">
        <v>264</v>
      </c>
      <c r="H640" t="s">
        <v>265</v>
      </c>
      <c r="I640" s="4" t="s">
        <v>308</v>
      </c>
      <c r="J640" s="4" t="s">
        <v>308</v>
      </c>
      <c r="K640" s="71">
        <v>0</v>
      </c>
      <c r="L640" t="str">
        <f>J640</f>
        <v>backup</v>
      </c>
      <c r="M640" s="5">
        <v>0</v>
      </c>
    </row>
    <row r="641" spans="1:13" x14ac:dyDescent="0.25">
      <c r="A641" s="126">
        <v>1207</v>
      </c>
      <c r="B641" s="58" t="s">
        <v>18</v>
      </c>
      <c r="C641" s="58" t="s">
        <v>11</v>
      </c>
      <c r="D641" s="58" t="s">
        <v>19</v>
      </c>
      <c r="E641" s="109" t="s">
        <v>13</v>
      </c>
      <c r="F641" s="58">
        <v>165008000</v>
      </c>
      <c r="G641" s="45" t="s">
        <v>855</v>
      </c>
      <c r="H641" s="11" t="s">
        <v>64</v>
      </c>
      <c r="I641" s="4">
        <v>20</v>
      </c>
      <c r="J641" s="4" t="s">
        <v>75</v>
      </c>
      <c r="K641" s="71">
        <v>20</v>
      </c>
      <c r="L641" t="s">
        <v>21</v>
      </c>
      <c r="M641">
        <f>K641/30</f>
        <v>0.66666666666666663</v>
      </c>
    </row>
    <row r="642" spans="1:13" x14ac:dyDescent="0.25">
      <c r="A642" s="16">
        <v>1208</v>
      </c>
      <c r="B642" s="6" t="s">
        <v>359</v>
      </c>
      <c r="C642" s="6" t="s">
        <v>76</v>
      </c>
      <c r="D642" s="6" t="s">
        <v>360</v>
      </c>
      <c r="E642" s="4" t="s">
        <v>13</v>
      </c>
      <c r="F642" s="3">
        <v>1321001000</v>
      </c>
      <c r="G642" s="11" t="s">
        <v>361</v>
      </c>
      <c r="H642" s="11" t="s">
        <v>350</v>
      </c>
      <c r="I642" s="4" t="s">
        <v>362</v>
      </c>
      <c r="J642" s="4" t="s">
        <v>347</v>
      </c>
      <c r="K642" s="105">
        <f>100/120</f>
        <v>0.83333333333333337</v>
      </c>
      <c r="L642" t="s">
        <v>21</v>
      </c>
      <c r="M642" s="5">
        <f>K642/30</f>
        <v>2.777777777777778E-2</v>
      </c>
    </row>
    <row r="643" spans="1:13" x14ac:dyDescent="0.25">
      <c r="A643" s="125">
        <v>1209</v>
      </c>
      <c r="B643" s="46" t="s">
        <v>359</v>
      </c>
      <c r="C643" s="46" t="s">
        <v>76</v>
      </c>
      <c r="D643" s="46" t="s">
        <v>667</v>
      </c>
      <c r="E643" s="4" t="s">
        <v>13</v>
      </c>
      <c r="F643" s="35">
        <v>1014001</v>
      </c>
      <c r="G643" t="s">
        <v>543</v>
      </c>
      <c r="H643" s="4"/>
      <c r="J643" s="71"/>
      <c r="K643"/>
      <c r="L643" s="5"/>
      <c r="M643"/>
    </row>
    <row r="644" spans="1:13" x14ac:dyDescent="0.25">
      <c r="A644" s="16">
        <v>1216</v>
      </c>
      <c r="B644" s="6" t="s">
        <v>10</v>
      </c>
      <c r="C644" s="6" t="s">
        <v>22</v>
      </c>
      <c r="D644" s="6" t="s">
        <v>202</v>
      </c>
      <c r="E644" s="4" t="s">
        <v>13</v>
      </c>
      <c r="F644" s="3">
        <v>529001000</v>
      </c>
      <c r="G644" s="11" t="s">
        <v>405</v>
      </c>
      <c r="H644" s="11" t="s">
        <v>407</v>
      </c>
      <c r="I644" s="4" t="s">
        <v>358</v>
      </c>
      <c r="J644" s="4" t="s">
        <v>353</v>
      </c>
      <c r="K644" s="71">
        <v>1</v>
      </c>
      <c r="L644" t="s">
        <v>17</v>
      </c>
      <c r="M644" s="5">
        <f>K644/7</f>
        <v>0.14285714285714285</v>
      </c>
    </row>
    <row r="645" spans="1:13" x14ac:dyDescent="0.25">
      <c r="A645" s="125">
        <v>1219</v>
      </c>
      <c r="B645" s="46" t="s">
        <v>10</v>
      </c>
      <c r="C645" s="46" t="s">
        <v>22</v>
      </c>
      <c r="D645" s="46" t="s">
        <v>202</v>
      </c>
      <c r="E645" s="4" t="s">
        <v>13</v>
      </c>
      <c r="F645" s="35">
        <v>1014001</v>
      </c>
      <c r="G645" t="s">
        <v>543</v>
      </c>
      <c r="H645" s="4"/>
      <c r="J645" s="71"/>
      <c r="K645"/>
      <c r="L645" s="5"/>
      <c r="M645"/>
    </row>
    <row r="646" spans="1:13" x14ac:dyDescent="0.25">
      <c r="A646" s="16">
        <v>1221</v>
      </c>
      <c r="B646" s="6" t="s">
        <v>18</v>
      </c>
      <c r="C646" s="6" t="s">
        <v>11</v>
      </c>
      <c r="D646" s="6" t="s">
        <v>19</v>
      </c>
      <c r="E646" s="4" t="s">
        <v>13</v>
      </c>
      <c r="F646" s="3">
        <v>3207001000</v>
      </c>
      <c r="G646" s="11" t="s">
        <v>190</v>
      </c>
      <c r="H646" s="11" t="s">
        <v>337</v>
      </c>
      <c r="I646" s="4" t="s">
        <v>144</v>
      </c>
      <c r="J646" s="4" t="s">
        <v>139</v>
      </c>
      <c r="K646" s="71">
        <v>1</v>
      </c>
      <c r="L646" t="s">
        <v>17</v>
      </c>
      <c r="M646" s="5">
        <f>K646/7</f>
        <v>0.14285714285714285</v>
      </c>
    </row>
    <row r="647" spans="1:13" x14ac:dyDescent="0.25">
      <c r="A647" s="125">
        <v>1222</v>
      </c>
      <c r="B647" s="46" t="s">
        <v>18</v>
      </c>
      <c r="C647" s="46" t="s">
        <v>11</v>
      </c>
      <c r="D647" s="46" t="s">
        <v>19</v>
      </c>
      <c r="E647" s="4" t="s">
        <v>13</v>
      </c>
      <c r="F647" s="35">
        <v>1014002</v>
      </c>
      <c r="G647" t="s">
        <v>564</v>
      </c>
      <c r="H647" s="4"/>
      <c r="J647" s="71"/>
      <c r="K647"/>
      <c r="L647" s="5"/>
      <c r="M647"/>
    </row>
    <row r="648" spans="1:13" x14ac:dyDescent="0.25">
      <c r="A648" s="16">
        <v>1227</v>
      </c>
      <c r="B648" s="6" t="s">
        <v>10</v>
      </c>
      <c r="C648" s="6" t="s">
        <v>22</v>
      </c>
      <c r="D648" s="6" t="s">
        <v>42</v>
      </c>
      <c r="E648" s="4" t="s">
        <v>13</v>
      </c>
      <c r="F648" s="3">
        <v>2126013000</v>
      </c>
      <c r="G648" s="11" t="s">
        <v>123</v>
      </c>
      <c r="H648" s="11" t="s">
        <v>64</v>
      </c>
      <c r="I648" s="4">
        <v>20</v>
      </c>
      <c r="J648" s="4" t="s">
        <v>75</v>
      </c>
      <c r="K648" s="71">
        <v>20</v>
      </c>
      <c r="L648" t="s">
        <v>21</v>
      </c>
      <c r="M648" s="5">
        <f>K648/30</f>
        <v>0.66666666666666663</v>
      </c>
    </row>
    <row r="649" spans="1:13" x14ac:dyDescent="0.25">
      <c r="A649" s="123">
        <v>1231</v>
      </c>
      <c r="B649" s="76" t="s">
        <v>18</v>
      </c>
      <c r="C649" s="76" t="s">
        <v>11</v>
      </c>
      <c r="D649" s="76" t="s">
        <v>19</v>
      </c>
      <c r="E649" s="4" t="s">
        <v>13</v>
      </c>
      <c r="F649" s="76">
        <v>1817001000</v>
      </c>
      <c r="G649" t="s">
        <v>614</v>
      </c>
      <c r="H649" t="s">
        <v>467</v>
      </c>
      <c r="I649" s="4" t="s">
        <v>239</v>
      </c>
      <c r="J649" s="4" t="s">
        <v>492</v>
      </c>
      <c r="K649" s="71">
        <v>1</v>
      </c>
      <c r="L649" t="s">
        <v>37</v>
      </c>
      <c r="M649">
        <f>K649</f>
        <v>1</v>
      </c>
    </row>
    <row r="650" spans="1:13" x14ac:dyDescent="0.25">
      <c r="A650" s="16">
        <v>1251</v>
      </c>
      <c r="B650" s="6" t="s">
        <v>18</v>
      </c>
      <c r="C650" s="6" t="s">
        <v>11</v>
      </c>
      <c r="D650" s="6" t="s">
        <v>41</v>
      </c>
      <c r="E650" s="4" t="s">
        <v>13</v>
      </c>
      <c r="F650" s="3">
        <v>2924001000</v>
      </c>
      <c r="G650" s="11" t="s">
        <v>85</v>
      </c>
      <c r="H650" s="11" t="s">
        <v>64</v>
      </c>
      <c r="I650" s="4">
        <v>15</v>
      </c>
      <c r="J650" s="4" t="s">
        <v>88</v>
      </c>
      <c r="K650" s="71">
        <v>15</v>
      </c>
      <c r="L650" t="s">
        <v>21</v>
      </c>
      <c r="M650" s="5">
        <f>K650/30</f>
        <v>0.5</v>
      </c>
    </row>
    <row r="651" spans="1:13" x14ac:dyDescent="0.25">
      <c r="A651" s="16">
        <v>1253</v>
      </c>
      <c r="B651" s="6" t="s">
        <v>10</v>
      </c>
      <c r="C651" s="6" t="s">
        <v>22</v>
      </c>
      <c r="D651" s="6" t="s">
        <v>23</v>
      </c>
      <c r="E651" s="4" t="s">
        <v>13</v>
      </c>
      <c r="F651" s="3">
        <v>3042058002</v>
      </c>
      <c r="G651" s="11" t="s">
        <v>210</v>
      </c>
      <c r="H651" s="11" t="s">
        <v>211</v>
      </c>
      <c r="I651" s="4" t="s">
        <v>144</v>
      </c>
      <c r="J651" s="4" t="s">
        <v>172</v>
      </c>
      <c r="K651" s="71">
        <v>3</v>
      </c>
      <c r="L651" t="s">
        <v>17</v>
      </c>
      <c r="M651" s="5">
        <f>K651/7</f>
        <v>0.42857142857142855</v>
      </c>
    </row>
    <row r="652" spans="1:13" x14ac:dyDescent="0.25">
      <c r="A652" s="94">
        <v>1254</v>
      </c>
      <c r="B652" s="6" t="s">
        <v>18</v>
      </c>
      <c r="C652" s="6" t="s">
        <v>22</v>
      </c>
      <c r="D652" s="6" t="s">
        <v>236</v>
      </c>
      <c r="E652" s="4" t="s">
        <v>13</v>
      </c>
      <c r="F652" s="3">
        <v>2936002000</v>
      </c>
      <c r="G652" s="11" t="s">
        <v>344</v>
      </c>
      <c r="H652" t="s">
        <v>342</v>
      </c>
      <c r="I652" s="4" t="s">
        <v>231</v>
      </c>
      <c r="J652" s="4" t="s">
        <v>231</v>
      </c>
      <c r="K652" s="71">
        <v>0</v>
      </c>
      <c r="L652" t="str">
        <f>J652</f>
        <v>back up</v>
      </c>
      <c r="M652" s="5">
        <f>K652</f>
        <v>0</v>
      </c>
    </row>
    <row r="653" spans="1:13" x14ac:dyDescent="0.25">
      <c r="A653" s="16">
        <v>1260</v>
      </c>
      <c r="B653" s="6" t="s">
        <v>10</v>
      </c>
      <c r="C653" s="6" t="s">
        <v>11</v>
      </c>
      <c r="D653" s="6" t="s">
        <v>26</v>
      </c>
      <c r="E653" s="4" t="s">
        <v>13</v>
      </c>
      <c r="F653" s="3">
        <v>3076001000</v>
      </c>
      <c r="G653" s="11" t="s">
        <v>27</v>
      </c>
      <c r="H653" s="11" t="s">
        <v>339</v>
      </c>
      <c r="I653" s="4" t="s">
        <v>28</v>
      </c>
      <c r="J653" s="4" t="s">
        <v>20</v>
      </c>
      <c r="K653" s="71">
        <v>2</v>
      </c>
      <c r="L653" t="s">
        <v>21</v>
      </c>
      <c r="M653" s="5">
        <f>K653/30</f>
        <v>6.6666666666666666E-2</v>
      </c>
    </row>
    <row r="654" spans="1:13" x14ac:dyDescent="0.25">
      <c r="A654" s="126">
        <v>1269</v>
      </c>
      <c r="B654" s="41" t="s">
        <v>10</v>
      </c>
      <c r="C654" s="41" t="s">
        <v>11</v>
      </c>
      <c r="D654" s="41" t="s">
        <v>26</v>
      </c>
      <c r="E654" s="4" t="s">
        <v>13</v>
      </c>
      <c r="F654" s="58">
        <v>2548098000</v>
      </c>
      <c r="G654" s="11" t="s">
        <v>238</v>
      </c>
      <c r="H654" s="11" t="s">
        <v>227</v>
      </c>
      <c r="I654" s="4" t="s">
        <v>35</v>
      </c>
      <c r="J654" s="4" t="s">
        <v>228</v>
      </c>
      <c r="K654" s="71">
        <v>2</v>
      </c>
      <c r="L654" t="s">
        <v>17</v>
      </c>
      <c r="M654" s="5">
        <f>K654/7</f>
        <v>0.2857142857142857</v>
      </c>
    </row>
    <row r="655" spans="1:13" x14ac:dyDescent="0.25">
      <c r="A655" s="125">
        <v>1271</v>
      </c>
      <c r="B655" s="46" t="s">
        <v>670</v>
      </c>
      <c r="C655" s="46" t="s">
        <v>200</v>
      </c>
      <c r="D655" s="46" t="s">
        <v>40</v>
      </c>
      <c r="E655" s="4" t="s">
        <v>13</v>
      </c>
      <c r="F655" s="35">
        <v>1000002</v>
      </c>
      <c r="G655" t="s">
        <v>576</v>
      </c>
      <c r="H655" s="4"/>
      <c r="J655" s="71"/>
      <c r="K655"/>
      <c r="L655" s="5"/>
      <c r="M655"/>
    </row>
    <row r="656" spans="1:13" x14ac:dyDescent="0.25">
      <c r="A656" s="16">
        <v>1279</v>
      </c>
      <c r="B656" s="6" t="s">
        <v>10</v>
      </c>
      <c r="C656" s="6" t="s">
        <v>11</v>
      </c>
      <c r="D656" s="6" t="s">
        <v>12</v>
      </c>
      <c r="E656" s="4" t="s">
        <v>13</v>
      </c>
      <c r="F656" s="3">
        <v>2548013000</v>
      </c>
      <c r="G656" s="11" t="s">
        <v>179</v>
      </c>
      <c r="H656" s="11" t="s">
        <v>337</v>
      </c>
      <c r="I656" s="4" t="s">
        <v>144</v>
      </c>
      <c r="J656" s="4" t="s">
        <v>166</v>
      </c>
      <c r="K656" s="71">
        <v>2</v>
      </c>
      <c r="L656" t="s">
        <v>17</v>
      </c>
      <c r="M656" s="5">
        <f>K656/7</f>
        <v>0.2857142857142857</v>
      </c>
    </row>
    <row r="657" spans="1:13" x14ac:dyDescent="0.25">
      <c r="A657" s="16">
        <v>1284</v>
      </c>
      <c r="B657" s="42" t="s">
        <v>10</v>
      </c>
      <c r="C657" s="42" t="s">
        <v>22</v>
      </c>
      <c r="D657" s="42" t="s">
        <v>42</v>
      </c>
      <c r="E657" s="18" t="s">
        <v>13</v>
      </c>
      <c r="F657" s="11">
        <v>127001000</v>
      </c>
      <c r="G657" s="31" t="s">
        <v>506</v>
      </c>
      <c r="H657" s="31" t="s">
        <v>350</v>
      </c>
      <c r="I657" s="4">
        <v>6</v>
      </c>
      <c r="J657" s="18" t="s">
        <v>487</v>
      </c>
      <c r="K657" s="71">
        <v>6</v>
      </c>
      <c r="L657" t="s">
        <v>17</v>
      </c>
      <c r="M657" s="5">
        <f>K657/7</f>
        <v>0.8571428571428571</v>
      </c>
    </row>
    <row r="658" spans="1:13" x14ac:dyDescent="0.25">
      <c r="A658" s="16">
        <v>1289</v>
      </c>
      <c r="B658" s="6" t="s">
        <v>18</v>
      </c>
      <c r="C658" s="6" t="s">
        <v>39</v>
      </c>
      <c r="D658" s="6" t="s">
        <v>49</v>
      </c>
      <c r="E658" s="4" t="s">
        <v>13</v>
      </c>
      <c r="F658" s="46">
        <v>1014001</v>
      </c>
      <c r="G658" t="s">
        <v>543</v>
      </c>
    </row>
    <row r="659" spans="1:13" x14ac:dyDescent="0.25">
      <c r="A659" s="16">
        <v>1298</v>
      </c>
      <c r="B659" s="6" t="s">
        <v>43</v>
      </c>
      <c r="C659" s="6" t="s">
        <v>22</v>
      </c>
      <c r="D659" s="6" t="s">
        <v>277</v>
      </c>
      <c r="E659" s="4" t="s">
        <v>13</v>
      </c>
      <c r="F659" s="3">
        <v>2126001000</v>
      </c>
      <c r="G659" s="11" t="s">
        <v>264</v>
      </c>
      <c r="H659" s="11" t="s">
        <v>265</v>
      </c>
      <c r="I659" s="19" t="s">
        <v>266</v>
      </c>
      <c r="J659" s="19" t="s">
        <v>267</v>
      </c>
      <c r="K659" s="71">
        <v>12</v>
      </c>
      <c r="L659" t="s">
        <v>17</v>
      </c>
      <c r="M659" s="5">
        <f>K659/7</f>
        <v>1.7142857142857142</v>
      </c>
    </row>
    <row r="660" spans="1:13" x14ac:dyDescent="0.25">
      <c r="A660" s="16">
        <v>1303</v>
      </c>
      <c r="B660" s="6" t="s">
        <v>70</v>
      </c>
      <c r="C660" s="6" t="s">
        <v>39</v>
      </c>
      <c r="D660" s="6" t="s">
        <v>40</v>
      </c>
      <c r="E660" s="4" t="s">
        <v>13</v>
      </c>
      <c r="F660" s="3">
        <v>66011000</v>
      </c>
      <c r="G660" s="11" t="s">
        <v>440</v>
      </c>
      <c r="H660" t="s">
        <v>521</v>
      </c>
      <c r="I660" s="4" t="s">
        <v>522</v>
      </c>
      <c r="J660" s="4" t="s">
        <v>522</v>
      </c>
      <c r="K660" s="71">
        <v>0</v>
      </c>
      <c r="L660" t="str">
        <f>J660</f>
        <v>Operativos</v>
      </c>
      <c r="M660" s="5">
        <f>K660</f>
        <v>0</v>
      </c>
    </row>
    <row r="661" spans="1:13" x14ac:dyDescent="0.25">
      <c r="A661" s="123">
        <v>1305</v>
      </c>
      <c r="B661" s="76" t="s">
        <v>18</v>
      </c>
      <c r="C661" s="76" t="s">
        <v>39</v>
      </c>
      <c r="D661" s="76" t="s">
        <v>49</v>
      </c>
      <c r="E661" s="4" t="s">
        <v>13</v>
      </c>
      <c r="F661" s="76">
        <v>1068018000</v>
      </c>
      <c r="G661" t="s">
        <v>671</v>
      </c>
      <c r="H661" t="s">
        <v>519</v>
      </c>
      <c r="I661" s="4" t="s">
        <v>493</v>
      </c>
      <c r="J661" s="4" t="s">
        <v>523</v>
      </c>
      <c r="K661" s="71">
        <v>2</v>
      </c>
      <c r="L661" t="s">
        <v>17</v>
      </c>
      <c r="M661">
        <f>K661/7</f>
        <v>0.2857142857142857</v>
      </c>
    </row>
    <row r="662" spans="1:13" x14ac:dyDescent="0.25">
      <c r="A662" s="16">
        <v>1308</v>
      </c>
      <c r="B662" s="6" t="s">
        <v>18</v>
      </c>
      <c r="C662" s="6" t="s">
        <v>11</v>
      </c>
      <c r="D662" s="6" t="s">
        <v>19</v>
      </c>
      <c r="E662" s="4" t="s">
        <v>13</v>
      </c>
      <c r="F662" s="3">
        <v>529002000</v>
      </c>
      <c r="G662" s="11" t="s">
        <v>520</v>
      </c>
      <c r="H662" s="11" t="s">
        <v>380</v>
      </c>
      <c r="I662" s="4" t="s">
        <v>358</v>
      </c>
      <c r="J662" s="4" t="s">
        <v>352</v>
      </c>
      <c r="K662" s="71">
        <v>0.5</v>
      </c>
      <c r="L662" t="s">
        <v>17</v>
      </c>
      <c r="M662" s="5">
        <f>K662/7</f>
        <v>7.1428571428571425E-2</v>
      </c>
    </row>
    <row r="663" spans="1:13" x14ac:dyDescent="0.25">
      <c r="A663" s="16">
        <v>1309</v>
      </c>
      <c r="B663" s="6" t="s">
        <v>18</v>
      </c>
      <c r="C663" s="6" t="s">
        <v>11</v>
      </c>
      <c r="D663" s="6" t="s">
        <v>19</v>
      </c>
      <c r="E663" s="4" t="s">
        <v>13</v>
      </c>
      <c r="F663" s="3">
        <v>3076001000</v>
      </c>
      <c r="G663" s="11" t="s">
        <v>27</v>
      </c>
      <c r="H663" s="11" t="s">
        <v>339</v>
      </c>
      <c r="I663" s="4" t="s">
        <v>29</v>
      </c>
      <c r="J663" s="4" t="s">
        <v>20</v>
      </c>
      <c r="K663" s="71">
        <v>24</v>
      </c>
      <c r="L663" t="s">
        <v>21</v>
      </c>
      <c r="M663" s="5">
        <f>K663/30</f>
        <v>0.8</v>
      </c>
    </row>
    <row r="664" spans="1:13" x14ac:dyDescent="0.25">
      <c r="A664" s="16">
        <v>1310</v>
      </c>
      <c r="B664" s="6" t="s">
        <v>10</v>
      </c>
      <c r="C664" s="6" t="s">
        <v>22</v>
      </c>
      <c r="D664" s="6" t="s">
        <v>23</v>
      </c>
      <c r="E664" s="4" t="s">
        <v>13</v>
      </c>
      <c r="F664" s="3">
        <v>18001000</v>
      </c>
      <c r="G664" t="s">
        <v>821</v>
      </c>
      <c r="H664" s="11" t="s">
        <v>64</v>
      </c>
      <c r="I664" s="4">
        <v>20</v>
      </c>
      <c r="J664" s="4" t="s">
        <v>75</v>
      </c>
      <c r="K664" s="71">
        <v>20</v>
      </c>
      <c r="L664" t="s">
        <v>21</v>
      </c>
      <c r="M664" s="5">
        <f>K664/30</f>
        <v>0.66666666666666663</v>
      </c>
    </row>
    <row r="665" spans="1:13" x14ac:dyDescent="0.25">
      <c r="A665" s="16">
        <v>1314</v>
      </c>
      <c r="B665" s="6" t="s">
        <v>70</v>
      </c>
      <c r="C665" s="6" t="s">
        <v>11</v>
      </c>
      <c r="D665" s="6" t="s">
        <v>19</v>
      </c>
      <c r="E665" s="4" t="s">
        <v>13</v>
      </c>
      <c r="F665" s="3">
        <v>1165000000</v>
      </c>
      <c r="G665" s="11" t="s">
        <v>216</v>
      </c>
      <c r="H665" s="11" t="s">
        <v>215</v>
      </c>
      <c r="I665" s="4">
        <v>4</v>
      </c>
      <c r="J665" s="4" t="s">
        <v>16</v>
      </c>
      <c r="K665" s="71">
        <v>4</v>
      </c>
      <c r="L665" t="s">
        <v>17</v>
      </c>
      <c r="M665" s="5">
        <f>K665/7</f>
        <v>0.5714285714285714</v>
      </c>
    </row>
    <row r="666" spans="1:13" x14ac:dyDescent="0.25">
      <c r="A666" s="16">
        <v>1316</v>
      </c>
      <c r="B666" s="6" t="s">
        <v>10</v>
      </c>
      <c r="C666" s="6" t="s">
        <v>11</v>
      </c>
      <c r="D666" s="6" t="s">
        <v>26</v>
      </c>
      <c r="E666" s="4" t="s">
        <v>13</v>
      </c>
      <c r="F666" s="3">
        <v>2126001000</v>
      </c>
      <c r="G666" s="11" t="s">
        <v>264</v>
      </c>
      <c r="H666" t="s">
        <v>265</v>
      </c>
      <c r="I666" s="4" t="s">
        <v>231</v>
      </c>
      <c r="J666" s="4" t="s">
        <v>231</v>
      </c>
      <c r="K666" s="71">
        <v>0</v>
      </c>
      <c r="L666" t="str">
        <f>J666</f>
        <v>back up</v>
      </c>
      <c r="M666" s="5">
        <v>0</v>
      </c>
    </row>
    <row r="667" spans="1:13" x14ac:dyDescent="0.25">
      <c r="A667" s="125">
        <v>1319</v>
      </c>
      <c r="B667" s="46" t="s">
        <v>18</v>
      </c>
      <c r="C667" s="46" t="s">
        <v>11</v>
      </c>
      <c r="D667" s="46" t="s">
        <v>41</v>
      </c>
      <c r="E667" s="4" t="s">
        <v>13</v>
      </c>
      <c r="F667" s="35">
        <v>1000012</v>
      </c>
      <c r="G667" t="s">
        <v>570</v>
      </c>
      <c r="H667" s="4"/>
      <c r="J667" s="71"/>
      <c r="K667"/>
      <c r="L667" s="5"/>
      <c r="M667"/>
    </row>
    <row r="668" spans="1:13" x14ac:dyDescent="0.25">
      <c r="A668" s="123">
        <v>1320</v>
      </c>
      <c r="B668" s="76" t="s">
        <v>10</v>
      </c>
      <c r="C668" s="76" t="s">
        <v>395</v>
      </c>
      <c r="D668" s="76" t="s">
        <v>502</v>
      </c>
      <c r="E668" s="4" t="s">
        <v>13</v>
      </c>
      <c r="F668" s="76">
        <v>1068012000</v>
      </c>
      <c r="G668" t="s">
        <v>594</v>
      </c>
      <c r="H668" t="s">
        <v>519</v>
      </c>
      <c r="I668" s="4" t="s">
        <v>239</v>
      </c>
      <c r="J668" s="4" t="s">
        <v>535</v>
      </c>
      <c r="K668" s="71">
        <v>3</v>
      </c>
      <c r="L668" t="s">
        <v>17</v>
      </c>
      <c r="M668">
        <f>K668/7</f>
        <v>0.42857142857142855</v>
      </c>
    </row>
    <row r="669" spans="1:13" x14ac:dyDescent="0.25">
      <c r="A669" s="16">
        <v>1321</v>
      </c>
      <c r="B669" s="6" t="s">
        <v>18</v>
      </c>
      <c r="C669" s="6" t="s">
        <v>11</v>
      </c>
      <c r="D669" s="6" t="s">
        <v>19</v>
      </c>
      <c r="E669" s="4" t="s">
        <v>13</v>
      </c>
      <c r="F669" s="3">
        <v>66034000</v>
      </c>
      <c r="G669" s="11" t="s">
        <v>171</v>
      </c>
      <c r="H669" s="11" t="s">
        <v>337</v>
      </c>
      <c r="I669" s="4" t="s">
        <v>138</v>
      </c>
      <c r="J669" s="4" t="s">
        <v>172</v>
      </c>
      <c r="K669" s="71">
        <v>6</v>
      </c>
      <c r="L669" t="s">
        <v>17</v>
      </c>
      <c r="M669" s="5">
        <f>K669/7</f>
        <v>0.8571428571428571</v>
      </c>
    </row>
    <row r="670" spans="1:13" x14ac:dyDescent="0.25">
      <c r="A670" s="123">
        <v>1326</v>
      </c>
      <c r="B670" s="76" t="s">
        <v>18</v>
      </c>
      <c r="C670" s="76" t="s">
        <v>39</v>
      </c>
      <c r="D670" s="76" t="s">
        <v>40</v>
      </c>
      <c r="E670" s="4" t="s">
        <v>13</v>
      </c>
      <c r="F670" s="76">
        <v>3034001000</v>
      </c>
      <c r="G670" t="s">
        <v>662</v>
      </c>
      <c r="H670" t="s">
        <v>338</v>
      </c>
      <c r="I670" s="4" t="s">
        <v>493</v>
      </c>
      <c r="J670" s="4" t="s">
        <v>492</v>
      </c>
      <c r="K670" s="71">
        <v>2</v>
      </c>
      <c r="L670" t="s">
        <v>37</v>
      </c>
      <c r="M670">
        <f>K670</f>
        <v>2</v>
      </c>
    </row>
    <row r="671" spans="1:13" x14ac:dyDescent="0.25">
      <c r="A671" s="125">
        <v>1327</v>
      </c>
      <c r="B671" s="46" t="s">
        <v>18</v>
      </c>
      <c r="C671" s="46" t="s">
        <v>11</v>
      </c>
      <c r="D671" s="46" t="s">
        <v>19</v>
      </c>
      <c r="E671" s="4" t="s">
        <v>13</v>
      </c>
      <c r="F671" s="35">
        <v>1000012</v>
      </c>
      <c r="G671" t="s">
        <v>570</v>
      </c>
      <c r="H671" s="4"/>
      <c r="J671" s="71"/>
      <c r="K671"/>
      <c r="L671" s="5"/>
      <c r="M671"/>
    </row>
    <row r="672" spans="1:13" x14ac:dyDescent="0.25">
      <c r="A672" s="125">
        <v>1328</v>
      </c>
      <c r="B672" s="46" t="s">
        <v>10</v>
      </c>
      <c r="C672" s="46" t="s">
        <v>76</v>
      </c>
      <c r="D672" s="46" t="s">
        <v>87</v>
      </c>
      <c r="E672" s="4" t="s">
        <v>13</v>
      </c>
      <c r="F672" s="35">
        <v>1000012</v>
      </c>
      <c r="G672" t="s">
        <v>570</v>
      </c>
      <c r="H672" s="4"/>
      <c r="J672" s="71"/>
      <c r="K672"/>
      <c r="L672" s="5"/>
      <c r="M672"/>
    </row>
    <row r="673" spans="1:13" x14ac:dyDescent="0.25">
      <c r="A673" s="125">
        <v>1329</v>
      </c>
      <c r="B673" s="46" t="s">
        <v>18</v>
      </c>
      <c r="C673" s="46" t="s">
        <v>631</v>
      </c>
      <c r="D673" s="46" t="s">
        <v>632</v>
      </c>
      <c r="E673" s="4" t="s">
        <v>13</v>
      </c>
      <c r="F673" s="35">
        <v>1000012</v>
      </c>
      <c r="G673" t="s">
        <v>570</v>
      </c>
      <c r="H673" s="4"/>
      <c r="J673" s="71"/>
      <c r="K673"/>
      <c r="L673" s="5"/>
      <c r="M673"/>
    </row>
    <row r="674" spans="1:13" x14ac:dyDescent="0.25">
      <c r="A674" s="125">
        <v>1334</v>
      </c>
      <c r="B674" s="46" t="s">
        <v>18</v>
      </c>
      <c r="C674" s="46" t="s">
        <v>22</v>
      </c>
      <c r="D674" s="46" t="s">
        <v>224</v>
      </c>
      <c r="E674" s="4" t="s">
        <v>13</v>
      </c>
      <c r="F674" s="35">
        <v>1014001</v>
      </c>
      <c r="G674" t="s">
        <v>543</v>
      </c>
      <c r="H674" s="4"/>
      <c r="J674" s="71"/>
      <c r="K674"/>
      <c r="L674" s="5"/>
      <c r="M674"/>
    </row>
    <row r="675" spans="1:13" x14ac:dyDescent="0.25">
      <c r="A675" s="16">
        <v>1338</v>
      </c>
      <c r="B675" s="6" t="s">
        <v>18</v>
      </c>
      <c r="C675" s="6" t="s">
        <v>11</v>
      </c>
      <c r="D675" s="6" t="s">
        <v>19</v>
      </c>
      <c r="E675" s="4" t="s">
        <v>13</v>
      </c>
      <c r="F675" s="3">
        <v>3370001000</v>
      </c>
      <c r="G675" s="11" t="s">
        <v>515</v>
      </c>
      <c r="H675" s="11" t="s">
        <v>337</v>
      </c>
      <c r="I675" s="4">
        <v>1</v>
      </c>
      <c r="J675" s="4" t="s">
        <v>16</v>
      </c>
      <c r="K675" s="71">
        <v>1</v>
      </c>
      <c r="L675" t="s">
        <v>17</v>
      </c>
      <c r="M675" s="5">
        <f>K675/7</f>
        <v>0.14285714285714285</v>
      </c>
    </row>
    <row r="676" spans="1:13" x14ac:dyDescent="0.25">
      <c r="A676" s="16">
        <v>1341</v>
      </c>
      <c r="B676" s="6" t="s">
        <v>10</v>
      </c>
      <c r="C676" s="6" t="s">
        <v>11</v>
      </c>
      <c r="D676" s="6" t="s">
        <v>26</v>
      </c>
      <c r="E676" s="4" t="s">
        <v>13</v>
      </c>
      <c r="F676" s="3">
        <v>1165000000</v>
      </c>
      <c r="G676" s="11" t="s">
        <v>216</v>
      </c>
      <c r="H676" s="11" t="s">
        <v>215</v>
      </c>
      <c r="I676" s="4">
        <v>3</v>
      </c>
      <c r="J676" s="4" t="s">
        <v>16</v>
      </c>
      <c r="K676" s="71">
        <v>3</v>
      </c>
      <c r="L676" t="s">
        <v>17</v>
      </c>
      <c r="M676" s="5">
        <f>K676/7</f>
        <v>0.42857142857142855</v>
      </c>
    </row>
    <row r="677" spans="1:13" x14ac:dyDescent="0.25">
      <c r="A677" s="16">
        <v>1344</v>
      </c>
      <c r="B677" s="6" t="s">
        <v>18</v>
      </c>
      <c r="C677" s="6" t="s">
        <v>39</v>
      </c>
      <c r="D677" s="6" t="s">
        <v>40</v>
      </c>
      <c r="E677" s="4" t="s">
        <v>13</v>
      </c>
      <c r="F677" s="3">
        <v>2548068000</v>
      </c>
      <c r="G677" s="11" t="s">
        <v>424</v>
      </c>
      <c r="H677" s="11" t="s">
        <v>407</v>
      </c>
      <c r="I677" s="4" t="s">
        <v>290</v>
      </c>
      <c r="J677" s="4" t="s">
        <v>381</v>
      </c>
      <c r="K677" s="71">
        <v>1</v>
      </c>
      <c r="L677" t="s">
        <v>37</v>
      </c>
      <c r="M677" s="5">
        <f>K677</f>
        <v>1</v>
      </c>
    </row>
    <row r="678" spans="1:13" x14ac:dyDescent="0.25">
      <c r="A678" s="91">
        <v>1349</v>
      </c>
      <c r="B678" s="39" t="s">
        <v>18</v>
      </c>
      <c r="C678" s="39" t="s">
        <v>11</v>
      </c>
      <c r="D678" s="39" t="s">
        <v>19</v>
      </c>
      <c r="E678" s="7" t="s">
        <v>13</v>
      </c>
      <c r="F678" s="57">
        <v>165001000</v>
      </c>
      <c r="G678" s="33" t="s">
        <v>319</v>
      </c>
      <c r="H678" s="8" t="s">
        <v>338</v>
      </c>
      <c r="I678" s="7"/>
      <c r="J678" s="7" t="s">
        <v>323</v>
      </c>
      <c r="K678" s="106"/>
      <c r="L678" s="8"/>
      <c r="M678" s="30"/>
    </row>
    <row r="679" spans="1:13" x14ac:dyDescent="0.25">
      <c r="A679" s="16">
        <v>1350</v>
      </c>
      <c r="B679" s="6" t="s">
        <v>10</v>
      </c>
      <c r="C679" s="6" t="s">
        <v>22</v>
      </c>
      <c r="D679" s="6" t="s">
        <v>23</v>
      </c>
      <c r="E679" s="4" t="s">
        <v>13</v>
      </c>
      <c r="F679" s="3">
        <v>1165000000</v>
      </c>
      <c r="G679" s="11" t="s">
        <v>216</v>
      </c>
      <c r="H679" s="11" t="s">
        <v>215</v>
      </c>
      <c r="I679" s="4">
        <v>3</v>
      </c>
      <c r="J679" s="4" t="s">
        <v>16</v>
      </c>
      <c r="K679" s="71">
        <v>3</v>
      </c>
      <c r="L679" t="s">
        <v>17</v>
      </c>
      <c r="M679" s="5">
        <f>K679/7</f>
        <v>0.42857142857142855</v>
      </c>
    </row>
    <row r="680" spans="1:13" x14ac:dyDescent="0.25">
      <c r="A680" s="16">
        <v>1353</v>
      </c>
      <c r="B680" s="6" t="s">
        <v>18</v>
      </c>
      <c r="C680" s="6" t="s">
        <v>39</v>
      </c>
      <c r="D680" s="6" t="s">
        <v>40</v>
      </c>
      <c r="E680" s="4" t="s">
        <v>13</v>
      </c>
      <c r="F680" s="3">
        <v>3234001000</v>
      </c>
      <c r="G680" s="11" t="s">
        <v>382</v>
      </c>
      <c r="H680" s="11" t="s">
        <v>380</v>
      </c>
      <c r="I680" s="4" t="s">
        <v>358</v>
      </c>
      <c r="J680" s="4" t="s">
        <v>353</v>
      </c>
      <c r="K680" s="71">
        <v>1</v>
      </c>
      <c r="L680" t="s">
        <v>17</v>
      </c>
      <c r="M680" s="5">
        <f>K680/7</f>
        <v>0.14285714285714285</v>
      </c>
    </row>
    <row r="681" spans="1:13" x14ac:dyDescent="0.25">
      <c r="A681" s="95">
        <v>1354</v>
      </c>
      <c r="B681" s="43" t="s">
        <v>18</v>
      </c>
      <c r="C681" s="43" t="s">
        <v>39</v>
      </c>
      <c r="D681" s="43" t="s">
        <v>40</v>
      </c>
      <c r="E681" s="7" t="s">
        <v>13</v>
      </c>
      <c r="F681" s="63">
        <v>1925001000</v>
      </c>
      <c r="G681" s="33" t="s">
        <v>501</v>
      </c>
      <c r="H681" s="8" t="s">
        <v>498</v>
      </c>
      <c r="I681" s="7"/>
      <c r="J681" s="7" t="s">
        <v>529</v>
      </c>
      <c r="K681" s="106"/>
      <c r="L681" s="8"/>
      <c r="M681" s="8"/>
    </row>
    <row r="682" spans="1:13" x14ac:dyDescent="0.25">
      <c r="A682" s="16">
        <v>1357</v>
      </c>
      <c r="B682" s="6" t="s">
        <v>10</v>
      </c>
      <c r="C682" s="6" t="s">
        <v>11</v>
      </c>
      <c r="D682" s="6" t="s">
        <v>26</v>
      </c>
      <c r="E682" s="4" t="s">
        <v>13</v>
      </c>
      <c r="F682" s="3">
        <v>2548049000</v>
      </c>
      <c r="G682" s="11" t="s">
        <v>57</v>
      </c>
      <c r="H682" s="11" t="s">
        <v>339</v>
      </c>
      <c r="I682" s="4" t="s">
        <v>25</v>
      </c>
      <c r="J682" s="4" t="s">
        <v>20</v>
      </c>
      <c r="K682" s="105">
        <f>40/60</f>
        <v>0.66666666666666663</v>
      </c>
      <c r="L682" t="s">
        <v>21</v>
      </c>
      <c r="M682" s="5">
        <f>K682/30</f>
        <v>2.222222222222222E-2</v>
      </c>
    </row>
    <row r="683" spans="1:13" x14ac:dyDescent="0.25">
      <c r="A683" s="125">
        <v>1358</v>
      </c>
      <c r="B683" s="46" t="s">
        <v>18</v>
      </c>
      <c r="C683" s="46" t="s">
        <v>22</v>
      </c>
      <c r="D683" s="46" t="s">
        <v>236</v>
      </c>
      <c r="E683" s="4" t="s">
        <v>13</v>
      </c>
      <c r="F683" s="35">
        <v>1014001</v>
      </c>
      <c r="G683" t="s">
        <v>543</v>
      </c>
      <c r="H683" s="4"/>
      <c r="J683" s="71"/>
      <c r="K683"/>
      <c r="L683" s="5"/>
      <c r="M683"/>
    </row>
    <row r="684" spans="1:13" x14ac:dyDescent="0.25">
      <c r="A684" s="16">
        <v>1361</v>
      </c>
      <c r="B684" s="6" t="s">
        <v>18</v>
      </c>
      <c r="C684" s="6" t="s">
        <v>39</v>
      </c>
      <c r="D684" s="6" t="s">
        <v>49</v>
      </c>
      <c r="E684" s="4" t="s">
        <v>13</v>
      </c>
      <c r="F684" s="3">
        <v>153002000</v>
      </c>
      <c r="G684" s="11" t="s">
        <v>497</v>
      </c>
      <c r="H684" s="11" t="s">
        <v>498</v>
      </c>
      <c r="I684" s="4">
        <v>10</v>
      </c>
      <c r="J684" s="4" t="s">
        <v>20</v>
      </c>
      <c r="K684" s="71">
        <f>I684</f>
        <v>10</v>
      </c>
      <c r="L684" t="s">
        <v>21</v>
      </c>
      <c r="M684" s="5">
        <f>K684/30</f>
        <v>0.33333333333333331</v>
      </c>
    </row>
    <row r="685" spans="1:13" x14ac:dyDescent="0.25">
      <c r="A685" s="16">
        <v>1364</v>
      </c>
      <c r="B685" s="6" t="s">
        <v>10</v>
      </c>
      <c r="C685" s="6" t="s">
        <v>22</v>
      </c>
      <c r="D685" s="6" t="s">
        <v>23</v>
      </c>
      <c r="E685" s="4" t="s">
        <v>13</v>
      </c>
      <c r="F685" s="3">
        <v>1068020000</v>
      </c>
      <c r="G685" s="11" t="s">
        <v>55</v>
      </c>
      <c r="H685" s="11" t="s">
        <v>339</v>
      </c>
      <c r="I685" s="4" t="s">
        <v>56</v>
      </c>
      <c r="J685" s="4" t="s">
        <v>16</v>
      </c>
      <c r="K685" s="71">
        <v>0.5</v>
      </c>
      <c r="L685" t="s">
        <v>17</v>
      </c>
      <c r="M685" s="5">
        <f>K685/7</f>
        <v>7.1428571428571425E-2</v>
      </c>
    </row>
    <row r="686" spans="1:13" x14ac:dyDescent="0.25">
      <c r="A686" s="94">
        <v>1367</v>
      </c>
      <c r="B686" s="6" t="s">
        <v>18</v>
      </c>
      <c r="C686" s="6" t="s">
        <v>11</v>
      </c>
      <c r="D686" s="6" t="s">
        <v>19</v>
      </c>
      <c r="E686" s="4" t="s">
        <v>13</v>
      </c>
      <c r="F686" s="3">
        <v>2798001000</v>
      </c>
      <c r="G686" s="11" t="s">
        <v>346</v>
      </c>
      <c r="H686" s="11" t="s">
        <v>342</v>
      </c>
      <c r="I686" s="19" t="s">
        <v>290</v>
      </c>
      <c r="J686" s="4" t="s">
        <v>347</v>
      </c>
      <c r="K686" s="71">
        <v>2</v>
      </c>
      <c r="L686" t="s">
        <v>21</v>
      </c>
      <c r="M686" s="5">
        <f>K686/30</f>
        <v>6.6666666666666666E-2</v>
      </c>
    </row>
    <row r="687" spans="1:13" x14ac:dyDescent="0.25">
      <c r="A687" s="16">
        <v>1371</v>
      </c>
      <c r="B687" s="6" t="s">
        <v>18</v>
      </c>
      <c r="C687" s="6" t="s">
        <v>22</v>
      </c>
      <c r="D687" s="6" t="s">
        <v>224</v>
      </c>
      <c r="E687" s="4" t="s">
        <v>13</v>
      </c>
      <c r="F687" s="3">
        <v>3135004000</v>
      </c>
      <c r="G687" s="11" t="s">
        <v>499</v>
      </c>
      <c r="H687" s="11" t="s">
        <v>498</v>
      </c>
      <c r="I687" s="4">
        <v>20</v>
      </c>
      <c r="J687" s="4" t="s">
        <v>20</v>
      </c>
      <c r="K687" s="71">
        <f>I687</f>
        <v>20</v>
      </c>
      <c r="L687" t="s">
        <v>21</v>
      </c>
      <c r="M687">
        <f>K687/30</f>
        <v>0.66666666666666663</v>
      </c>
    </row>
    <row r="688" spans="1:13" x14ac:dyDescent="0.25">
      <c r="A688" s="16">
        <v>1373</v>
      </c>
      <c r="B688" s="6" t="s">
        <v>18</v>
      </c>
      <c r="C688" s="6" t="s">
        <v>11</v>
      </c>
      <c r="D688" s="6" t="s">
        <v>41</v>
      </c>
      <c r="E688" s="4" t="s">
        <v>13</v>
      </c>
      <c r="F688" s="3">
        <v>2126001000</v>
      </c>
      <c r="G688" s="11" t="s">
        <v>264</v>
      </c>
      <c r="H688" s="11" t="s">
        <v>265</v>
      </c>
      <c r="I688" s="19" t="s">
        <v>266</v>
      </c>
      <c r="J688" s="19" t="s">
        <v>278</v>
      </c>
      <c r="K688" s="71">
        <v>12</v>
      </c>
      <c r="L688" t="s">
        <v>17</v>
      </c>
      <c r="M688" s="5">
        <f>K688/7</f>
        <v>1.7142857142857142</v>
      </c>
    </row>
    <row r="689" spans="1:13" x14ac:dyDescent="0.25">
      <c r="A689" s="16">
        <v>1381</v>
      </c>
      <c r="B689" s="6" t="s">
        <v>10</v>
      </c>
      <c r="C689" s="6" t="s">
        <v>22</v>
      </c>
      <c r="D689" s="6" t="s">
        <v>23</v>
      </c>
      <c r="E689" s="4" t="s">
        <v>13</v>
      </c>
      <c r="F689" s="3">
        <v>2514001000</v>
      </c>
      <c r="G689" s="11" t="s">
        <v>435</v>
      </c>
      <c r="H689" t="s">
        <v>428</v>
      </c>
      <c r="I689" s="4" t="s">
        <v>231</v>
      </c>
      <c r="J689" s="4" t="s">
        <v>231</v>
      </c>
      <c r="K689" s="71">
        <v>0</v>
      </c>
      <c r="L689" t="str">
        <f>J689</f>
        <v>back up</v>
      </c>
      <c r="M689" s="5">
        <f>K689</f>
        <v>0</v>
      </c>
    </row>
    <row r="690" spans="1:13" x14ac:dyDescent="0.25">
      <c r="A690" s="16">
        <v>1393</v>
      </c>
      <c r="B690" s="6" t="s">
        <v>18</v>
      </c>
      <c r="C690" s="6" t="s">
        <v>11</v>
      </c>
      <c r="D690" s="6" t="s">
        <v>19</v>
      </c>
      <c r="E690" s="4" t="s">
        <v>13</v>
      </c>
      <c r="F690" s="3">
        <v>3076001000</v>
      </c>
      <c r="G690" s="11" t="s">
        <v>27</v>
      </c>
      <c r="H690" s="11" t="s">
        <v>339</v>
      </c>
      <c r="I690" s="4" t="s">
        <v>30</v>
      </c>
      <c r="J690" s="4" t="s">
        <v>20</v>
      </c>
      <c r="K690" s="71">
        <v>24</v>
      </c>
      <c r="L690" t="s">
        <v>21</v>
      </c>
      <c r="M690" s="5">
        <f>K690/30</f>
        <v>0.8</v>
      </c>
    </row>
    <row r="691" spans="1:13" x14ac:dyDescent="0.25">
      <c r="A691" s="123">
        <v>1394</v>
      </c>
      <c r="B691" s="76" t="s">
        <v>10</v>
      </c>
      <c r="C691" s="76" t="s">
        <v>11</v>
      </c>
      <c r="D691" s="76" t="s">
        <v>26</v>
      </c>
      <c r="E691" s="4" t="s">
        <v>13</v>
      </c>
      <c r="F691" s="76">
        <v>3178005000</v>
      </c>
      <c r="G691" t="s">
        <v>636</v>
      </c>
      <c r="H691" t="s">
        <v>504</v>
      </c>
      <c r="I691" s="4" t="s">
        <v>863</v>
      </c>
      <c r="J691" s="4" t="s">
        <v>523</v>
      </c>
      <c r="K691" s="71">
        <v>0.25</v>
      </c>
      <c r="L691" t="s">
        <v>17</v>
      </c>
      <c r="M691">
        <f>K691/7</f>
        <v>3.5714285714285712E-2</v>
      </c>
    </row>
    <row r="692" spans="1:13" x14ac:dyDescent="0.25">
      <c r="A692" s="16">
        <v>1395</v>
      </c>
      <c r="B692" s="6" t="s">
        <v>10</v>
      </c>
      <c r="C692" s="6" t="s">
        <v>11</v>
      </c>
      <c r="D692" s="6" t="s">
        <v>12</v>
      </c>
      <c r="E692" s="4" t="s">
        <v>13</v>
      </c>
      <c r="F692" s="3">
        <v>1614002000</v>
      </c>
      <c r="G692" s="11" t="s">
        <v>129</v>
      </c>
      <c r="H692" s="11" t="s">
        <v>64</v>
      </c>
      <c r="I692" s="4">
        <v>60</v>
      </c>
      <c r="J692" s="4" t="s">
        <v>130</v>
      </c>
      <c r="K692" s="71">
        <v>60</v>
      </c>
      <c r="L692" t="s">
        <v>21</v>
      </c>
      <c r="M692" s="5">
        <f>K692/30</f>
        <v>2</v>
      </c>
    </row>
    <row r="693" spans="1:13" x14ac:dyDescent="0.25">
      <c r="A693" s="126">
        <v>1396</v>
      </c>
      <c r="B693" s="41" t="s">
        <v>18</v>
      </c>
      <c r="C693" s="41" t="s">
        <v>11</v>
      </c>
      <c r="D693" s="41" t="s">
        <v>19</v>
      </c>
      <c r="E693" s="4" t="s">
        <v>13</v>
      </c>
      <c r="F693" s="58">
        <v>2548098000</v>
      </c>
      <c r="G693" s="11" t="s">
        <v>238</v>
      </c>
      <c r="H693" s="11" t="s">
        <v>227</v>
      </c>
      <c r="I693" s="4" t="s">
        <v>239</v>
      </c>
      <c r="J693" s="4" t="s">
        <v>21</v>
      </c>
      <c r="K693" s="71">
        <v>1</v>
      </c>
      <c r="L693" t="s">
        <v>21</v>
      </c>
      <c r="M693" s="5">
        <f>K693/30</f>
        <v>3.3333333333333333E-2</v>
      </c>
    </row>
    <row r="694" spans="1:13" x14ac:dyDescent="0.25">
      <c r="A694" s="125">
        <v>1402</v>
      </c>
      <c r="B694" s="46" t="s">
        <v>18</v>
      </c>
      <c r="C694" s="46" t="s">
        <v>11</v>
      </c>
      <c r="D694" s="46" t="s">
        <v>41</v>
      </c>
      <c r="E694" s="4" t="s">
        <v>13</v>
      </c>
      <c r="F694" s="35">
        <v>1014001</v>
      </c>
      <c r="G694" t="s">
        <v>543</v>
      </c>
      <c r="H694" s="4"/>
      <c r="J694" s="71"/>
      <c r="K694"/>
      <c r="L694" s="5"/>
      <c r="M694"/>
    </row>
    <row r="695" spans="1:13" x14ac:dyDescent="0.25">
      <c r="A695" s="16">
        <v>1403</v>
      </c>
      <c r="B695" s="6" t="s">
        <v>18</v>
      </c>
      <c r="C695" s="6" t="s">
        <v>11</v>
      </c>
      <c r="D695" s="6" t="s">
        <v>19</v>
      </c>
      <c r="E695" s="4" t="s">
        <v>13</v>
      </c>
      <c r="F695" s="3">
        <v>3300202000</v>
      </c>
      <c r="G695" s="11" t="s">
        <v>354</v>
      </c>
      <c r="H695" s="11" t="s">
        <v>350</v>
      </c>
      <c r="I695" s="4" t="s">
        <v>280</v>
      </c>
      <c r="J695" s="4" t="s">
        <v>356</v>
      </c>
      <c r="K695" s="71">
        <v>4</v>
      </c>
      <c r="L695" t="s">
        <v>17</v>
      </c>
      <c r="M695" s="5">
        <f>K695/7</f>
        <v>0.5714285714285714</v>
      </c>
    </row>
    <row r="696" spans="1:13" x14ac:dyDescent="0.25">
      <c r="A696" s="125">
        <v>1413</v>
      </c>
      <c r="B696" s="46" t="s">
        <v>196</v>
      </c>
      <c r="C696" s="46" t="s">
        <v>674</v>
      </c>
      <c r="D696" s="46" t="s">
        <v>40</v>
      </c>
      <c r="E696" s="4" t="s">
        <v>13</v>
      </c>
      <c r="F696" s="35">
        <v>1000012</v>
      </c>
      <c r="G696" t="s">
        <v>570</v>
      </c>
      <c r="H696" s="4"/>
      <c r="J696" s="71"/>
      <c r="K696"/>
      <c r="L696" s="5"/>
      <c r="M696"/>
    </row>
    <row r="697" spans="1:13" x14ac:dyDescent="0.25">
      <c r="A697" s="16">
        <v>1416</v>
      </c>
      <c r="B697" s="3" t="s">
        <v>18</v>
      </c>
      <c r="C697" s="3" t="s">
        <v>22</v>
      </c>
      <c r="D697" s="3" t="s">
        <v>236</v>
      </c>
      <c r="E697" s="4" t="s">
        <v>13</v>
      </c>
      <c r="F697" s="3">
        <v>3319002000</v>
      </c>
      <c r="G697" t="s">
        <v>848</v>
      </c>
      <c r="H697" s="4" t="s">
        <v>64</v>
      </c>
      <c r="I697" s="4">
        <v>20</v>
      </c>
      <c r="J697" s="4" t="s">
        <v>135</v>
      </c>
      <c r="K697" s="71">
        <v>20</v>
      </c>
      <c r="L697" t="s">
        <v>21</v>
      </c>
      <c r="M697">
        <f>K697/30</f>
        <v>0.66666666666666663</v>
      </c>
    </row>
    <row r="698" spans="1:13" x14ac:dyDescent="0.25">
      <c r="A698" s="16">
        <v>1423</v>
      </c>
      <c r="B698" s="6" t="s">
        <v>10</v>
      </c>
      <c r="C698" s="6" t="s">
        <v>11</v>
      </c>
      <c r="D698" s="6" t="s">
        <v>26</v>
      </c>
      <c r="E698" s="4" t="s">
        <v>13</v>
      </c>
      <c r="F698" s="3">
        <v>18001000</v>
      </c>
      <c r="G698" t="s">
        <v>822</v>
      </c>
      <c r="H698" t="s">
        <v>64</v>
      </c>
      <c r="I698" s="4" t="s">
        <v>231</v>
      </c>
      <c r="J698" s="4" t="s">
        <v>231</v>
      </c>
      <c r="K698" s="71">
        <v>0</v>
      </c>
      <c r="L698" t="str">
        <f>J698</f>
        <v>back up</v>
      </c>
      <c r="M698" s="5">
        <v>0</v>
      </c>
    </row>
    <row r="699" spans="1:13" x14ac:dyDescent="0.25">
      <c r="A699" s="16">
        <v>1424</v>
      </c>
      <c r="B699" s="6" t="s">
        <v>10</v>
      </c>
      <c r="C699" s="6" t="s">
        <v>11</v>
      </c>
      <c r="D699" s="6" t="s">
        <v>26</v>
      </c>
      <c r="E699" s="4" t="s">
        <v>13</v>
      </c>
      <c r="F699" s="3">
        <v>2126001000</v>
      </c>
      <c r="G699" s="11" t="s">
        <v>264</v>
      </c>
      <c r="H699" t="s">
        <v>265</v>
      </c>
      <c r="I699" s="4" t="s">
        <v>231</v>
      </c>
      <c r="J699" s="4" t="s">
        <v>231</v>
      </c>
      <c r="K699" s="71">
        <v>0</v>
      </c>
      <c r="L699" t="str">
        <f>J699</f>
        <v>back up</v>
      </c>
      <c r="M699" s="5">
        <v>0</v>
      </c>
    </row>
    <row r="700" spans="1:13" x14ac:dyDescent="0.25">
      <c r="A700" s="123">
        <v>1426</v>
      </c>
      <c r="B700" s="76" t="s">
        <v>10</v>
      </c>
      <c r="C700" s="76" t="s">
        <v>76</v>
      </c>
      <c r="D700" s="76" t="s">
        <v>87</v>
      </c>
      <c r="E700" s="4" t="s">
        <v>13</v>
      </c>
      <c r="F700" s="76">
        <v>43003000</v>
      </c>
      <c r="G700" t="s">
        <v>675</v>
      </c>
      <c r="H700" t="s">
        <v>504</v>
      </c>
      <c r="I700" s="4" t="s">
        <v>493</v>
      </c>
      <c r="J700" s="4" t="s">
        <v>492</v>
      </c>
      <c r="K700" s="71">
        <v>2</v>
      </c>
      <c r="L700" t="s">
        <v>37</v>
      </c>
      <c r="M700">
        <f>K700</f>
        <v>2</v>
      </c>
    </row>
    <row r="701" spans="1:13" x14ac:dyDescent="0.25">
      <c r="A701" s="16">
        <v>1427</v>
      </c>
      <c r="B701" s="6" t="s">
        <v>18</v>
      </c>
      <c r="C701" s="6" t="s">
        <v>11</v>
      </c>
      <c r="D701" s="6" t="s">
        <v>19</v>
      </c>
      <c r="E701" s="4" t="s">
        <v>13</v>
      </c>
      <c r="F701" s="46">
        <v>1014001</v>
      </c>
      <c r="G701" t="s">
        <v>543</v>
      </c>
      <c r="K701" s="105"/>
    </row>
    <row r="702" spans="1:13" x14ac:dyDescent="0.25">
      <c r="A702" s="16">
        <v>1433</v>
      </c>
      <c r="B702" s="6" t="s">
        <v>10</v>
      </c>
      <c r="C702" s="6" t="s">
        <v>22</v>
      </c>
      <c r="D702" s="6" t="s">
        <v>23</v>
      </c>
      <c r="E702" s="4" t="s">
        <v>13</v>
      </c>
      <c r="F702" s="3">
        <v>2514001000</v>
      </c>
      <c r="G702" s="11" t="s">
        <v>435</v>
      </c>
      <c r="H702" s="11" t="s">
        <v>428</v>
      </c>
      <c r="I702" s="4" t="s">
        <v>296</v>
      </c>
      <c r="J702" s="4" t="s">
        <v>352</v>
      </c>
      <c r="K702" s="71">
        <v>0.67</v>
      </c>
      <c r="L702" t="s">
        <v>17</v>
      </c>
      <c r="M702" s="5">
        <f>K702/7</f>
        <v>9.5714285714285724E-2</v>
      </c>
    </row>
    <row r="703" spans="1:13" x14ac:dyDescent="0.25">
      <c r="A703" s="16">
        <v>1440</v>
      </c>
      <c r="B703" s="6" t="s">
        <v>10</v>
      </c>
      <c r="C703" s="6" t="s">
        <v>22</v>
      </c>
      <c r="D703" s="6" t="s">
        <v>23</v>
      </c>
      <c r="E703" s="4" t="s">
        <v>13</v>
      </c>
      <c r="F703" s="3">
        <v>1165000000</v>
      </c>
      <c r="G703" s="11" t="s">
        <v>216</v>
      </c>
      <c r="H703" s="11" t="s">
        <v>215</v>
      </c>
      <c r="I703" s="4">
        <v>3</v>
      </c>
      <c r="J703" s="4" t="s">
        <v>16</v>
      </c>
      <c r="K703" s="71">
        <v>3</v>
      </c>
      <c r="L703" t="s">
        <v>17</v>
      </c>
      <c r="M703" s="5">
        <f>K703/7</f>
        <v>0.42857142857142855</v>
      </c>
    </row>
    <row r="704" spans="1:13" x14ac:dyDescent="0.25">
      <c r="A704" s="16">
        <v>1441</v>
      </c>
      <c r="B704" s="3" t="s">
        <v>18</v>
      </c>
      <c r="C704" s="3" t="s">
        <v>11</v>
      </c>
      <c r="D704" s="3" t="s">
        <v>41</v>
      </c>
      <c r="E704" s="4" t="s">
        <v>13</v>
      </c>
      <c r="F704" s="3">
        <v>157001000</v>
      </c>
      <c r="G704" t="s">
        <v>847</v>
      </c>
      <c r="H704" s="4" t="s">
        <v>845</v>
      </c>
      <c r="I704" s="4">
        <v>20</v>
      </c>
      <c r="J704" s="4" t="s">
        <v>75</v>
      </c>
      <c r="K704" s="71">
        <v>20</v>
      </c>
      <c r="L704" t="s">
        <v>21</v>
      </c>
      <c r="M704">
        <f>K704/30</f>
        <v>0.66666666666666663</v>
      </c>
    </row>
    <row r="705" spans="1:13" x14ac:dyDescent="0.25">
      <c r="A705" s="16">
        <v>1446</v>
      </c>
      <c r="B705" s="6" t="s">
        <v>18</v>
      </c>
      <c r="C705" s="6" t="s">
        <v>11</v>
      </c>
      <c r="D705" s="6" t="s">
        <v>19</v>
      </c>
      <c r="E705" s="4" t="s">
        <v>13</v>
      </c>
      <c r="F705" s="3">
        <v>2126013000</v>
      </c>
      <c r="G705" s="11" t="s">
        <v>123</v>
      </c>
      <c r="H705" s="11" t="s">
        <v>64</v>
      </c>
      <c r="I705" s="4">
        <v>20</v>
      </c>
      <c r="J705" s="4" t="s">
        <v>75</v>
      </c>
      <c r="K705" s="71">
        <v>20</v>
      </c>
      <c r="L705" t="s">
        <v>21</v>
      </c>
      <c r="M705" s="5">
        <f>K705/30</f>
        <v>0.66666666666666663</v>
      </c>
    </row>
    <row r="706" spans="1:13" x14ac:dyDescent="0.25">
      <c r="A706" s="16">
        <v>1451</v>
      </c>
      <c r="B706" s="6" t="s">
        <v>43</v>
      </c>
      <c r="C706" s="6" t="s">
        <v>22</v>
      </c>
      <c r="D706" s="6" t="s">
        <v>277</v>
      </c>
      <c r="E706" s="4" t="s">
        <v>13</v>
      </c>
      <c r="F706" s="3">
        <v>2126001000</v>
      </c>
      <c r="G706" s="11" t="s">
        <v>264</v>
      </c>
      <c r="H706" s="11" t="s">
        <v>265</v>
      </c>
      <c r="I706" s="19" t="s">
        <v>275</v>
      </c>
      <c r="J706" s="19" t="s">
        <v>271</v>
      </c>
      <c r="K706" s="71">
        <v>5</v>
      </c>
      <c r="L706" t="s">
        <v>17</v>
      </c>
      <c r="M706" s="5">
        <f>K706/7</f>
        <v>0.7142857142857143</v>
      </c>
    </row>
    <row r="707" spans="1:13" x14ac:dyDescent="0.25">
      <c r="A707" s="93">
        <v>1465</v>
      </c>
      <c r="B707" s="42" t="s">
        <v>10</v>
      </c>
      <c r="C707" s="42" t="s">
        <v>11</v>
      </c>
      <c r="D707" s="42" t="s">
        <v>26</v>
      </c>
      <c r="E707" s="4" t="s">
        <v>13</v>
      </c>
      <c r="F707" s="46">
        <v>1068021000</v>
      </c>
      <c r="G707" t="s">
        <v>816</v>
      </c>
      <c r="H707" s="17" t="s">
        <v>227</v>
      </c>
      <c r="I707" s="18"/>
      <c r="J707" s="18"/>
      <c r="L707" s="17"/>
    </row>
    <row r="708" spans="1:13" x14ac:dyDescent="0.25">
      <c r="A708" s="125">
        <v>1466</v>
      </c>
      <c r="B708" s="46" t="s">
        <v>10</v>
      </c>
      <c r="C708" s="46" t="s">
        <v>11</v>
      </c>
      <c r="D708" s="46" t="s">
        <v>26</v>
      </c>
      <c r="E708" s="4" t="s">
        <v>13</v>
      </c>
      <c r="F708" s="35">
        <v>1014002</v>
      </c>
      <c r="G708" t="s">
        <v>564</v>
      </c>
      <c r="H708" s="4"/>
      <c r="J708" s="71"/>
      <c r="K708"/>
      <c r="L708" s="5"/>
      <c r="M708"/>
    </row>
    <row r="709" spans="1:13" x14ac:dyDescent="0.25">
      <c r="A709" s="16">
        <v>1467</v>
      </c>
      <c r="B709" s="6" t="s">
        <v>18</v>
      </c>
      <c r="C709" s="6" t="s">
        <v>11</v>
      </c>
      <c r="D709" s="6" t="s">
        <v>41</v>
      </c>
      <c r="E709" s="4" t="s">
        <v>13</v>
      </c>
      <c r="F709" s="3">
        <v>3300202000</v>
      </c>
      <c r="G709" s="11" t="s">
        <v>354</v>
      </c>
      <c r="H709" s="11" t="s">
        <v>350</v>
      </c>
      <c r="I709" s="4" t="s">
        <v>280</v>
      </c>
      <c r="J709" s="4" t="s">
        <v>357</v>
      </c>
      <c r="K709" s="71">
        <v>2</v>
      </c>
      <c r="L709" t="s">
        <v>17</v>
      </c>
      <c r="M709" s="5">
        <f>K709/7</f>
        <v>0.2857142857142857</v>
      </c>
    </row>
    <row r="710" spans="1:13" x14ac:dyDescent="0.25">
      <c r="A710" s="94">
        <v>1474</v>
      </c>
      <c r="B710" s="6" t="s">
        <v>18</v>
      </c>
      <c r="C710" s="6" t="s">
        <v>11</v>
      </c>
      <c r="D710" s="6" t="s">
        <v>41</v>
      </c>
      <c r="E710" s="4" t="s">
        <v>13</v>
      </c>
      <c r="F710" s="3">
        <v>2936001000</v>
      </c>
      <c r="G710" s="11" t="s">
        <v>341</v>
      </c>
      <c r="H710" s="11" t="s">
        <v>342</v>
      </c>
      <c r="I710" s="19" t="s">
        <v>280</v>
      </c>
      <c r="J710" s="4" t="s">
        <v>343</v>
      </c>
      <c r="K710" s="71">
        <v>2</v>
      </c>
      <c r="L710" t="s">
        <v>17</v>
      </c>
      <c r="M710" s="5">
        <f>K710/7</f>
        <v>0.2857142857142857</v>
      </c>
    </row>
    <row r="711" spans="1:13" x14ac:dyDescent="0.25">
      <c r="A711" s="123">
        <v>1490</v>
      </c>
      <c r="B711" s="76" t="s">
        <v>70</v>
      </c>
      <c r="C711" s="76" t="s">
        <v>22</v>
      </c>
      <c r="D711" s="76" t="s">
        <v>579</v>
      </c>
      <c r="E711" s="4" t="s">
        <v>13</v>
      </c>
      <c r="F711" s="76">
        <v>43001000</v>
      </c>
      <c r="G711" t="s">
        <v>553</v>
      </c>
      <c r="H711" t="s">
        <v>504</v>
      </c>
      <c r="I711" s="4" t="s">
        <v>494</v>
      </c>
      <c r="J711" s="4" t="s">
        <v>523</v>
      </c>
      <c r="K711" s="71">
        <v>4</v>
      </c>
      <c r="L711" t="s">
        <v>17</v>
      </c>
      <c r="M711">
        <f>K711/7</f>
        <v>0.5714285714285714</v>
      </c>
    </row>
    <row r="712" spans="1:13" x14ac:dyDescent="0.25">
      <c r="A712" s="16">
        <v>1505</v>
      </c>
      <c r="B712" s="6" t="s">
        <v>18</v>
      </c>
      <c r="C712" s="6" t="s">
        <v>11</v>
      </c>
      <c r="D712" s="6" t="s">
        <v>40</v>
      </c>
      <c r="E712" s="4" t="s">
        <v>13</v>
      </c>
      <c r="F712" s="3">
        <v>3300202000</v>
      </c>
      <c r="G712" s="11" t="s">
        <v>354</v>
      </c>
      <c r="H712" t="s">
        <v>350</v>
      </c>
      <c r="I712" s="4" t="s">
        <v>231</v>
      </c>
      <c r="J712" s="4" t="s">
        <v>231</v>
      </c>
      <c r="K712" s="71">
        <v>0</v>
      </c>
      <c r="L712" t="str">
        <f>J712</f>
        <v>back up</v>
      </c>
      <c r="M712" s="5">
        <f>K712</f>
        <v>0</v>
      </c>
    </row>
    <row r="713" spans="1:13" x14ac:dyDescent="0.25">
      <c r="A713" s="16">
        <v>1510</v>
      </c>
      <c r="B713" s="6" t="s">
        <v>10</v>
      </c>
      <c r="C713" s="6" t="s">
        <v>11</v>
      </c>
      <c r="D713" s="6" t="s">
        <v>87</v>
      </c>
      <c r="E713" s="4" t="s">
        <v>13</v>
      </c>
      <c r="F713" s="3">
        <v>2126013000</v>
      </c>
      <c r="G713" s="11" t="s">
        <v>123</v>
      </c>
      <c r="H713" s="11" t="s">
        <v>64</v>
      </c>
      <c r="I713" s="4">
        <v>20</v>
      </c>
      <c r="J713" s="4" t="s">
        <v>75</v>
      </c>
      <c r="K713" s="71">
        <v>20</v>
      </c>
      <c r="L713" t="s">
        <v>21</v>
      </c>
      <c r="M713" s="5">
        <f>K713/30</f>
        <v>0.66666666666666663</v>
      </c>
    </row>
    <row r="714" spans="1:13" x14ac:dyDescent="0.25">
      <c r="A714" s="123">
        <v>1514</v>
      </c>
      <c r="B714" s="76" t="s">
        <v>18</v>
      </c>
      <c r="C714" s="76" t="s">
        <v>11</v>
      </c>
      <c r="D714" s="76" t="s">
        <v>19</v>
      </c>
      <c r="E714" s="4" t="s">
        <v>13</v>
      </c>
      <c r="F714" s="76">
        <v>43001000</v>
      </c>
      <c r="G714" t="s">
        <v>553</v>
      </c>
      <c r="H714" t="s">
        <v>504</v>
      </c>
      <c r="I714" s="4" t="s">
        <v>494</v>
      </c>
      <c r="J714" s="4" t="s">
        <v>523</v>
      </c>
      <c r="K714" s="71">
        <v>4</v>
      </c>
      <c r="L714" t="s">
        <v>17</v>
      </c>
      <c r="M714">
        <f>K714/7</f>
        <v>0.5714285714285714</v>
      </c>
    </row>
    <row r="715" spans="1:13" x14ac:dyDescent="0.25">
      <c r="A715" s="125">
        <v>1524</v>
      </c>
      <c r="B715" s="46" t="s">
        <v>677</v>
      </c>
      <c r="C715" s="46" t="s">
        <v>22</v>
      </c>
      <c r="D715" s="46" t="s">
        <v>678</v>
      </c>
      <c r="E715" s="4" t="s">
        <v>13</v>
      </c>
      <c r="F715" s="35">
        <v>1000007</v>
      </c>
      <c r="G715" t="s">
        <v>679</v>
      </c>
      <c r="H715" s="4"/>
      <c r="J715" s="71"/>
      <c r="K715"/>
      <c r="L715" s="5"/>
      <c r="M715"/>
    </row>
    <row r="716" spans="1:13" x14ac:dyDescent="0.25">
      <c r="A716" s="16">
        <v>1527</v>
      </c>
      <c r="B716" s="46" t="s">
        <v>70</v>
      </c>
      <c r="C716" s="46" t="s">
        <v>11</v>
      </c>
      <c r="D716" s="46" t="s">
        <v>19</v>
      </c>
      <c r="E716" s="4" t="s">
        <v>13</v>
      </c>
      <c r="F716" s="46">
        <v>157002000</v>
      </c>
      <c r="G716" t="s">
        <v>572</v>
      </c>
      <c r="H716" s="4" t="s">
        <v>845</v>
      </c>
      <c r="I716" s="4">
        <v>10</v>
      </c>
      <c r="J716" s="4" t="s">
        <v>103</v>
      </c>
      <c r="K716" s="71">
        <v>10</v>
      </c>
      <c r="L716" t="s">
        <v>21</v>
      </c>
      <c r="M716">
        <f>K716/30</f>
        <v>0.33333333333333331</v>
      </c>
    </row>
    <row r="717" spans="1:13" x14ac:dyDescent="0.25">
      <c r="A717" s="16">
        <v>1533</v>
      </c>
      <c r="B717" s="6" t="s">
        <v>18</v>
      </c>
      <c r="C717" s="6" t="s">
        <v>11</v>
      </c>
      <c r="D717" s="6" t="s">
        <v>19</v>
      </c>
      <c r="E717" s="4" t="s">
        <v>13</v>
      </c>
      <c r="F717" s="3">
        <v>3300202000</v>
      </c>
      <c r="G717" s="11" t="s">
        <v>354</v>
      </c>
      <c r="H717" s="11" t="s">
        <v>350</v>
      </c>
      <c r="I717" s="4" t="s">
        <v>296</v>
      </c>
      <c r="J717" s="4" t="s">
        <v>352</v>
      </c>
      <c r="K717" s="105">
        <f>40/60</f>
        <v>0.66666666666666663</v>
      </c>
      <c r="L717" t="s">
        <v>17</v>
      </c>
      <c r="M717" s="5">
        <f>K717/7</f>
        <v>9.5238095238095233E-2</v>
      </c>
    </row>
    <row r="718" spans="1:13" x14ac:dyDescent="0.25">
      <c r="A718" s="16">
        <v>1535</v>
      </c>
      <c r="B718" s="6" t="s">
        <v>70</v>
      </c>
      <c r="C718" s="6" t="s">
        <v>11</v>
      </c>
      <c r="D718" s="6" t="s">
        <v>19</v>
      </c>
      <c r="E718" s="4" t="s">
        <v>13</v>
      </c>
      <c r="F718" s="3">
        <v>2499001000</v>
      </c>
      <c r="G718" s="11" t="s">
        <v>457</v>
      </c>
      <c r="H718" t="s">
        <v>504</v>
      </c>
      <c r="I718" s="4" t="s">
        <v>231</v>
      </c>
      <c r="J718" s="4" t="s">
        <v>528</v>
      </c>
      <c r="K718" s="71">
        <v>0</v>
      </c>
      <c r="L718" t="str">
        <f>J718</f>
        <v>no esta en uso porque se quitaron las alfombras del servicio</v>
      </c>
      <c r="M718" s="5">
        <v>0</v>
      </c>
    </row>
    <row r="719" spans="1:13" x14ac:dyDescent="0.25">
      <c r="A719" s="16">
        <v>1547</v>
      </c>
      <c r="B719" s="6" t="s">
        <v>18</v>
      </c>
      <c r="C719" s="6" t="s">
        <v>39</v>
      </c>
      <c r="D719" s="6" t="s">
        <v>40</v>
      </c>
      <c r="E719" s="4" t="s">
        <v>13</v>
      </c>
      <c r="F719" s="3">
        <v>165001000</v>
      </c>
      <c r="G719" s="11" t="s">
        <v>319</v>
      </c>
      <c r="H719" s="11" t="s">
        <v>338</v>
      </c>
      <c r="I719" s="4" t="s">
        <v>321</v>
      </c>
      <c r="J719" s="4" t="s">
        <v>17</v>
      </c>
      <c r="K719" s="71">
        <v>10</v>
      </c>
      <c r="L719" t="s">
        <v>17</v>
      </c>
      <c r="M719" s="5">
        <f>K719/7</f>
        <v>1.4285714285714286</v>
      </c>
    </row>
    <row r="720" spans="1:13" x14ac:dyDescent="0.25">
      <c r="A720" s="16">
        <v>1560</v>
      </c>
      <c r="B720" s="6" t="s">
        <v>18</v>
      </c>
      <c r="C720" s="6" t="s">
        <v>39</v>
      </c>
      <c r="D720" s="6" t="s">
        <v>40</v>
      </c>
      <c r="E720" s="4" t="s">
        <v>13</v>
      </c>
      <c r="F720" s="3">
        <v>153002000</v>
      </c>
      <c r="G720" s="11" t="s">
        <v>497</v>
      </c>
      <c r="H720" s="11" t="s">
        <v>498</v>
      </c>
      <c r="I720" s="4">
        <v>10</v>
      </c>
      <c r="J720" s="4" t="s">
        <v>20</v>
      </c>
      <c r="K720" s="71">
        <f>I720</f>
        <v>10</v>
      </c>
      <c r="L720" t="s">
        <v>21</v>
      </c>
      <c r="M720" s="5">
        <f>K720/30</f>
        <v>0.33333333333333331</v>
      </c>
    </row>
    <row r="721" spans="1:13" x14ac:dyDescent="0.25">
      <c r="A721" s="16">
        <v>1579</v>
      </c>
      <c r="B721" s="3" t="s">
        <v>70</v>
      </c>
      <c r="C721" s="3" t="s">
        <v>11</v>
      </c>
      <c r="D721" s="3" t="s">
        <v>19</v>
      </c>
      <c r="E721" s="4" t="s">
        <v>13</v>
      </c>
      <c r="F721" s="3">
        <v>157001000</v>
      </c>
      <c r="G721" t="s">
        <v>847</v>
      </c>
      <c r="H721" s="4" t="s">
        <v>845</v>
      </c>
      <c r="I721" s="4">
        <v>10</v>
      </c>
      <c r="J721" s="4" t="s">
        <v>115</v>
      </c>
      <c r="K721" s="71">
        <v>10</v>
      </c>
      <c r="L721" t="s">
        <v>21</v>
      </c>
      <c r="M721">
        <f>K721/30</f>
        <v>0.33333333333333331</v>
      </c>
    </row>
    <row r="722" spans="1:13" x14ac:dyDescent="0.25">
      <c r="A722" s="125">
        <v>1582</v>
      </c>
      <c r="B722" s="46" t="s">
        <v>314</v>
      </c>
      <c r="C722" s="46" t="s">
        <v>101</v>
      </c>
      <c r="D722" s="46" t="s">
        <v>680</v>
      </c>
      <c r="E722" s="4" t="s">
        <v>13</v>
      </c>
      <c r="F722" s="35">
        <v>1000012</v>
      </c>
      <c r="G722" t="s">
        <v>570</v>
      </c>
      <c r="H722" s="4"/>
      <c r="J722" s="71"/>
      <c r="K722"/>
      <c r="L722" s="5"/>
      <c r="M722"/>
    </row>
    <row r="723" spans="1:13" x14ac:dyDescent="0.25">
      <c r="A723" s="123">
        <v>1587</v>
      </c>
      <c r="B723" s="76" t="s">
        <v>18</v>
      </c>
      <c r="C723" s="76" t="s">
        <v>11</v>
      </c>
      <c r="D723" s="76" t="s">
        <v>41</v>
      </c>
      <c r="E723" s="4" t="s">
        <v>13</v>
      </c>
      <c r="F723" s="76">
        <v>3033001000</v>
      </c>
      <c r="G723" t="s">
        <v>681</v>
      </c>
      <c r="H723" t="s">
        <v>504</v>
      </c>
      <c r="I723" s="4" t="s">
        <v>864</v>
      </c>
      <c r="J723" s="4" t="s">
        <v>523</v>
      </c>
      <c r="K723" s="71">
        <v>4</v>
      </c>
      <c r="L723" t="s">
        <v>17</v>
      </c>
      <c r="M723">
        <f>K723/7</f>
        <v>0.5714285714285714</v>
      </c>
    </row>
    <row r="724" spans="1:13" x14ac:dyDescent="0.25">
      <c r="A724" s="125">
        <v>1589</v>
      </c>
      <c r="B724" s="46" t="s">
        <v>670</v>
      </c>
      <c r="C724" s="46" t="s">
        <v>682</v>
      </c>
      <c r="D724" s="46" t="s">
        <v>40</v>
      </c>
      <c r="E724" s="4" t="s">
        <v>13</v>
      </c>
      <c r="F724" s="35">
        <v>1000012</v>
      </c>
      <c r="G724" t="s">
        <v>570</v>
      </c>
      <c r="H724" s="4"/>
      <c r="J724" s="71"/>
      <c r="K724"/>
      <c r="L724" s="5"/>
      <c r="M724"/>
    </row>
    <row r="725" spans="1:13" x14ac:dyDescent="0.25">
      <c r="A725" s="16">
        <v>1594</v>
      </c>
      <c r="B725" s="6" t="s">
        <v>119</v>
      </c>
      <c r="C725" s="6" t="s">
        <v>22</v>
      </c>
      <c r="D725" s="6" t="s">
        <v>441</v>
      </c>
      <c r="E725" s="4" t="s">
        <v>13</v>
      </c>
      <c r="F725" s="3">
        <v>66011000</v>
      </c>
      <c r="G725" s="11" t="s">
        <v>440</v>
      </c>
      <c r="H725" t="s">
        <v>521</v>
      </c>
      <c r="I725" s="4" t="s">
        <v>522</v>
      </c>
      <c r="J725" s="4" t="s">
        <v>522</v>
      </c>
      <c r="K725" s="71">
        <v>0</v>
      </c>
      <c r="L725" t="str">
        <f>J725</f>
        <v>Operativos</v>
      </c>
      <c r="M725" s="5">
        <f>K725</f>
        <v>0</v>
      </c>
    </row>
    <row r="726" spans="1:13" x14ac:dyDescent="0.25">
      <c r="A726" s="16">
        <v>1598</v>
      </c>
      <c r="B726" s="6" t="s">
        <v>18</v>
      </c>
      <c r="C726" s="6" t="s">
        <v>11</v>
      </c>
      <c r="D726" s="6" t="s">
        <v>19</v>
      </c>
      <c r="E726" s="4" t="s">
        <v>13</v>
      </c>
      <c r="F726" s="3">
        <v>1406010000</v>
      </c>
      <c r="G726" s="11" t="s">
        <v>303</v>
      </c>
      <c r="H726" s="11" t="s">
        <v>338</v>
      </c>
      <c r="I726" s="4" t="s">
        <v>280</v>
      </c>
      <c r="J726" s="4" t="s">
        <v>293</v>
      </c>
      <c r="K726" s="71">
        <v>2</v>
      </c>
      <c r="L726" t="s">
        <v>17</v>
      </c>
      <c r="M726" s="5">
        <f>K726/7</f>
        <v>0.2857142857142857</v>
      </c>
    </row>
    <row r="727" spans="1:13" x14ac:dyDescent="0.25">
      <c r="A727" s="125">
        <v>1599</v>
      </c>
      <c r="B727" s="46" t="s">
        <v>18</v>
      </c>
      <c r="C727" s="46" t="s">
        <v>631</v>
      </c>
      <c r="D727" s="46" t="s">
        <v>632</v>
      </c>
      <c r="E727" s="4" t="s">
        <v>13</v>
      </c>
      <c r="F727" s="35">
        <v>1000008</v>
      </c>
      <c r="G727" t="s">
        <v>663</v>
      </c>
      <c r="H727" s="4"/>
      <c r="J727" s="71"/>
      <c r="K727"/>
      <c r="L727" s="5"/>
      <c r="M727"/>
    </row>
    <row r="728" spans="1:13" x14ac:dyDescent="0.25">
      <c r="A728" s="16">
        <v>1606</v>
      </c>
      <c r="B728" s="3" t="s">
        <v>10</v>
      </c>
      <c r="C728" s="3" t="s">
        <v>11</v>
      </c>
      <c r="D728" s="3" t="s">
        <v>113</v>
      </c>
      <c r="E728" s="4" t="s">
        <v>13</v>
      </c>
      <c r="F728" s="46">
        <v>1014001</v>
      </c>
      <c r="G728" t="s">
        <v>543</v>
      </c>
      <c r="M728"/>
    </row>
    <row r="729" spans="1:13" x14ac:dyDescent="0.25">
      <c r="A729" s="16">
        <v>1607</v>
      </c>
      <c r="B729" s="3" t="s">
        <v>10</v>
      </c>
      <c r="C729" s="46" t="s">
        <v>11</v>
      </c>
      <c r="D729" s="46" t="s">
        <v>684</v>
      </c>
      <c r="E729" s="4" t="s">
        <v>13</v>
      </c>
      <c r="F729" s="3">
        <v>3248001000</v>
      </c>
      <c r="G729" t="s">
        <v>685</v>
      </c>
      <c r="H729" s="11" t="s">
        <v>829</v>
      </c>
      <c r="I729" s="4">
        <v>16</v>
      </c>
      <c r="J729" s="4" t="s">
        <v>105</v>
      </c>
      <c r="K729" s="71">
        <v>16</v>
      </c>
      <c r="L729" t="s">
        <v>21</v>
      </c>
      <c r="M729" s="5">
        <f>K729/30</f>
        <v>0.53333333333333333</v>
      </c>
    </row>
    <row r="730" spans="1:13" x14ac:dyDescent="0.25">
      <c r="A730" s="16">
        <v>1627</v>
      </c>
      <c r="B730" s="3" t="s">
        <v>18</v>
      </c>
      <c r="C730" s="3" t="s">
        <v>11</v>
      </c>
      <c r="D730" s="3" t="s">
        <v>41</v>
      </c>
      <c r="E730" s="4" t="s">
        <v>13</v>
      </c>
      <c r="F730" s="3">
        <v>3319001000</v>
      </c>
      <c r="G730" t="s">
        <v>850</v>
      </c>
      <c r="H730" s="4" t="s">
        <v>845</v>
      </c>
      <c r="I730" s="4">
        <v>10</v>
      </c>
      <c r="J730" s="4" t="s">
        <v>103</v>
      </c>
      <c r="K730" s="71">
        <v>10</v>
      </c>
      <c r="L730" t="s">
        <v>21</v>
      </c>
      <c r="M730">
        <f>K730/30</f>
        <v>0.33333333333333331</v>
      </c>
    </row>
    <row r="731" spans="1:13" x14ac:dyDescent="0.25">
      <c r="A731" s="16">
        <v>1628</v>
      </c>
      <c r="B731" s="6" t="s">
        <v>18</v>
      </c>
      <c r="C731" s="6" t="s">
        <v>11</v>
      </c>
      <c r="D731" s="6" t="s">
        <v>40</v>
      </c>
      <c r="E731" s="4" t="s">
        <v>13</v>
      </c>
      <c r="F731" s="3">
        <v>2558002000</v>
      </c>
      <c r="G731" s="11" t="s">
        <v>94</v>
      </c>
      <c r="H731" t="s">
        <v>64</v>
      </c>
      <c r="I731" s="4" t="s">
        <v>231</v>
      </c>
      <c r="J731" s="4" t="s">
        <v>231</v>
      </c>
      <c r="K731" s="71">
        <v>0</v>
      </c>
      <c r="L731" t="str">
        <f>J731</f>
        <v>back up</v>
      </c>
      <c r="M731" s="5">
        <v>0</v>
      </c>
    </row>
    <row r="732" spans="1:13" x14ac:dyDescent="0.25">
      <c r="A732" s="123">
        <v>1630</v>
      </c>
      <c r="B732" s="76" t="s">
        <v>18</v>
      </c>
      <c r="C732" s="76" t="s">
        <v>11</v>
      </c>
      <c r="D732" s="76" t="s">
        <v>19</v>
      </c>
      <c r="E732" s="4" t="s">
        <v>13</v>
      </c>
      <c r="F732" s="76">
        <v>2053001000</v>
      </c>
      <c r="G732" t="s">
        <v>630</v>
      </c>
      <c r="H732" t="s">
        <v>504</v>
      </c>
      <c r="I732" s="4" t="s">
        <v>863</v>
      </c>
      <c r="J732" s="4" t="s">
        <v>535</v>
      </c>
      <c r="K732" s="71">
        <f>45/60</f>
        <v>0.75</v>
      </c>
      <c r="L732" t="s">
        <v>17</v>
      </c>
      <c r="M732">
        <f>K732/7</f>
        <v>0.10714285714285714</v>
      </c>
    </row>
    <row r="733" spans="1:13" x14ac:dyDescent="0.25">
      <c r="A733" s="16">
        <v>1631</v>
      </c>
      <c r="B733" s="6" t="s">
        <v>10</v>
      </c>
      <c r="C733" s="6" t="s">
        <v>11</v>
      </c>
      <c r="D733" s="6" t="s">
        <v>26</v>
      </c>
      <c r="E733" s="4" t="s">
        <v>13</v>
      </c>
      <c r="F733" s="3">
        <v>3219001000</v>
      </c>
      <c r="G733" s="11" t="s">
        <v>126</v>
      </c>
      <c r="H733" s="11" t="s">
        <v>64</v>
      </c>
      <c r="I733" s="4">
        <v>24</v>
      </c>
      <c r="J733" s="4" t="s">
        <v>127</v>
      </c>
      <c r="K733" s="71">
        <v>24</v>
      </c>
      <c r="L733" t="s">
        <v>21</v>
      </c>
      <c r="M733" s="5">
        <f>K733/30</f>
        <v>0.8</v>
      </c>
    </row>
    <row r="734" spans="1:13" x14ac:dyDescent="0.25">
      <c r="A734" s="16">
        <v>1632</v>
      </c>
      <c r="B734" s="6" t="s">
        <v>10</v>
      </c>
      <c r="C734" s="6" t="s">
        <v>11</v>
      </c>
      <c r="D734" s="6" t="s">
        <v>26</v>
      </c>
      <c r="E734" s="4" t="s">
        <v>13</v>
      </c>
      <c r="F734" s="3">
        <v>2548017000</v>
      </c>
      <c r="G734" s="11" t="s">
        <v>62</v>
      </c>
      <c r="H734" s="11" t="s">
        <v>339</v>
      </c>
      <c r="I734" s="4" t="s">
        <v>53</v>
      </c>
      <c r="J734" s="4" t="s">
        <v>20</v>
      </c>
      <c r="K734" s="71">
        <v>1</v>
      </c>
      <c r="L734" t="s">
        <v>21</v>
      </c>
      <c r="M734" s="5">
        <f>K734/30</f>
        <v>3.3333333333333333E-2</v>
      </c>
    </row>
    <row r="735" spans="1:13" x14ac:dyDescent="0.25">
      <c r="A735" s="94">
        <v>1633</v>
      </c>
      <c r="B735" s="3" t="s">
        <v>10</v>
      </c>
      <c r="C735" s="3" t="s">
        <v>11</v>
      </c>
      <c r="D735" s="3" t="s">
        <v>26</v>
      </c>
      <c r="E735" s="4" t="s">
        <v>13</v>
      </c>
      <c r="F735" s="3">
        <v>212005000</v>
      </c>
      <c r="G735" t="s">
        <v>833</v>
      </c>
      <c r="H735" t="s">
        <v>829</v>
      </c>
      <c r="M735"/>
    </row>
    <row r="736" spans="1:13" x14ac:dyDescent="0.25">
      <c r="A736" s="16">
        <v>1635</v>
      </c>
      <c r="B736" s="6" t="s">
        <v>10</v>
      </c>
      <c r="C736" s="6" t="s">
        <v>11</v>
      </c>
      <c r="D736" s="6" t="s">
        <v>26</v>
      </c>
      <c r="E736" s="4" t="s">
        <v>13</v>
      </c>
      <c r="F736" s="3">
        <v>153002000</v>
      </c>
      <c r="G736" s="11" t="s">
        <v>497</v>
      </c>
      <c r="H736" s="11" t="s">
        <v>498</v>
      </c>
      <c r="I736" s="4">
        <v>10</v>
      </c>
      <c r="J736" s="4" t="s">
        <v>20</v>
      </c>
      <c r="K736" s="71">
        <f>I736</f>
        <v>10</v>
      </c>
      <c r="L736" t="s">
        <v>21</v>
      </c>
      <c r="M736" s="5">
        <f>K736/30</f>
        <v>0.33333333333333331</v>
      </c>
    </row>
    <row r="737" spans="1:13" x14ac:dyDescent="0.25">
      <c r="A737" s="16">
        <v>1636</v>
      </c>
      <c r="B737" s="6" t="s">
        <v>10</v>
      </c>
      <c r="C737" s="6" t="s">
        <v>11</v>
      </c>
      <c r="D737" s="6" t="s">
        <v>26</v>
      </c>
      <c r="E737" s="4" t="s">
        <v>13</v>
      </c>
      <c r="F737" s="3">
        <v>3207012000</v>
      </c>
      <c r="G737" s="11" t="s">
        <v>452</v>
      </c>
      <c r="H737" s="11" t="s">
        <v>456</v>
      </c>
      <c r="I737" s="4" t="s">
        <v>485</v>
      </c>
      <c r="J737" s="4" t="s">
        <v>235</v>
      </c>
      <c r="K737" s="71">
        <v>2</v>
      </c>
      <c r="L737" t="s">
        <v>17</v>
      </c>
      <c r="M737" s="5">
        <f>K737/7</f>
        <v>0.2857142857142857</v>
      </c>
    </row>
    <row r="738" spans="1:13" x14ac:dyDescent="0.25">
      <c r="A738" s="16">
        <v>1638</v>
      </c>
      <c r="B738" s="6" t="s">
        <v>18</v>
      </c>
      <c r="C738" s="6" t="s">
        <v>11</v>
      </c>
      <c r="D738" s="6" t="s">
        <v>41</v>
      </c>
      <c r="E738" s="4" t="s">
        <v>13</v>
      </c>
      <c r="F738" s="3">
        <v>3288001000</v>
      </c>
      <c r="G738" s="11" t="s">
        <v>117</v>
      </c>
      <c r="H738" s="11" t="s">
        <v>64</v>
      </c>
      <c r="I738" s="4">
        <v>6</v>
      </c>
      <c r="J738" s="4" t="s">
        <v>118</v>
      </c>
      <c r="K738" s="71">
        <v>6</v>
      </c>
      <c r="L738" t="s">
        <v>21</v>
      </c>
      <c r="M738" s="5">
        <f>K738/30</f>
        <v>0.2</v>
      </c>
    </row>
    <row r="739" spans="1:13" x14ac:dyDescent="0.25">
      <c r="A739" s="16">
        <v>1651</v>
      </c>
      <c r="B739" s="6" t="s">
        <v>10</v>
      </c>
      <c r="C739" s="6" t="s">
        <v>11</v>
      </c>
      <c r="D739" s="6" t="s">
        <v>26</v>
      </c>
      <c r="E739" s="4" t="s">
        <v>13</v>
      </c>
      <c r="F739" s="3">
        <v>66031000</v>
      </c>
      <c r="G739" s="11" t="s">
        <v>500</v>
      </c>
      <c r="H739" s="11" t="s">
        <v>498</v>
      </c>
      <c r="I739" s="4">
        <v>7</v>
      </c>
      <c r="J739" s="4" t="s">
        <v>20</v>
      </c>
      <c r="K739" s="71">
        <f>I739</f>
        <v>7</v>
      </c>
      <c r="L739" t="s">
        <v>21</v>
      </c>
      <c r="M739" s="5">
        <f>K739/30</f>
        <v>0.23333333333333334</v>
      </c>
    </row>
    <row r="740" spans="1:13" x14ac:dyDescent="0.25">
      <c r="A740" s="123">
        <v>1675</v>
      </c>
      <c r="B740" s="76" t="s">
        <v>10</v>
      </c>
      <c r="C740" s="76" t="s">
        <v>22</v>
      </c>
      <c r="D740" s="76" t="s">
        <v>23</v>
      </c>
      <c r="E740" s="4" t="s">
        <v>13</v>
      </c>
      <c r="F740" s="76">
        <v>43006000</v>
      </c>
      <c r="G740" t="s">
        <v>555</v>
      </c>
      <c r="H740" t="s">
        <v>504</v>
      </c>
      <c r="I740" s="4" t="s">
        <v>493</v>
      </c>
      <c r="J740" s="4" t="s">
        <v>492</v>
      </c>
      <c r="K740" s="71">
        <v>2</v>
      </c>
      <c r="L740" t="s">
        <v>37</v>
      </c>
      <c r="M740">
        <f>K740</f>
        <v>2</v>
      </c>
    </row>
    <row r="741" spans="1:13" x14ac:dyDescent="0.25">
      <c r="A741" s="123">
        <v>1696</v>
      </c>
      <c r="B741" s="76" t="s">
        <v>18</v>
      </c>
      <c r="C741" s="76" t="s">
        <v>11</v>
      </c>
      <c r="D741" s="76" t="s">
        <v>41</v>
      </c>
      <c r="E741" s="4" t="s">
        <v>13</v>
      </c>
      <c r="F741" s="76">
        <v>3370014000</v>
      </c>
      <c r="G741" t="s">
        <v>686</v>
      </c>
      <c r="H741" t="s">
        <v>504</v>
      </c>
      <c r="I741" s="4" t="s">
        <v>493</v>
      </c>
      <c r="J741" s="4" t="s">
        <v>523</v>
      </c>
      <c r="K741" s="71">
        <v>2</v>
      </c>
      <c r="L741" t="s">
        <v>17</v>
      </c>
      <c r="M741">
        <f>K741/7</f>
        <v>0.2857142857142857</v>
      </c>
    </row>
    <row r="742" spans="1:13" x14ac:dyDescent="0.25">
      <c r="A742" s="114">
        <v>1699</v>
      </c>
      <c r="B742" s="54" t="s">
        <v>18</v>
      </c>
      <c r="C742" s="54" t="s">
        <v>11</v>
      </c>
      <c r="D742" s="54" t="s">
        <v>19</v>
      </c>
      <c r="E742" s="54" t="s">
        <v>13</v>
      </c>
      <c r="F742" s="65">
        <v>3042004002</v>
      </c>
      <c r="G742" s="8" t="s">
        <v>601</v>
      </c>
      <c r="H742" s="7"/>
      <c r="I742" s="7"/>
      <c r="J742" s="106"/>
      <c r="K742" s="8"/>
      <c r="L742" s="30"/>
      <c r="M742" s="8"/>
    </row>
    <row r="743" spans="1:13" x14ac:dyDescent="0.25">
      <c r="A743" s="16">
        <v>1700</v>
      </c>
      <c r="B743" s="6" t="s">
        <v>18</v>
      </c>
      <c r="C743" s="6" t="s">
        <v>11</v>
      </c>
      <c r="D743" s="6" t="s">
        <v>19</v>
      </c>
      <c r="E743" s="4" t="s">
        <v>13</v>
      </c>
      <c r="F743" s="3">
        <v>2126001000</v>
      </c>
      <c r="G743" s="11" t="s">
        <v>264</v>
      </c>
      <c r="H743" s="11" t="s">
        <v>265</v>
      </c>
      <c r="I743" s="19" t="s">
        <v>266</v>
      </c>
      <c r="J743" s="19" t="s">
        <v>267</v>
      </c>
      <c r="K743" s="71">
        <v>12</v>
      </c>
      <c r="L743" t="s">
        <v>17</v>
      </c>
      <c r="M743" s="5">
        <f>K743/7</f>
        <v>1.7142857142857142</v>
      </c>
    </row>
    <row r="744" spans="1:13" x14ac:dyDescent="0.25">
      <c r="A744" s="16">
        <v>1701</v>
      </c>
      <c r="B744" s="6" t="s">
        <v>18</v>
      </c>
      <c r="C744" s="6" t="s">
        <v>11</v>
      </c>
      <c r="D744" s="6" t="s">
        <v>19</v>
      </c>
      <c r="E744" s="4" t="s">
        <v>13</v>
      </c>
      <c r="F744" s="3">
        <v>1165000000</v>
      </c>
      <c r="G744" s="11" t="s">
        <v>216</v>
      </c>
      <c r="H744" s="11" t="s">
        <v>215</v>
      </c>
      <c r="I744" s="4">
        <v>4</v>
      </c>
      <c r="J744" s="4" t="s">
        <v>16</v>
      </c>
      <c r="K744" s="71">
        <v>4</v>
      </c>
      <c r="L744" t="s">
        <v>17</v>
      </c>
      <c r="M744" s="5">
        <f>K744/7</f>
        <v>0.5714285714285714</v>
      </c>
    </row>
    <row r="745" spans="1:13" x14ac:dyDescent="0.25">
      <c r="A745" s="16">
        <v>1709</v>
      </c>
      <c r="B745" s="6" t="s">
        <v>18</v>
      </c>
      <c r="C745" s="6" t="s">
        <v>11</v>
      </c>
      <c r="D745" s="6" t="s">
        <v>19</v>
      </c>
      <c r="E745" s="4" t="s">
        <v>13</v>
      </c>
      <c r="F745" s="3">
        <v>2905001000</v>
      </c>
      <c r="G745" s="11" t="s">
        <v>400</v>
      </c>
      <c r="H745" s="11" t="s">
        <v>380</v>
      </c>
      <c r="I745" s="4" t="s">
        <v>290</v>
      </c>
      <c r="J745" s="4" t="s">
        <v>401</v>
      </c>
      <c r="K745" s="71">
        <v>2</v>
      </c>
      <c r="L745" t="s">
        <v>21</v>
      </c>
      <c r="M745" s="5">
        <f>K745/30</f>
        <v>6.6666666666666666E-2</v>
      </c>
    </row>
    <row r="746" spans="1:13" x14ac:dyDescent="0.25">
      <c r="A746" s="16">
        <v>1714</v>
      </c>
      <c r="B746" s="6" t="s">
        <v>10</v>
      </c>
      <c r="C746" s="6" t="s">
        <v>11</v>
      </c>
      <c r="D746" s="6" t="s">
        <v>26</v>
      </c>
      <c r="E746" s="4" t="s">
        <v>13</v>
      </c>
      <c r="F746" s="3">
        <v>3249002000</v>
      </c>
      <c r="G746" s="11" t="s">
        <v>423</v>
      </c>
      <c r="H746" s="11" t="s">
        <v>407</v>
      </c>
      <c r="I746" s="4" t="s">
        <v>290</v>
      </c>
      <c r="J746" s="4" t="s">
        <v>352</v>
      </c>
      <c r="K746" s="71">
        <v>1</v>
      </c>
      <c r="L746" t="s">
        <v>17</v>
      </c>
      <c r="M746" s="5">
        <f>K746/7</f>
        <v>0.14285714285714285</v>
      </c>
    </row>
    <row r="747" spans="1:13" x14ac:dyDescent="0.25">
      <c r="A747" s="91">
        <v>1715</v>
      </c>
      <c r="B747" s="57" t="s">
        <v>10</v>
      </c>
      <c r="C747" s="57" t="s">
        <v>11</v>
      </c>
      <c r="D747" s="57" t="s">
        <v>26</v>
      </c>
      <c r="E747" s="7" t="s">
        <v>13</v>
      </c>
      <c r="F747" s="57">
        <v>1532001000</v>
      </c>
      <c r="G747" s="8" t="s">
        <v>853</v>
      </c>
      <c r="H747" s="8"/>
      <c r="I747" s="7"/>
      <c r="J747" s="7"/>
      <c r="K747" s="106"/>
      <c r="L747" s="8"/>
      <c r="M747" s="8"/>
    </row>
    <row r="748" spans="1:13" x14ac:dyDescent="0.25">
      <c r="A748" s="16">
        <v>1758</v>
      </c>
      <c r="B748" s="6" t="s">
        <v>18</v>
      </c>
      <c r="C748" s="6" t="s">
        <v>11</v>
      </c>
      <c r="D748" s="6" t="s">
        <v>41</v>
      </c>
      <c r="E748" s="4" t="s">
        <v>13</v>
      </c>
      <c r="F748" s="3">
        <v>3300200000</v>
      </c>
      <c r="G748" s="11" t="s">
        <v>89</v>
      </c>
      <c r="H748" s="11" t="s">
        <v>64</v>
      </c>
      <c r="I748" s="4">
        <v>20</v>
      </c>
      <c r="J748" s="4" t="s">
        <v>75</v>
      </c>
      <c r="K748" s="71">
        <v>20</v>
      </c>
      <c r="L748" t="s">
        <v>21</v>
      </c>
      <c r="M748" s="5">
        <f>K748/30</f>
        <v>0.66666666666666663</v>
      </c>
    </row>
    <row r="749" spans="1:13" x14ac:dyDescent="0.25">
      <c r="A749" s="16">
        <v>1795</v>
      </c>
      <c r="B749" s="6" t="s">
        <v>10</v>
      </c>
      <c r="C749" s="6" t="s">
        <v>22</v>
      </c>
      <c r="D749" s="6" t="s">
        <v>327</v>
      </c>
      <c r="E749" s="4" t="s">
        <v>13</v>
      </c>
      <c r="F749" s="3">
        <v>165001000</v>
      </c>
      <c r="G749" s="11" t="s">
        <v>319</v>
      </c>
      <c r="H749" s="11" t="s">
        <v>338</v>
      </c>
      <c r="I749" s="4" t="s">
        <v>320</v>
      </c>
      <c r="J749" s="4" t="s">
        <v>17</v>
      </c>
      <c r="K749" s="71">
        <v>26</v>
      </c>
      <c r="L749" t="s">
        <v>17</v>
      </c>
      <c r="M749" s="5">
        <f>K749/7</f>
        <v>3.7142857142857144</v>
      </c>
    </row>
    <row r="750" spans="1:13" x14ac:dyDescent="0.25">
      <c r="A750" s="16">
        <v>1796</v>
      </c>
      <c r="B750" s="6" t="s">
        <v>10</v>
      </c>
      <c r="C750" s="6" t="s">
        <v>22</v>
      </c>
      <c r="D750" s="6" t="s">
        <v>202</v>
      </c>
      <c r="E750" s="4" t="s">
        <v>13</v>
      </c>
      <c r="F750" s="46">
        <v>1014001</v>
      </c>
      <c r="G750" t="s">
        <v>543</v>
      </c>
    </row>
    <row r="751" spans="1:13" x14ac:dyDescent="0.25">
      <c r="A751" s="123">
        <v>1801</v>
      </c>
      <c r="B751" s="76" t="s">
        <v>10</v>
      </c>
      <c r="C751" s="76" t="s">
        <v>22</v>
      </c>
      <c r="D751" s="76" t="s">
        <v>202</v>
      </c>
      <c r="E751" s="4" t="s">
        <v>13</v>
      </c>
      <c r="F751" s="76">
        <v>3370013000</v>
      </c>
      <c r="G751" t="s">
        <v>690</v>
      </c>
      <c r="H751" t="s">
        <v>504</v>
      </c>
      <c r="I751" s="4" t="s">
        <v>865</v>
      </c>
      <c r="J751" s="4" t="s">
        <v>235</v>
      </c>
      <c r="K751" s="71">
        <v>3</v>
      </c>
      <c r="L751" t="s">
        <v>17</v>
      </c>
      <c r="M751">
        <f>K751/7</f>
        <v>0.42857142857142855</v>
      </c>
    </row>
    <row r="752" spans="1:13" x14ac:dyDescent="0.25">
      <c r="A752" s="123">
        <v>1802</v>
      </c>
      <c r="B752" s="76" t="s">
        <v>10</v>
      </c>
      <c r="C752" s="76" t="s">
        <v>22</v>
      </c>
      <c r="D752" s="76" t="s">
        <v>202</v>
      </c>
      <c r="E752" s="4" t="s">
        <v>13</v>
      </c>
      <c r="F752" s="76">
        <v>2777001000</v>
      </c>
      <c r="G752" t="s">
        <v>656</v>
      </c>
      <c r="H752" t="s">
        <v>467</v>
      </c>
      <c r="I752" s="4" t="s">
        <v>239</v>
      </c>
      <c r="J752" s="4" t="s">
        <v>492</v>
      </c>
      <c r="K752" s="71">
        <v>1</v>
      </c>
      <c r="L752" t="s">
        <v>37</v>
      </c>
      <c r="M752">
        <f>K752</f>
        <v>1</v>
      </c>
    </row>
    <row r="753" spans="1:13" x14ac:dyDescent="0.25">
      <c r="A753" s="16">
        <v>1806</v>
      </c>
      <c r="B753" s="6" t="s">
        <v>10</v>
      </c>
      <c r="C753" s="6" t="s">
        <v>22</v>
      </c>
      <c r="D753" s="6" t="s">
        <v>202</v>
      </c>
      <c r="E753" s="4" t="s">
        <v>13</v>
      </c>
      <c r="F753" s="3">
        <v>3207002000</v>
      </c>
      <c r="G753" s="11" t="s">
        <v>458</v>
      </c>
      <c r="H753" s="11" t="s">
        <v>459</v>
      </c>
      <c r="I753" s="4" t="s">
        <v>493</v>
      </c>
      <c r="J753" s="4" t="s">
        <v>235</v>
      </c>
      <c r="K753" s="71">
        <v>4</v>
      </c>
      <c r="L753" t="s">
        <v>17</v>
      </c>
      <c r="M753" s="5">
        <f>K753/7</f>
        <v>0.5714285714285714</v>
      </c>
    </row>
    <row r="754" spans="1:13" x14ac:dyDescent="0.25">
      <c r="A754" s="16">
        <v>1807</v>
      </c>
      <c r="B754" s="6" t="s">
        <v>10</v>
      </c>
      <c r="C754" s="6" t="s">
        <v>22</v>
      </c>
      <c r="D754" s="6" t="s">
        <v>202</v>
      </c>
      <c r="E754" s="4" t="s">
        <v>13</v>
      </c>
      <c r="F754" s="3">
        <v>165005000</v>
      </c>
      <c r="G754" s="11" t="s">
        <v>426</v>
      </c>
      <c r="H754" s="11" t="s">
        <v>407</v>
      </c>
      <c r="I754" s="4" t="s">
        <v>290</v>
      </c>
      <c r="J754" s="4" t="s">
        <v>352</v>
      </c>
      <c r="K754" s="71">
        <v>1</v>
      </c>
      <c r="L754" t="s">
        <v>17</v>
      </c>
      <c r="M754" s="5">
        <f>K754/7</f>
        <v>0.14285714285714285</v>
      </c>
    </row>
    <row r="755" spans="1:13" x14ac:dyDescent="0.25">
      <c r="A755" s="16">
        <v>1808</v>
      </c>
      <c r="B755" s="6" t="s">
        <v>10</v>
      </c>
      <c r="C755" s="6" t="s">
        <v>22</v>
      </c>
      <c r="D755" s="6" t="s">
        <v>42</v>
      </c>
      <c r="E755" s="4" t="s">
        <v>13</v>
      </c>
      <c r="F755" s="3">
        <v>193012000</v>
      </c>
      <c r="G755" s="11" t="s">
        <v>34</v>
      </c>
      <c r="H755" s="11" t="s">
        <v>339</v>
      </c>
      <c r="I755" s="4" t="s">
        <v>35</v>
      </c>
      <c r="J755" s="4" t="s">
        <v>36</v>
      </c>
      <c r="K755" s="71">
        <v>2</v>
      </c>
      <c r="L755" t="s">
        <v>37</v>
      </c>
      <c r="M755" s="5">
        <f>K755</f>
        <v>2</v>
      </c>
    </row>
    <row r="756" spans="1:13" x14ac:dyDescent="0.25">
      <c r="A756" s="16">
        <v>1809</v>
      </c>
      <c r="B756" s="6" t="s">
        <v>70</v>
      </c>
      <c r="C756" s="6" t="s">
        <v>11</v>
      </c>
      <c r="D756" s="6" t="s">
        <v>19</v>
      </c>
      <c r="E756" s="4" t="s">
        <v>13</v>
      </c>
      <c r="F756" s="3">
        <v>66011000</v>
      </c>
      <c r="G756" s="11" t="s">
        <v>440</v>
      </c>
      <c r="H756" t="s">
        <v>521</v>
      </c>
      <c r="I756" s="4" t="s">
        <v>522</v>
      </c>
      <c r="J756" s="4" t="s">
        <v>522</v>
      </c>
      <c r="K756" s="71">
        <v>0</v>
      </c>
      <c r="L756" t="str">
        <f>J756</f>
        <v>Operativos</v>
      </c>
      <c r="M756" s="5">
        <f>K756</f>
        <v>0</v>
      </c>
    </row>
    <row r="757" spans="1:13" x14ac:dyDescent="0.25">
      <c r="A757" s="16">
        <v>1812</v>
      </c>
      <c r="B757" s="6" t="s">
        <v>43</v>
      </c>
      <c r="C757" s="6" t="s">
        <v>22</v>
      </c>
      <c r="D757" s="6" t="s">
        <v>44</v>
      </c>
      <c r="E757" s="4" t="s">
        <v>13</v>
      </c>
      <c r="F757" s="3">
        <v>193012000</v>
      </c>
      <c r="G757" s="11" t="s">
        <v>34</v>
      </c>
      <c r="H757" s="11" t="s">
        <v>339</v>
      </c>
      <c r="I757" s="4" t="s">
        <v>38</v>
      </c>
      <c r="J757" s="4" t="s">
        <v>36</v>
      </c>
      <c r="K757" s="71">
        <v>3</v>
      </c>
      <c r="L757" t="s">
        <v>37</v>
      </c>
      <c r="M757" s="5">
        <f>K757</f>
        <v>3</v>
      </c>
    </row>
    <row r="758" spans="1:13" x14ac:dyDescent="0.25">
      <c r="A758" s="16">
        <v>1816</v>
      </c>
      <c r="B758" s="6" t="s">
        <v>10</v>
      </c>
      <c r="C758" s="6" t="s">
        <v>22</v>
      </c>
      <c r="D758" s="6" t="s">
        <v>327</v>
      </c>
      <c r="E758" s="4" t="s">
        <v>13</v>
      </c>
      <c r="F758" s="3">
        <v>1550001000</v>
      </c>
      <c r="G758" s="11" t="s">
        <v>431</v>
      </c>
      <c r="H758" s="11" t="s">
        <v>428</v>
      </c>
      <c r="I758" s="4">
        <v>1</v>
      </c>
      <c r="J758" s="4" t="s">
        <v>347</v>
      </c>
      <c r="K758" s="71">
        <v>1</v>
      </c>
      <c r="L758" t="s">
        <v>537</v>
      </c>
      <c r="M758" s="5">
        <f>K758/15</f>
        <v>6.6666666666666666E-2</v>
      </c>
    </row>
    <row r="759" spans="1:13" x14ac:dyDescent="0.25">
      <c r="A759" s="16">
        <v>1817</v>
      </c>
      <c r="B759" s="6" t="s">
        <v>222</v>
      </c>
      <c r="C759" s="6" t="s">
        <v>22</v>
      </c>
      <c r="D759" s="6" t="s">
        <v>279</v>
      </c>
      <c r="E759" s="4" t="s">
        <v>13</v>
      </c>
      <c r="F759" s="3">
        <v>2126001000</v>
      </c>
      <c r="G759" s="11" t="s">
        <v>264</v>
      </c>
      <c r="H759" t="s">
        <v>265</v>
      </c>
      <c r="I759" s="4" t="s">
        <v>231</v>
      </c>
      <c r="J759" s="4" t="s">
        <v>231</v>
      </c>
      <c r="K759" s="71">
        <v>0</v>
      </c>
      <c r="L759" t="str">
        <f>J759</f>
        <v>back up</v>
      </c>
      <c r="M759" s="5">
        <v>0</v>
      </c>
    </row>
    <row r="760" spans="1:13" x14ac:dyDescent="0.25">
      <c r="A760" s="16">
        <v>1821</v>
      </c>
      <c r="B760" s="6" t="s">
        <v>10</v>
      </c>
      <c r="C760" s="6" t="s">
        <v>22</v>
      </c>
      <c r="D760" s="6" t="s">
        <v>202</v>
      </c>
      <c r="E760" s="4" t="s">
        <v>13</v>
      </c>
      <c r="F760" s="3">
        <v>2814003000</v>
      </c>
      <c r="G760" s="11" t="s">
        <v>201</v>
      </c>
      <c r="H760" s="11" t="s">
        <v>337</v>
      </c>
      <c r="I760" s="4" t="s">
        <v>138</v>
      </c>
      <c r="J760" s="4" t="s">
        <v>145</v>
      </c>
      <c r="K760" s="71">
        <v>4</v>
      </c>
      <c r="L760" t="s">
        <v>17</v>
      </c>
      <c r="M760" s="5">
        <f>K760/7</f>
        <v>0.5714285714285714</v>
      </c>
    </row>
    <row r="761" spans="1:13" x14ac:dyDescent="0.25">
      <c r="A761" s="16">
        <v>1822</v>
      </c>
      <c r="B761" s="6" t="s">
        <v>10</v>
      </c>
      <c r="C761" s="6" t="s">
        <v>22</v>
      </c>
      <c r="D761" s="6" t="s">
        <v>327</v>
      </c>
      <c r="E761" s="4" t="s">
        <v>13</v>
      </c>
      <c r="F761" s="3">
        <v>66011000</v>
      </c>
      <c r="G761" s="11" t="s">
        <v>440</v>
      </c>
      <c r="H761" s="11" t="s">
        <v>521</v>
      </c>
      <c r="I761" s="4" t="s">
        <v>239</v>
      </c>
      <c r="J761" s="4" t="s">
        <v>523</v>
      </c>
      <c r="K761" s="71">
        <v>1</v>
      </c>
      <c r="L761" t="s">
        <v>17</v>
      </c>
      <c r="M761" s="5">
        <f>K761/7</f>
        <v>0.14285714285714285</v>
      </c>
    </row>
    <row r="762" spans="1:13" x14ac:dyDescent="0.25">
      <c r="A762" s="16">
        <v>1823</v>
      </c>
      <c r="B762" s="6" t="s">
        <v>10</v>
      </c>
      <c r="C762" s="6" t="s">
        <v>22</v>
      </c>
      <c r="D762" s="6" t="s">
        <v>202</v>
      </c>
      <c r="E762" s="4" t="s">
        <v>13</v>
      </c>
      <c r="F762" s="3">
        <v>2499009000</v>
      </c>
      <c r="G762" s="11" t="s">
        <v>422</v>
      </c>
      <c r="H762" s="11" t="s">
        <v>407</v>
      </c>
      <c r="I762" s="4" t="s">
        <v>296</v>
      </c>
      <c r="J762" s="4" t="s">
        <v>381</v>
      </c>
      <c r="K762" s="71">
        <v>0.67</v>
      </c>
      <c r="L762" t="s">
        <v>37</v>
      </c>
      <c r="M762" s="5">
        <f>K762</f>
        <v>0.67</v>
      </c>
    </row>
    <row r="763" spans="1:13" x14ac:dyDescent="0.25">
      <c r="A763" s="16">
        <v>1830</v>
      </c>
      <c r="B763" s="6" t="s">
        <v>10</v>
      </c>
      <c r="C763" s="6" t="s">
        <v>22</v>
      </c>
      <c r="D763" s="6" t="s">
        <v>42</v>
      </c>
      <c r="E763" s="4" t="s">
        <v>13</v>
      </c>
      <c r="F763" s="3">
        <v>2126001000</v>
      </c>
      <c r="G763" s="11" t="s">
        <v>264</v>
      </c>
      <c r="H763" t="s">
        <v>265</v>
      </c>
      <c r="I763" s="4" t="s">
        <v>231</v>
      </c>
      <c r="J763" s="4" t="s">
        <v>231</v>
      </c>
      <c r="K763" s="71">
        <v>0</v>
      </c>
      <c r="L763" t="str">
        <f>J763</f>
        <v>back up</v>
      </c>
      <c r="M763" s="5">
        <v>0</v>
      </c>
    </row>
    <row r="764" spans="1:13" x14ac:dyDescent="0.25">
      <c r="A764" s="16">
        <v>1831</v>
      </c>
      <c r="B764" s="6" t="s">
        <v>10</v>
      </c>
      <c r="C764" s="6" t="s">
        <v>22</v>
      </c>
      <c r="D764" s="6" t="s">
        <v>42</v>
      </c>
      <c r="E764" s="4" t="s">
        <v>13</v>
      </c>
      <c r="F764" s="3">
        <v>2126001000</v>
      </c>
      <c r="G764" s="11" t="s">
        <v>264</v>
      </c>
      <c r="H764" t="s">
        <v>265</v>
      </c>
      <c r="I764" s="4" t="s">
        <v>231</v>
      </c>
      <c r="J764" s="4" t="s">
        <v>231</v>
      </c>
      <c r="K764" s="71">
        <v>0</v>
      </c>
      <c r="L764" t="str">
        <f>J764</f>
        <v>back up</v>
      </c>
      <c r="M764" s="5">
        <v>0</v>
      </c>
    </row>
    <row r="765" spans="1:13" x14ac:dyDescent="0.25">
      <c r="A765" s="16">
        <v>1835</v>
      </c>
      <c r="B765" s="6" t="s">
        <v>10</v>
      </c>
      <c r="C765" s="6" t="s">
        <v>22</v>
      </c>
      <c r="D765" s="6" t="s">
        <v>327</v>
      </c>
      <c r="E765" s="4" t="s">
        <v>13</v>
      </c>
      <c r="F765" s="3">
        <v>3042060001</v>
      </c>
      <c r="G765" s="11" t="s">
        <v>372</v>
      </c>
      <c r="H765" s="11" t="s">
        <v>350</v>
      </c>
      <c r="I765" s="4" t="s">
        <v>296</v>
      </c>
      <c r="J765" s="4" t="s">
        <v>352</v>
      </c>
      <c r="K765" s="105">
        <f>40/60</f>
        <v>0.66666666666666663</v>
      </c>
      <c r="L765" t="s">
        <v>17</v>
      </c>
      <c r="M765" s="5">
        <f>K765/7</f>
        <v>9.5238095238095233E-2</v>
      </c>
    </row>
    <row r="766" spans="1:13" x14ac:dyDescent="0.25">
      <c r="A766" s="123">
        <v>1842</v>
      </c>
      <c r="B766" s="76" t="s">
        <v>10</v>
      </c>
      <c r="C766" s="76" t="s">
        <v>11</v>
      </c>
      <c r="D766" s="76" t="s">
        <v>12</v>
      </c>
      <c r="E766" s="4" t="s">
        <v>13</v>
      </c>
      <c r="F766" s="76">
        <v>3370011000</v>
      </c>
      <c r="G766" t="s">
        <v>691</v>
      </c>
      <c r="H766" t="s">
        <v>504</v>
      </c>
      <c r="I766" s="4" t="s">
        <v>866</v>
      </c>
      <c r="J766" s="4" t="s">
        <v>535</v>
      </c>
      <c r="K766" s="71">
        <v>1.5</v>
      </c>
      <c r="L766" t="s">
        <v>17</v>
      </c>
      <c r="M766">
        <f>K766/7</f>
        <v>0.21428571428571427</v>
      </c>
    </row>
    <row r="767" spans="1:13" x14ac:dyDescent="0.25">
      <c r="A767" s="110">
        <v>1843</v>
      </c>
      <c r="B767" s="20" t="s">
        <v>10</v>
      </c>
      <c r="C767" s="20" t="s">
        <v>11</v>
      </c>
      <c r="D767" s="20" t="s">
        <v>286</v>
      </c>
      <c r="E767" s="4" t="s">
        <v>13</v>
      </c>
      <c r="F767" s="3">
        <v>2126001000</v>
      </c>
      <c r="G767" s="11" t="s">
        <v>264</v>
      </c>
      <c r="H767" t="s">
        <v>265</v>
      </c>
      <c r="I767" s="4" t="s">
        <v>231</v>
      </c>
      <c r="J767" s="4" t="s">
        <v>231</v>
      </c>
      <c r="K767" s="71">
        <v>0</v>
      </c>
      <c r="L767" t="str">
        <f>J767</f>
        <v>back up</v>
      </c>
      <c r="M767" s="5">
        <v>0</v>
      </c>
    </row>
    <row r="768" spans="1:13" x14ac:dyDescent="0.25">
      <c r="A768" s="16">
        <v>1844</v>
      </c>
      <c r="B768" s="6" t="s">
        <v>10</v>
      </c>
      <c r="C768" s="6" t="s">
        <v>11</v>
      </c>
      <c r="D768" s="6" t="s">
        <v>12</v>
      </c>
      <c r="E768" s="4" t="s">
        <v>13</v>
      </c>
      <c r="F768" s="3">
        <v>1967007000</v>
      </c>
      <c r="G768" s="11" t="s">
        <v>466</v>
      </c>
      <c r="H768" s="11" t="s">
        <v>467</v>
      </c>
      <c r="I768" s="4">
        <v>2</v>
      </c>
      <c r="J768" s="4" t="s">
        <v>492</v>
      </c>
      <c r="K768" s="71">
        <v>2</v>
      </c>
      <c r="L768" t="s">
        <v>37</v>
      </c>
      <c r="M768" s="5">
        <f>K768</f>
        <v>2</v>
      </c>
    </row>
    <row r="769" spans="1:13" x14ac:dyDescent="0.25">
      <c r="A769" s="94">
        <v>1845</v>
      </c>
      <c r="B769" s="6" t="s">
        <v>10</v>
      </c>
      <c r="C769" s="6" t="s">
        <v>11</v>
      </c>
      <c r="D769" s="6" t="s">
        <v>12</v>
      </c>
      <c r="E769" s="4" t="s">
        <v>13</v>
      </c>
      <c r="F769" s="3">
        <v>2936002000</v>
      </c>
      <c r="G769" s="11" t="s">
        <v>344</v>
      </c>
      <c r="H769" s="11" t="s">
        <v>342</v>
      </c>
      <c r="I769" s="19" t="s">
        <v>290</v>
      </c>
      <c r="J769" s="4" t="s">
        <v>343</v>
      </c>
      <c r="K769" s="71">
        <v>1</v>
      </c>
      <c r="L769" t="s">
        <v>17</v>
      </c>
      <c r="M769" s="5">
        <f>K769/7</f>
        <v>0.14285714285714285</v>
      </c>
    </row>
    <row r="770" spans="1:13" x14ac:dyDescent="0.25">
      <c r="A770" s="16">
        <v>1848</v>
      </c>
      <c r="B770" s="6" t="s">
        <v>18</v>
      </c>
      <c r="C770" s="6" t="s">
        <v>11</v>
      </c>
      <c r="D770" s="6" t="s">
        <v>19</v>
      </c>
      <c r="E770" s="4" t="s">
        <v>13</v>
      </c>
      <c r="F770" s="3">
        <v>2548092000</v>
      </c>
      <c r="G770" s="11" t="s">
        <v>182</v>
      </c>
      <c r="H770" s="11" t="s">
        <v>337</v>
      </c>
      <c r="I770" s="4" t="s">
        <v>144</v>
      </c>
      <c r="J770" s="4" t="s">
        <v>145</v>
      </c>
      <c r="K770" s="71">
        <v>2</v>
      </c>
      <c r="L770" t="s">
        <v>17</v>
      </c>
      <c r="M770" s="5">
        <f>K770/7</f>
        <v>0.2857142857142857</v>
      </c>
    </row>
    <row r="771" spans="1:13" x14ac:dyDescent="0.25">
      <c r="A771" s="16">
        <v>1850</v>
      </c>
      <c r="B771" s="6" t="s">
        <v>18</v>
      </c>
      <c r="C771" s="6" t="s">
        <v>11</v>
      </c>
      <c r="D771" s="6" t="s">
        <v>19</v>
      </c>
      <c r="E771" s="4" t="s">
        <v>13</v>
      </c>
      <c r="F771" s="3">
        <v>3234004000</v>
      </c>
      <c r="G771" s="11" t="s">
        <v>14</v>
      </c>
      <c r="H771" s="11" t="s">
        <v>339</v>
      </c>
      <c r="I771" s="4" t="s">
        <v>15</v>
      </c>
      <c r="J771" s="4" t="s">
        <v>20</v>
      </c>
      <c r="K771" s="71">
        <v>0.5</v>
      </c>
      <c r="L771" t="s">
        <v>21</v>
      </c>
      <c r="M771" s="5">
        <f>K771/30</f>
        <v>1.6666666666666666E-2</v>
      </c>
    </row>
    <row r="772" spans="1:13" x14ac:dyDescent="0.25">
      <c r="A772" s="16">
        <v>1851</v>
      </c>
      <c r="B772" s="6" t="s">
        <v>18</v>
      </c>
      <c r="C772" s="6" t="s">
        <v>11</v>
      </c>
      <c r="D772" s="6" t="s">
        <v>19</v>
      </c>
      <c r="E772" s="4" t="s">
        <v>13</v>
      </c>
      <c r="F772" s="3">
        <v>3317001000</v>
      </c>
      <c r="G772" s="11" t="s">
        <v>193</v>
      </c>
      <c r="H772" s="11" t="s">
        <v>337</v>
      </c>
      <c r="I772" s="4" t="s">
        <v>144</v>
      </c>
      <c r="J772" s="4" t="s">
        <v>172</v>
      </c>
      <c r="K772" s="71">
        <v>3</v>
      </c>
      <c r="L772" t="s">
        <v>17</v>
      </c>
      <c r="M772" s="5">
        <f>K772/7</f>
        <v>0.42857142857142855</v>
      </c>
    </row>
    <row r="773" spans="1:13" x14ac:dyDescent="0.25">
      <c r="A773" s="16">
        <v>1856</v>
      </c>
      <c r="B773" s="6" t="s">
        <v>18</v>
      </c>
      <c r="C773" s="6" t="s">
        <v>208</v>
      </c>
      <c r="E773" s="4" t="s">
        <v>13</v>
      </c>
      <c r="F773" s="46">
        <v>212007000</v>
      </c>
      <c r="G773" t="s">
        <v>554</v>
      </c>
      <c r="H773" s="11" t="s">
        <v>337</v>
      </c>
      <c r="I773" s="4" t="s">
        <v>144</v>
      </c>
      <c r="J773" s="4" t="s">
        <v>139</v>
      </c>
      <c r="K773" s="71">
        <v>1</v>
      </c>
      <c r="L773" t="s">
        <v>17</v>
      </c>
      <c r="M773" s="5">
        <f>K773/7</f>
        <v>0.14285714285714285</v>
      </c>
    </row>
    <row r="774" spans="1:13" x14ac:dyDescent="0.25">
      <c r="A774" s="123">
        <v>1857</v>
      </c>
      <c r="B774" s="76" t="s">
        <v>18</v>
      </c>
      <c r="C774" s="76" t="s">
        <v>11</v>
      </c>
      <c r="D774" s="76" t="s">
        <v>41</v>
      </c>
      <c r="E774" s="4" t="s">
        <v>13</v>
      </c>
      <c r="F774" s="76">
        <v>953013000</v>
      </c>
      <c r="G774" t="s">
        <v>692</v>
      </c>
      <c r="H774" t="s">
        <v>504</v>
      </c>
      <c r="I774" s="4" t="s">
        <v>861</v>
      </c>
      <c r="J774" s="4" t="s">
        <v>535</v>
      </c>
      <c r="K774" s="71">
        <v>1.5</v>
      </c>
      <c r="L774" t="s">
        <v>17</v>
      </c>
      <c r="M774">
        <f>K774/7</f>
        <v>0.21428571428571427</v>
      </c>
    </row>
    <row r="775" spans="1:13" x14ac:dyDescent="0.25">
      <c r="A775" s="16">
        <v>1862</v>
      </c>
      <c r="B775" s="6" t="s">
        <v>70</v>
      </c>
      <c r="C775" s="6" t="s">
        <v>11</v>
      </c>
      <c r="D775" s="6" t="s">
        <v>19</v>
      </c>
      <c r="E775" s="4" t="s">
        <v>13</v>
      </c>
      <c r="F775" s="3">
        <v>2889001000</v>
      </c>
      <c r="G775" s="11" t="s">
        <v>71</v>
      </c>
      <c r="H775" s="11" t="s">
        <v>64</v>
      </c>
      <c r="I775" s="4">
        <v>24</v>
      </c>
      <c r="J775" s="4" t="s">
        <v>72</v>
      </c>
      <c r="K775" s="71">
        <v>24</v>
      </c>
      <c r="L775" t="s">
        <v>21</v>
      </c>
      <c r="M775" s="5">
        <f>K775/30</f>
        <v>0.8</v>
      </c>
    </row>
    <row r="776" spans="1:13" x14ac:dyDescent="0.25">
      <c r="A776" s="125">
        <v>1865</v>
      </c>
      <c r="B776" s="46" t="s">
        <v>10</v>
      </c>
      <c r="C776" s="46" t="s">
        <v>22</v>
      </c>
      <c r="D776" s="46" t="s">
        <v>202</v>
      </c>
      <c r="E776" s="46" t="s">
        <v>13</v>
      </c>
      <c r="F776" s="35">
        <v>1014001</v>
      </c>
      <c r="G776" t="s">
        <v>543</v>
      </c>
      <c r="H776" s="4"/>
      <c r="J776" s="71"/>
      <c r="K776"/>
      <c r="L776" s="5"/>
      <c r="M776"/>
    </row>
    <row r="777" spans="1:13" x14ac:dyDescent="0.25">
      <c r="A777" s="16">
        <v>1866</v>
      </c>
      <c r="B777" s="6" t="s">
        <v>18</v>
      </c>
      <c r="C777" s="6" t="s">
        <v>11</v>
      </c>
      <c r="D777" s="6" t="s">
        <v>322</v>
      </c>
      <c r="E777" s="4" t="s">
        <v>13</v>
      </c>
      <c r="F777" s="3">
        <v>2126006000</v>
      </c>
      <c r="G777" s="11" t="s">
        <v>470</v>
      </c>
      <c r="H777" s="11" t="s">
        <v>467</v>
      </c>
      <c r="I777" s="4">
        <v>5</v>
      </c>
      <c r="J777" s="4" t="s">
        <v>533</v>
      </c>
      <c r="K777" s="71">
        <v>5</v>
      </c>
      <c r="L777" t="s">
        <v>538</v>
      </c>
      <c r="M777" s="5">
        <f>K777/90</f>
        <v>5.5555555555555552E-2</v>
      </c>
    </row>
    <row r="778" spans="1:13" x14ac:dyDescent="0.25">
      <c r="A778" s="16">
        <v>1873</v>
      </c>
      <c r="B778" s="6" t="s">
        <v>18</v>
      </c>
      <c r="C778" s="6" t="s">
        <v>11</v>
      </c>
      <c r="D778" s="6" t="s">
        <v>19</v>
      </c>
      <c r="E778" s="4" t="s">
        <v>13</v>
      </c>
      <c r="F778" s="3">
        <v>66034000</v>
      </c>
      <c r="G778" s="11" t="s">
        <v>171</v>
      </c>
      <c r="H778" s="11" t="s">
        <v>337</v>
      </c>
      <c r="I778" s="4" t="s">
        <v>144</v>
      </c>
      <c r="J778" s="4" t="s">
        <v>143</v>
      </c>
      <c r="K778" s="71">
        <v>1</v>
      </c>
      <c r="L778" t="s">
        <v>37</v>
      </c>
      <c r="M778" s="5">
        <f>K778</f>
        <v>1</v>
      </c>
    </row>
    <row r="779" spans="1:13" x14ac:dyDescent="0.25">
      <c r="A779" s="123">
        <v>1874</v>
      </c>
      <c r="B779" s="76" t="s">
        <v>18</v>
      </c>
      <c r="C779" s="76" t="s">
        <v>11</v>
      </c>
      <c r="D779" s="76" t="s">
        <v>19</v>
      </c>
      <c r="E779" s="4" t="s">
        <v>13</v>
      </c>
      <c r="F779" s="76">
        <v>3168001000</v>
      </c>
      <c r="G779" t="s">
        <v>693</v>
      </c>
      <c r="H779" t="s">
        <v>883</v>
      </c>
      <c r="I779" s="4" t="s">
        <v>866</v>
      </c>
      <c r="J779" s="4" t="s">
        <v>492</v>
      </c>
      <c r="K779" s="71">
        <v>0.5</v>
      </c>
      <c r="L779" t="s">
        <v>37</v>
      </c>
      <c r="M779">
        <f>K779</f>
        <v>0.5</v>
      </c>
    </row>
    <row r="780" spans="1:13" x14ac:dyDescent="0.25">
      <c r="A780" s="16">
        <v>1875</v>
      </c>
      <c r="B780" s="6" t="s">
        <v>18</v>
      </c>
      <c r="C780" s="6" t="s">
        <v>11</v>
      </c>
      <c r="D780" s="6" t="s">
        <v>19</v>
      </c>
      <c r="E780" s="4" t="s">
        <v>13</v>
      </c>
      <c r="F780" s="3">
        <v>1925001000</v>
      </c>
      <c r="G780" s="11" t="s">
        <v>501</v>
      </c>
      <c r="H780" s="11" t="s">
        <v>498</v>
      </c>
      <c r="I780" s="4">
        <v>4</v>
      </c>
      <c r="J780" s="4" t="s">
        <v>20</v>
      </c>
      <c r="K780" s="71">
        <f>I780</f>
        <v>4</v>
      </c>
      <c r="L780" t="s">
        <v>21</v>
      </c>
      <c r="M780">
        <f>K780/30</f>
        <v>0.13333333333333333</v>
      </c>
    </row>
    <row r="781" spans="1:13" x14ac:dyDescent="0.25">
      <c r="A781" s="16">
        <v>1877</v>
      </c>
      <c r="B781" s="3" t="s">
        <v>70</v>
      </c>
      <c r="C781" s="3" t="s">
        <v>11</v>
      </c>
      <c r="D781" s="3" t="s">
        <v>19</v>
      </c>
      <c r="E781" s="4" t="s">
        <v>13</v>
      </c>
      <c r="F781" s="3">
        <v>3319002000</v>
      </c>
      <c r="G781" t="s">
        <v>848</v>
      </c>
      <c r="H781" s="11" t="s">
        <v>64</v>
      </c>
      <c r="I781" s="4">
        <v>10</v>
      </c>
      <c r="J781" s="4" t="s">
        <v>103</v>
      </c>
      <c r="K781" s="71">
        <v>10</v>
      </c>
      <c r="L781" t="s">
        <v>21</v>
      </c>
      <c r="M781">
        <f>K781/30</f>
        <v>0.33333333333333331</v>
      </c>
    </row>
    <row r="782" spans="1:13" x14ac:dyDescent="0.25">
      <c r="A782" s="16">
        <v>1878</v>
      </c>
      <c r="B782" s="6" t="s">
        <v>18</v>
      </c>
      <c r="C782" s="6" t="s">
        <v>11</v>
      </c>
      <c r="D782" s="6" t="s">
        <v>19</v>
      </c>
      <c r="E782" s="4" t="s">
        <v>13</v>
      </c>
      <c r="F782" s="3">
        <v>61007000</v>
      </c>
      <c r="G782" s="11" t="s">
        <v>251</v>
      </c>
      <c r="H782" s="11" t="s">
        <v>339</v>
      </c>
      <c r="I782" s="4" t="s">
        <v>252</v>
      </c>
      <c r="J782" s="4" t="s">
        <v>253</v>
      </c>
      <c r="K782" s="71">
        <v>2</v>
      </c>
      <c r="L782" t="s">
        <v>17</v>
      </c>
      <c r="M782" s="5">
        <f>K782/7</f>
        <v>0.2857142857142857</v>
      </c>
    </row>
    <row r="783" spans="1:13" x14ac:dyDescent="0.25">
      <c r="A783" s="16">
        <v>1881</v>
      </c>
      <c r="B783" s="6" t="s">
        <v>10</v>
      </c>
      <c r="C783" s="6" t="s">
        <v>11</v>
      </c>
      <c r="D783" s="6" t="s">
        <v>12</v>
      </c>
      <c r="E783" s="4" t="s">
        <v>13</v>
      </c>
      <c r="F783" s="3">
        <v>2126001000</v>
      </c>
      <c r="G783" s="11" t="s">
        <v>264</v>
      </c>
      <c r="H783" t="s">
        <v>265</v>
      </c>
      <c r="I783" s="4" t="s">
        <v>231</v>
      </c>
      <c r="J783" s="4" t="s">
        <v>231</v>
      </c>
      <c r="K783" s="71">
        <v>0</v>
      </c>
      <c r="L783" t="str">
        <f>J783</f>
        <v>back up</v>
      </c>
      <c r="M783" s="5">
        <v>0</v>
      </c>
    </row>
    <row r="784" spans="1:13" x14ac:dyDescent="0.25">
      <c r="A784" s="16">
        <v>1882</v>
      </c>
      <c r="B784" s="3" t="s">
        <v>10</v>
      </c>
      <c r="C784" s="3" t="s">
        <v>11</v>
      </c>
      <c r="D784" s="3" t="s">
        <v>12</v>
      </c>
      <c r="E784" s="4" t="s">
        <v>13</v>
      </c>
      <c r="F784" s="3">
        <v>1068018000</v>
      </c>
      <c r="G784" t="s">
        <v>671</v>
      </c>
      <c r="H784" s="11" t="s">
        <v>829</v>
      </c>
      <c r="I784" s="4">
        <v>8</v>
      </c>
      <c r="J784" s="4" t="s">
        <v>67</v>
      </c>
      <c r="K784" s="71">
        <v>8</v>
      </c>
      <c r="L784" t="s">
        <v>21</v>
      </c>
      <c r="M784" s="5">
        <f>8/30</f>
        <v>0.26666666666666666</v>
      </c>
    </row>
    <row r="785" spans="1:13" x14ac:dyDescent="0.25">
      <c r="A785" s="16">
        <v>1883</v>
      </c>
      <c r="B785" s="6" t="s">
        <v>10</v>
      </c>
      <c r="C785" s="6" t="s">
        <v>11</v>
      </c>
      <c r="D785" s="6" t="s">
        <v>12</v>
      </c>
      <c r="E785" s="4" t="s">
        <v>13</v>
      </c>
      <c r="F785" s="3">
        <v>2126001000</v>
      </c>
      <c r="G785" s="11" t="s">
        <v>264</v>
      </c>
      <c r="H785" t="s">
        <v>265</v>
      </c>
      <c r="I785" s="4" t="s">
        <v>231</v>
      </c>
      <c r="J785" s="4" t="s">
        <v>231</v>
      </c>
      <c r="K785" s="71">
        <v>0</v>
      </c>
      <c r="L785" t="str">
        <f>J785</f>
        <v>back up</v>
      </c>
      <c r="M785" s="5">
        <v>0</v>
      </c>
    </row>
    <row r="786" spans="1:13" x14ac:dyDescent="0.25">
      <c r="A786" s="16">
        <v>1885</v>
      </c>
      <c r="B786" s="6" t="s">
        <v>18</v>
      </c>
      <c r="C786" s="6" t="s">
        <v>11</v>
      </c>
      <c r="D786" s="6" t="s">
        <v>19</v>
      </c>
      <c r="E786" s="4" t="s">
        <v>13</v>
      </c>
      <c r="F786" s="3">
        <v>2126001000</v>
      </c>
      <c r="G786" s="11" t="s">
        <v>264</v>
      </c>
      <c r="H786" s="11" t="s">
        <v>265</v>
      </c>
      <c r="I786" s="19" t="s">
        <v>266</v>
      </c>
      <c r="J786" s="19" t="s">
        <v>267</v>
      </c>
      <c r="K786" s="71">
        <v>12</v>
      </c>
      <c r="L786" t="s">
        <v>17</v>
      </c>
      <c r="M786" s="5">
        <f>K786/7</f>
        <v>1.7142857142857142</v>
      </c>
    </row>
    <row r="787" spans="1:13" x14ac:dyDescent="0.25">
      <c r="A787" s="16">
        <v>1886</v>
      </c>
      <c r="B787" s="6" t="s">
        <v>18</v>
      </c>
      <c r="C787" s="6" t="s">
        <v>11</v>
      </c>
      <c r="D787" s="6" t="s">
        <v>19</v>
      </c>
      <c r="E787" s="4" t="s">
        <v>13</v>
      </c>
      <c r="F787" s="3">
        <v>1550001000</v>
      </c>
      <c r="G787" s="11" t="s">
        <v>431</v>
      </c>
      <c r="H787" s="11" t="s">
        <v>428</v>
      </c>
      <c r="I787" s="4" t="s">
        <v>432</v>
      </c>
      <c r="J787" s="4" t="s">
        <v>353</v>
      </c>
      <c r="K787" s="71">
        <v>3</v>
      </c>
      <c r="L787" t="s">
        <v>17</v>
      </c>
      <c r="M787" s="5">
        <f>K787/7</f>
        <v>0.42857142857142855</v>
      </c>
    </row>
    <row r="788" spans="1:13" x14ac:dyDescent="0.25">
      <c r="A788" s="16">
        <v>1887</v>
      </c>
      <c r="B788" s="6" t="s">
        <v>18</v>
      </c>
      <c r="C788" s="6" t="s">
        <v>11</v>
      </c>
      <c r="D788" s="6" t="s">
        <v>19</v>
      </c>
      <c r="E788" s="4" t="s">
        <v>13</v>
      </c>
      <c r="F788" s="3">
        <v>3116001000</v>
      </c>
      <c r="G788" s="11" t="s">
        <v>96</v>
      </c>
      <c r="H788" s="11" t="s">
        <v>64</v>
      </c>
      <c r="I788" s="4">
        <v>25</v>
      </c>
      <c r="J788" s="4" t="s">
        <v>97</v>
      </c>
      <c r="K788" s="71">
        <v>25</v>
      </c>
      <c r="L788" t="s">
        <v>21</v>
      </c>
      <c r="M788" s="5">
        <f>K788/30</f>
        <v>0.83333333333333337</v>
      </c>
    </row>
    <row r="789" spans="1:13" x14ac:dyDescent="0.25">
      <c r="A789" s="123">
        <v>1888</v>
      </c>
      <c r="B789" s="76" t="s">
        <v>18</v>
      </c>
      <c r="C789" s="76" t="s">
        <v>11</v>
      </c>
      <c r="D789" s="76" t="s">
        <v>19</v>
      </c>
      <c r="E789" s="4" t="s">
        <v>13</v>
      </c>
      <c r="F789" s="76">
        <v>43006000</v>
      </c>
      <c r="G789" t="s">
        <v>555</v>
      </c>
      <c r="H789" t="s">
        <v>504</v>
      </c>
      <c r="I789" s="4" t="s">
        <v>493</v>
      </c>
      <c r="J789" s="4" t="s">
        <v>492</v>
      </c>
      <c r="K789" s="71">
        <v>2</v>
      </c>
      <c r="L789" t="s">
        <v>37</v>
      </c>
      <c r="M789">
        <f>K789</f>
        <v>2</v>
      </c>
    </row>
    <row r="790" spans="1:13" x14ac:dyDescent="0.25">
      <c r="A790" s="16">
        <v>1889</v>
      </c>
      <c r="B790" s="6" t="s">
        <v>18</v>
      </c>
      <c r="C790" s="6" t="s">
        <v>11</v>
      </c>
      <c r="D790" s="6" t="s">
        <v>19</v>
      </c>
      <c r="E790" s="4" t="s">
        <v>13</v>
      </c>
      <c r="F790" s="3">
        <v>2126001000</v>
      </c>
      <c r="G790" s="11" t="s">
        <v>264</v>
      </c>
      <c r="H790" s="11" t="s">
        <v>265</v>
      </c>
      <c r="I790" s="19" t="s">
        <v>266</v>
      </c>
      <c r="J790" s="19" t="s">
        <v>267</v>
      </c>
      <c r="K790" s="71">
        <v>12</v>
      </c>
      <c r="L790" t="s">
        <v>17</v>
      </c>
      <c r="M790" s="5">
        <f>K790/7</f>
        <v>1.7142857142857142</v>
      </c>
    </row>
    <row r="791" spans="1:13" x14ac:dyDescent="0.25">
      <c r="A791" s="16">
        <v>1890</v>
      </c>
      <c r="B791" s="6" t="s">
        <v>18</v>
      </c>
      <c r="C791" s="6" t="s">
        <v>11</v>
      </c>
      <c r="D791" s="6" t="s">
        <v>19</v>
      </c>
      <c r="E791" s="4" t="s">
        <v>13</v>
      </c>
      <c r="F791" s="3">
        <v>3119003000</v>
      </c>
      <c r="G791" s="11" t="s">
        <v>104</v>
      </c>
      <c r="H791" s="11" t="s">
        <v>64</v>
      </c>
      <c r="I791" s="4">
        <v>20</v>
      </c>
      <c r="J791" s="4" t="s">
        <v>75</v>
      </c>
      <c r="K791" s="71">
        <v>20</v>
      </c>
      <c r="L791" t="s">
        <v>21</v>
      </c>
      <c r="M791" s="5">
        <f>K791/30</f>
        <v>0.66666666666666663</v>
      </c>
    </row>
    <row r="792" spans="1:13" x14ac:dyDescent="0.25">
      <c r="A792" s="16">
        <v>1891</v>
      </c>
      <c r="B792" s="6" t="s">
        <v>18</v>
      </c>
      <c r="C792" s="6" t="s">
        <v>11</v>
      </c>
      <c r="D792" s="6" t="s">
        <v>19</v>
      </c>
      <c r="E792" s="4" t="s">
        <v>13</v>
      </c>
      <c r="F792" s="3">
        <v>1720001000</v>
      </c>
      <c r="G792" s="11" t="s">
        <v>414</v>
      </c>
      <c r="H792" s="11" t="s">
        <v>407</v>
      </c>
      <c r="I792" s="4" t="s">
        <v>358</v>
      </c>
      <c r="J792" s="4" t="s">
        <v>352</v>
      </c>
      <c r="K792" s="71">
        <v>0.5</v>
      </c>
      <c r="L792" t="s">
        <v>17</v>
      </c>
      <c r="M792" s="5">
        <f>K792/7</f>
        <v>7.1428571428571425E-2</v>
      </c>
    </row>
    <row r="793" spans="1:13" x14ac:dyDescent="0.25">
      <c r="A793" s="16">
        <v>1892</v>
      </c>
      <c r="B793" s="6" t="s">
        <v>18</v>
      </c>
      <c r="C793" s="6" t="s">
        <v>11</v>
      </c>
      <c r="D793" s="6" t="s">
        <v>19</v>
      </c>
      <c r="E793" s="4" t="s">
        <v>13</v>
      </c>
      <c r="F793" s="3">
        <v>2126001000</v>
      </c>
      <c r="G793" s="11" t="s">
        <v>264</v>
      </c>
      <c r="H793" s="11" t="s">
        <v>265</v>
      </c>
      <c r="I793" s="19" t="s">
        <v>266</v>
      </c>
      <c r="J793" s="19" t="s">
        <v>267</v>
      </c>
      <c r="K793" s="71">
        <v>12</v>
      </c>
      <c r="L793" t="s">
        <v>17</v>
      </c>
      <c r="M793" s="5">
        <f>K793/7</f>
        <v>1.7142857142857142</v>
      </c>
    </row>
    <row r="794" spans="1:13" x14ac:dyDescent="0.25">
      <c r="A794" s="16">
        <v>1893</v>
      </c>
      <c r="B794" s="3" t="s">
        <v>70</v>
      </c>
      <c r="C794" s="3" t="s">
        <v>11</v>
      </c>
      <c r="D794" s="3" t="s">
        <v>19</v>
      </c>
      <c r="E794" s="4" t="s">
        <v>13</v>
      </c>
      <c r="F794" s="3">
        <v>953011000</v>
      </c>
      <c r="G794" t="s">
        <v>844</v>
      </c>
      <c r="H794" s="11" t="s">
        <v>64</v>
      </c>
      <c r="I794" s="4">
        <v>10</v>
      </c>
      <c r="J794" s="4" t="s">
        <v>103</v>
      </c>
      <c r="K794" s="71">
        <v>10</v>
      </c>
      <c r="L794" t="s">
        <v>21</v>
      </c>
      <c r="M794">
        <f>K794/30</f>
        <v>0.33333333333333331</v>
      </c>
    </row>
    <row r="795" spans="1:13" x14ac:dyDescent="0.25">
      <c r="A795" s="16">
        <v>1894</v>
      </c>
      <c r="B795" s="6" t="s">
        <v>10</v>
      </c>
      <c r="C795" s="6" t="s">
        <v>11</v>
      </c>
      <c r="D795" s="6" t="s">
        <v>12</v>
      </c>
      <c r="E795" s="4" t="s">
        <v>13</v>
      </c>
      <c r="F795" s="3">
        <v>153002000</v>
      </c>
      <c r="G795" s="11" t="s">
        <v>497</v>
      </c>
      <c r="H795" s="11" t="s">
        <v>498</v>
      </c>
      <c r="I795" s="4">
        <v>10</v>
      </c>
      <c r="J795" s="4" t="s">
        <v>20</v>
      </c>
      <c r="K795" s="71">
        <f>I795</f>
        <v>10</v>
      </c>
      <c r="L795" t="s">
        <v>21</v>
      </c>
      <c r="M795" s="5">
        <f>K795/30</f>
        <v>0.33333333333333331</v>
      </c>
    </row>
    <row r="796" spans="1:13" x14ac:dyDescent="0.25">
      <c r="A796" s="126">
        <v>1895</v>
      </c>
      <c r="B796" s="41" t="s">
        <v>240</v>
      </c>
      <c r="C796" s="41" t="s">
        <v>11</v>
      </c>
      <c r="E796" s="4" t="s">
        <v>13</v>
      </c>
      <c r="F796" s="3">
        <v>157005000</v>
      </c>
      <c r="G796" s="11" t="s">
        <v>526</v>
      </c>
      <c r="H796" s="11" t="s">
        <v>227</v>
      </c>
      <c r="I796" s="4" t="s">
        <v>35</v>
      </c>
      <c r="J796" s="4" t="s">
        <v>37</v>
      </c>
      <c r="K796" s="71">
        <v>2</v>
      </c>
      <c r="L796" t="s">
        <v>37</v>
      </c>
      <c r="M796" s="5">
        <f>K796</f>
        <v>2</v>
      </c>
    </row>
    <row r="797" spans="1:13" x14ac:dyDescent="0.25">
      <c r="A797" s="16">
        <v>1896</v>
      </c>
      <c r="B797" s="3" t="s">
        <v>10</v>
      </c>
      <c r="C797" s="3" t="s">
        <v>11</v>
      </c>
      <c r="D797" s="3" t="s">
        <v>12</v>
      </c>
      <c r="E797" s="4" t="s">
        <v>13</v>
      </c>
      <c r="F797" s="46">
        <v>1014001</v>
      </c>
      <c r="G797" t="s">
        <v>543</v>
      </c>
      <c r="M797"/>
    </row>
    <row r="798" spans="1:13" x14ac:dyDescent="0.25">
      <c r="A798" s="16">
        <v>1897</v>
      </c>
      <c r="B798" s="6" t="s">
        <v>10</v>
      </c>
      <c r="C798" s="6" t="s">
        <v>11</v>
      </c>
      <c r="D798" s="6" t="s">
        <v>12</v>
      </c>
      <c r="E798" s="4" t="s">
        <v>13</v>
      </c>
      <c r="F798" s="3">
        <v>3207012000</v>
      </c>
      <c r="G798" s="11" t="s">
        <v>452</v>
      </c>
      <c r="H798" s="11" t="s">
        <v>456</v>
      </c>
      <c r="I798" s="4" t="s">
        <v>485</v>
      </c>
      <c r="J798" s="4" t="s">
        <v>235</v>
      </c>
      <c r="K798" s="71">
        <v>2</v>
      </c>
      <c r="L798" t="s">
        <v>17</v>
      </c>
      <c r="M798" s="5">
        <f>K798/7</f>
        <v>0.2857142857142857</v>
      </c>
    </row>
    <row r="799" spans="1:13" x14ac:dyDescent="0.25">
      <c r="A799" s="125">
        <v>1900</v>
      </c>
      <c r="B799" s="46" t="s">
        <v>695</v>
      </c>
      <c r="C799" s="46" t="s">
        <v>330</v>
      </c>
      <c r="D799" s="46" t="s">
        <v>696</v>
      </c>
      <c r="E799" s="4" t="s">
        <v>13</v>
      </c>
      <c r="F799" s="46">
        <v>2514001000</v>
      </c>
      <c r="G799" t="s">
        <v>623</v>
      </c>
      <c r="H799" t="s">
        <v>428</v>
      </c>
      <c r="I799" s="4" t="s">
        <v>867</v>
      </c>
      <c r="J799" s="4" t="s">
        <v>523</v>
      </c>
      <c r="K799" s="71">
        <v>3</v>
      </c>
      <c r="L799" t="s">
        <v>17</v>
      </c>
      <c r="M799" s="5">
        <f>K799/7</f>
        <v>0.42857142857142855</v>
      </c>
    </row>
    <row r="800" spans="1:13" x14ac:dyDescent="0.25">
      <c r="A800" s="16">
        <v>1902</v>
      </c>
      <c r="B800" s="6" t="s">
        <v>312</v>
      </c>
      <c r="C800" s="6" t="s">
        <v>313</v>
      </c>
      <c r="D800" s="6"/>
      <c r="E800" s="4" t="s">
        <v>13</v>
      </c>
      <c r="F800" s="3">
        <v>10230000</v>
      </c>
      <c r="G800" s="11" t="s">
        <v>311</v>
      </c>
      <c r="H800" t="s">
        <v>338</v>
      </c>
      <c r="I800" s="4" t="s">
        <v>231</v>
      </c>
      <c r="J800" s="4" t="s">
        <v>231</v>
      </c>
      <c r="K800" s="71">
        <v>0</v>
      </c>
      <c r="L800" t="str">
        <f>J800</f>
        <v>back up</v>
      </c>
      <c r="M800" s="5">
        <v>0</v>
      </c>
    </row>
    <row r="801" spans="1:13" x14ac:dyDescent="0.25">
      <c r="A801" s="16">
        <v>1906</v>
      </c>
      <c r="B801" s="6" t="s">
        <v>18</v>
      </c>
      <c r="C801" s="6" t="s">
        <v>11</v>
      </c>
      <c r="D801" s="6" t="s">
        <v>19</v>
      </c>
      <c r="E801" s="4" t="s">
        <v>13</v>
      </c>
      <c r="F801" s="3">
        <v>3042036001</v>
      </c>
      <c r="G801" s="11" t="s">
        <v>156</v>
      </c>
      <c r="H801" s="11" t="s">
        <v>337</v>
      </c>
      <c r="I801" s="4" t="s">
        <v>144</v>
      </c>
      <c r="J801" s="4" t="s">
        <v>145</v>
      </c>
      <c r="K801" s="71">
        <v>2</v>
      </c>
      <c r="L801" t="s">
        <v>17</v>
      </c>
      <c r="M801" s="5">
        <f>K801/7</f>
        <v>0.2857142857142857</v>
      </c>
    </row>
    <row r="802" spans="1:13" x14ac:dyDescent="0.25">
      <c r="A802" s="125">
        <v>1908</v>
      </c>
      <c r="B802" s="46" t="s">
        <v>18</v>
      </c>
      <c r="C802" s="46" t="s">
        <v>11</v>
      </c>
      <c r="D802" s="46" t="s">
        <v>19</v>
      </c>
      <c r="E802" s="4" t="s">
        <v>13</v>
      </c>
      <c r="F802" s="46">
        <v>43001000</v>
      </c>
      <c r="G802" t="s">
        <v>553</v>
      </c>
      <c r="H802" t="s">
        <v>504</v>
      </c>
      <c r="I802" s="4" t="s">
        <v>494</v>
      </c>
      <c r="J802" s="4" t="s">
        <v>523</v>
      </c>
      <c r="K802" s="71">
        <v>4</v>
      </c>
      <c r="L802" t="s">
        <v>17</v>
      </c>
      <c r="M802" s="5">
        <f>K802/7</f>
        <v>0.5714285714285714</v>
      </c>
    </row>
    <row r="803" spans="1:13" x14ac:dyDescent="0.25">
      <c r="A803" s="16">
        <v>1909</v>
      </c>
      <c r="B803" s="6" t="s">
        <v>18</v>
      </c>
      <c r="C803" s="6" t="s">
        <v>11</v>
      </c>
      <c r="D803" s="6" t="s">
        <v>19</v>
      </c>
      <c r="E803" s="4" t="s">
        <v>13</v>
      </c>
      <c r="F803" s="3">
        <v>2126001000</v>
      </c>
      <c r="G803" s="11" t="s">
        <v>264</v>
      </c>
      <c r="H803" s="11" t="s">
        <v>265</v>
      </c>
      <c r="I803" s="19" t="s">
        <v>280</v>
      </c>
      <c r="J803" s="19" t="s">
        <v>271</v>
      </c>
      <c r="K803" s="71">
        <v>10</v>
      </c>
      <c r="L803" t="s">
        <v>17</v>
      </c>
      <c r="M803" s="5">
        <f>K803/7</f>
        <v>1.4285714285714286</v>
      </c>
    </row>
    <row r="804" spans="1:13" x14ac:dyDescent="0.25">
      <c r="A804" s="125">
        <v>1910</v>
      </c>
      <c r="B804" s="46" t="s">
        <v>18</v>
      </c>
      <c r="C804" s="46" t="s">
        <v>11</v>
      </c>
      <c r="D804" s="46" t="s">
        <v>19</v>
      </c>
      <c r="E804" s="46" t="s">
        <v>13</v>
      </c>
      <c r="F804" s="35">
        <v>1014002</v>
      </c>
      <c r="G804" t="s">
        <v>564</v>
      </c>
      <c r="H804" s="4"/>
      <c r="J804" s="71"/>
      <c r="K804"/>
      <c r="L804" s="5"/>
      <c r="M804"/>
    </row>
    <row r="805" spans="1:13" x14ac:dyDescent="0.25">
      <c r="A805" s="16">
        <v>1911</v>
      </c>
      <c r="B805" s="6" t="s">
        <v>18</v>
      </c>
      <c r="C805" s="6" t="s">
        <v>11</v>
      </c>
      <c r="D805" s="6" t="s">
        <v>19</v>
      </c>
      <c r="E805" s="4" t="s">
        <v>13</v>
      </c>
      <c r="F805" s="3">
        <v>61007000</v>
      </c>
      <c r="G805" s="11" t="s">
        <v>251</v>
      </c>
      <c r="H805" s="11" t="s">
        <v>339</v>
      </c>
      <c r="I805" s="4" t="s">
        <v>252</v>
      </c>
      <c r="J805" s="4" t="s">
        <v>254</v>
      </c>
      <c r="K805" s="71">
        <v>1</v>
      </c>
      <c r="L805" t="s">
        <v>37</v>
      </c>
      <c r="M805" s="5">
        <f>K805</f>
        <v>1</v>
      </c>
    </row>
    <row r="806" spans="1:13" x14ac:dyDescent="0.25">
      <c r="A806" s="16">
        <v>1912</v>
      </c>
      <c r="B806" s="46" t="s">
        <v>10</v>
      </c>
      <c r="C806" s="46" t="s">
        <v>11</v>
      </c>
      <c r="D806" s="46" t="s">
        <v>12</v>
      </c>
      <c r="E806" s="4" t="s">
        <v>13</v>
      </c>
      <c r="F806" s="3">
        <v>3116001000</v>
      </c>
      <c r="G806" s="11" t="s">
        <v>96</v>
      </c>
      <c r="H806" t="s">
        <v>64</v>
      </c>
      <c r="I806" s="4" t="s">
        <v>231</v>
      </c>
      <c r="J806" s="4" t="s">
        <v>231</v>
      </c>
      <c r="K806" s="71">
        <v>0</v>
      </c>
      <c r="L806" t="str">
        <f>J806</f>
        <v>back up</v>
      </c>
      <c r="M806" s="5">
        <v>0</v>
      </c>
    </row>
    <row r="807" spans="1:13" x14ac:dyDescent="0.25">
      <c r="A807" s="16">
        <v>1913</v>
      </c>
      <c r="B807" s="6" t="s">
        <v>10</v>
      </c>
      <c r="C807" s="6" t="s">
        <v>11</v>
      </c>
      <c r="D807" s="6" t="s">
        <v>12</v>
      </c>
      <c r="E807" s="4" t="s">
        <v>13</v>
      </c>
      <c r="F807" s="3">
        <v>3042058002</v>
      </c>
      <c r="G807" s="11" t="s">
        <v>210</v>
      </c>
      <c r="H807" s="11" t="s">
        <v>211</v>
      </c>
      <c r="I807" s="4" t="s">
        <v>144</v>
      </c>
      <c r="J807" s="4" t="s">
        <v>172</v>
      </c>
      <c r="K807" s="71">
        <v>3</v>
      </c>
      <c r="L807" t="s">
        <v>17</v>
      </c>
      <c r="M807" s="5">
        <f>K807/7</f>
        <v>0.42857142857142855</v>
      </c>
    </row>
    <row r="808" spans="1:13" x14ac:dyDescent="0.25">
      <c r="A808" s="126">
        <v>1915</v>
      </c>
      <c r="B808" s="41" t="s">
        <v>10</v>
      </c>
      <c r="C808" s="41" t="s">
        <v>11</v>
      </c>
      <c r="D808" s="41" t="s">
        <v>12</v>
      </c>
      <c r="E808" s="4" t="s">
        <v>13</v>
      </c>
      <c r="F808" s="58">
        <v>3042096001</v>
      </c>
      <c r="G808" s="11" t="s">
        <v>226</v>
      </c>
      <c r="H808" s="11" t="s">
        <v>227</v>
      </c>
      <c r="I808" s="4" t="s">
        <v>35</v>
      </c>
      <c r="J808" s="4" t="s">
        <v>228</v>
      </c>
      <c r="K808" s="71">
        <v>2</v>
      </c>
      <c r="L808" t="s">
        <v>17</v>
      </c>
      <c r="M808" s="5">
        <f>K808/7</f>
        <v>0.2857142857142857</v>
      </c>
    </row>
    <row r="809" spans="1:13" x14ac:dyDescent="0.25">
      <c r="A809" s="16">
        <v>1916</v>
      </c>
      <c r="B809" s="6" t="s">
        <v>10</v>
      </c>
      <c r="C809" s="6" t="s">
        <v>11</v>
      </c>
      <c r="D809" s="6" t="s">
        <v>12</v>
      </c>
      <c r="E809" s="4" t="s">
        <v>13</v>
      </c>
      <c r="F809" s="46">
        <v>2867001000</v>
      </c>
      <c r="G809" t="s">
        <v>697</v>
      </c>
      <c r="H809" s="11" t="s">
        <v>339</v>
      </c>
      <c r="I809" s="4" t="s">
        <v>48</v>
      </c>
      <c r="J809" s="4" t="s">
        <v>20</v>
      </c>
      <c r="K809" s="105">
        <f>20/60</f>
        <v>0.33333333333333331</v>
      </c>
      <c r="L809" t="s">
        <v>21</v>
      </c>
      <c r="M809" s="5">
        <f>K809/30</f>
        <v>1.111111111111111E-2</v>
      </c>
    </row>
    <row r="810" spans="1:13" x14ac:dyDescent="0.25">
      <c r="A810" s="16">
        <v>1917</v>
      </c>
      <c r="B810" s="6" t="s">
        <v>10</v>
      </c>
      <c r="C810" s="6" t="s">
        <v>11</v>
      </c>
      <c r="D810" s="6" t="s">
        <v>12</v>
      </c>
      <c r="E810" s="4" t="s">
        <v>13</v>
      </c>
      <c r="F810" s="3">
        <v>2814003000</v>
      </c>
      <c r="G810" s="11" t="s">
        <v>201</v>
      </c>
      <c r="H810" s="11" t="s">
        <v>337</v>
      </c>
      <c r="I810" s="4" t="s">
        <v>138</v>
      </c>
      <c r="J810" s="4" t="s">
        <v>145</v>
      </c>
      <c r="K810" s="71">
        <v>4</v>
      </c>
      <c r="L810" t="s">
        <v>17</v>
      </c>
      <c r="M810" s="5">
        <f>K810/7</f>
        <v>0.5714285714285714</v>
      </c>
    </row>
    <row r="811" spans="1:13" x14ac:dyDescent="0.25">
      <c r="A811" s="16">
        <v>1918</v>
      </c>
      <c r="B811" s="6" t="s">
        <v>10</v>
      </c>
      <c r="C811" s="6" t="s">
        <v>11</v>
      </c>
      <c r="D811" s="6" t="s">
        <v>12</v>
      </c>
      <c r="E811" s="4" t="s">
        <v>13</v>
      </c>
      <c r="F811" s="3">
        <v>2675001000</v>
      </c>
      <c r="G811" s="11" t="s">
        <v>406</v>
      </c>
      <c r="H811" s="11" t="s">
        <v>407</v>
      </c>
      <c r="I811" s="4" t="s">
        <v>290</v>
      </c>
      <c r="J811" s="4" t="s">
        <v>353</v>
      </c>
      <c r="K811" s="71">
        <v>2</v>
      </c>
      <c r="L811" t="s">
        <v>17</v>
      </c>
      <c r="M811" s="5">
        <f>K811/7</f>
        <v>0.2857142857142857</v>
      </c>
    </row>
    <row r="812" spans="1:13" x14ac:dyDescent="0.25">
      <c r="A812" s="123">
        <v>1919</v>
      </c>
      <c r="B812" s="76" t="s">
        <v>10</v>
      </c>
      <c r="C812" s="76" t="s">
        <v>11</v>
      </c>
      <c r="D812" s="76" t="s">
        <v>12</v>
      </c>
      <c r="E812" s="4" t="s">
        <v>13</v>
      </c>
      <c r="F812" s="76">
        <v>2552001000</v>
      </c>
      <c r="G812" t="s">
        <v>698</v>
      </c>
      <c r="H812" t="s">
        <v>467</v>
      </c>
      <c r="I812" s="4" t="s">
        <v>493</v>
      </c>
      <c r="J812" s="4" t="s">
        <v>523</v>
      </c>
      <c r="K812" s="71">
        <v>2</v>
      </c>
      <c r="L812" t="s">
        <v>17</v>
      </c>
      <c r="M812">
        <f>K812/7</f>
        <v>0.2857142857142857</v>
      </c>
    </row>
    <row r="813" spans="1:13" x14ac:dyDescent="0.25">
      <c r="A813" s="123">
        <v>1920</v>
      </c>
      <c r="B813" s="76" t="s">
        <v>10</v>
      </c>
      <c r="C813" s="76" t="s">
        <v>11</v>
      </c>
      <c r="D813" s="76" t="s">
        <v>12</v>
      </c>
      <c r="E813" s="4" t="s">
        <v>13</v>
      </c>
      <c r="F813" s="76">
        <v>1068010000</v>
      </c>
      <c r="G813" t="s">
        <v>616</v>
      </c>
      <c r="H813" t="s">
        <v>883</v>
      </c>
      <c r="I813" s="4" t="s">
        <v>493</v>
      </c>
      <c r="J813" s="4" t="s">
        <v>871</v>
      </c>
      <c r="K813" s="71">
        <v>2</v>
      </c>
      <c r="L813" t="s">
        <v>537</v>
      </c>
      <c r="M813" s="5">
        <f>K813/15</f>
        <v>0.13333333333333333</v>
      </c>
    </row>
    <row r="814" spans="1:13" x14ac:dyDescent="0.25">
      <c r="A814" s="16">
        <v>1920</v>
      </c>
      <c r="B814" s="6" t="s">
        <v>10</v>
      </c>
      <c r="C814" s="6" t="s">
        <v>11</v>
      </c>
      <c r="D814" s="6" t="s">
        <v>12</v>
      </c>
      <c r="E814" s="4" t="s">
        <v>13</v>
      </c>
      <c r="F814" s="3">
        <v>2147001000</v>
      </c>
      <c r="G814" s="11" t="s">
        <v>262</v>
      </c>
      <c r="H814" s="11" t="s">
        <v>339</v>
      </c>
      <c r="I814" s="4" t="s">
        <v>263</v>
      </c>
      <c r="J814" s="4" t="s">
        <v>261</v>
      </c>
      <c r="K814" s="71">
        <v>4</v>
      </c>
      <c r="L814" t="s">
        <v>37</v>
      </c>
      <c r="M814" s="5">
        <f>K814</f>
        <v>4</v>
      </c>
    </row>
    <row r="815" spans="1:13" x14ac:dyDescent="0.25">
      <c r="A815" s="16">
        <v>1921</v>
      </c>
      <c r="B815" s="6" t="s">
        <v>10</v>
      </c>
      <c r="C815" s="6" t="s">
        <v>11</v>
      </c>
      <c r="D815" s="6" t="s">
        <v>12</v>
      </c>
      <c r="E815" s="4" t="s">
        <v>13</v>
      </c>
      <c r="F815" s="3">
        <v>66031000</v>
      </c>
      <c r="G815" s="11" t="s">
        <v>500</v>
      </c>
      <c r="H815" s="11" t="s">
        <v>498</v>
      </c>
      <c r="I815" s="4">
        <v>4</v>
      </c>
      <c r="J815" s="4" t="s">
        <v>20</v>
      </c>
      <c r="K815" s="71">
        <f>I815</f>
        <v>4</v>
      </c>
      <c r="L815" t="s">
        <v>21</v>
      </c>
      <c r="M815" s="5">
        <f>K815/30</f>
        <v>0.13333333333333333</v>
      </c>
    </row>
    <row r="816" spans="1:13" x14ac:dyDescent="0.25">
      <c r="A816" s="16">
        <v>1924</v>
      </c>
      <c r="B816" s="6" t="s">
        <v>10</v>
      </c>
      <c r="C816" s="6" t="s">
        <v>11</v>
      </c>
      <c r="D816" s="6" t="s">
        <v>12</v>
      </c>
      <c r="E816" s="4" t="s">
        <v>13</v>
      </c>
      <c r="F816" s="3">
        <v>3219001000</v>
      </c>
      <c r="G816" s="11" t="s">
        <v>126</v>
      </c>
      <c r="H816" t="s">
        <v>64</v>
      </c>
      <c r="I816" s="4" t="s">
        <v>231</v>
      </c>
      <c r="J816" s="4" t="s">
        <v>231</v>
      </c>
      <c r="K816" s="71">
        <v>0</v>
      </c>
      <c r="L816" t="str">
        <f>J816</f>
        <v>back up</v>
      </c>
      <c r="M816" s="5">
        <v>0</v>
      </c>
    </row>
    <row r="817" spans="1:13" x14ac:dyDescent="0.25">
      <c r="A817" s="123">
        <v>1925</v>
      </c>
      <c r="B817" s="76" t="s">
        <v>10</v>
      </c>
      <c r="C817" s="76" t="s">
        <v>11</v>
      </c>
      <c r="D817" s="76" t="s">
        <v>12</v>
      </c>
      <c r="E817" s="4" t="s">
        <v>13</v>
      </c>
      <c r="F817" s="76">
        <v>2641003000</v>
      </c>
      <c r="G817" t="s">
        <v>593</v>
      </c>
      <c r="H817" t="s">
        <v>467</v>
      </c>
      <c r="I817" s="4" t="s">
        <v>493</v>
      </c>
      <c r="J817" s="4" t="s">
        <v>235</v>
      </c>
      <c r="K817" s="71">
        <v>4</v>
      </c>
      <c r="L817" t="s">
        <v>17</v>
      </c>
      <c r="M817">
        <f>K817/7</f>
        <v>0.5714285714285714</v>
      </c>
    </row>
    <row r="818" spans="1:13" x14ac:dyDescent="0.25">
      <c r="A818" s="94">
        <v>1926</v>
      </c>
      <c r="B818" s="6" t="s">
        <v>10</v>
      </c>
      <c r="C818" s="6" t="s">
        <v>11</v>
      </c>
      <c r="D818" s="6" t="s">
        <v>12</v>
      </c>
      <c r="E818" s="4" t="s">
        <v>13</v>
      </c>
      <c r="F818" s="3">
        <v>2936002000</v>
      </c>
      <c r="G818" s="11" t="s">
        <v>344</v>
      </c>
      <c r="H818" s="11" t="s">
        <v>342</v>
      </c>
      <c r="I818" s="19">
        <v>10</v>
      </c>
      <c r="J818" s="4" t="s">
        <v>345</v>
      </c>
      <c r="K818" s="71">
        <v>10</v>
      </c>
      <c r="L818" t="s">
        <v>37</v>
      </c>
      <c r="M818" s="5">
        <f>K818</f>
        <v>10</v>
      </c>
    </row>
    <row r="819" spans="1:13" x14ac:dyDescent="0.25">
      <c r="A819" s="16">
        <v>1935</v>
      </c>
      <c r="B819" s="6" t="s">
        <v>18</v>
      </c>
      <c r="C819" s="6" t="s">
        <v>11</v>
      </c>
      <c r="D819" s="6" t="s">
        <v>19</v>
      </c>
      <c r="E819" s="4" t="s">
        <v>13</v>
      </c>
      <c r="F819" s="3">
        <v>193012000</v>
      </c>
      <c r="G819" s="11" t="s">
        <v>34</v>
      </c>
      <c r="H819" s="11" t="s">
        <v>339</v>
      </c>
      <c r="I819" s="4" t="s">
        <v>38</v>
      </c>
      <c r="J819" s="4" t="s">
        <v>36</v>
      </c>
      <c r="K819" s="71">
        <v>3</v>
      </c>
      <c r="L819" t="s">
        <v>37</v>
      </c>
      <c r="M819" s="5">
        <f>K819</f>
        <v>3</v>
      </c>
    </row>
    <row r="820" spans="1:13" x14ac:dyDescent="0.25">
      <c r="A820" s="16">
        <v>1936</v>
      </c>
      <c r="B820" s="3" t="s">
        <v>18</v>
      </c>
      <c r="C820" s="3" t="s">
        <v>11</v>
      </c>
      <c r="D820" s="3" t="s">
        <v>19</v>
      </c>
      <c r="E820" s="4" t="s">
        <v>13</v>
      </c>
      <c r="F820" s="3">
        <v>212003000</v>
      </c>
      <c r="G820" t="s">
        <v>699</v>
      </c>
      <c r="H820" s="11" t="s">
        <v>829</v>
      </c>
      <c r="I820" s="4">
        <v>3</v>
      </c>
      <c r="J820" s="4" t="s">
        <v>830</v>
      </c>
      <c r="K820" s="71">
        <v>3</v>
      </c>
      <c r="L820" t="s">
        <v>21</v>
      </c>
      <c r="M820">
        <f>K820/30</f>
        <v>0.1</v>
      </c>
    </row>
    <row r="821" spans="1:13" x14ac:dyDescent="0.25">
      <c r="A821" s="123">
        <v>1937</v>
      </c>
      <c r="B821" s="76" t="s">
        <v>70</v>
      </c>
      <c r="C821" s="76" t="s">
        <v>11</v>
      </c>
      <c r="D821" s="76" t="s">
        <v>19</v>
      </c>
      <c r="E821" s="4" t="s">
        <v>13</v>
      </c>
      <c r="F821" s="76">
        <v>1967012000</v>
      </c>
      <c r="G821" t="s">
        <v>615</v>
      </c>
      <c r="H821" t="s">
        <v>467</v>
      </c>
      <c r="I821" s="4" t="s">
        <v>862</v>
      </c>
      <c r="J821" s="4" t="s">
        <v>492</v>
      </c>
      <c r="K821" s="71">
        <v>5</v>
      </c>
      <c r="L821" t="s">
        <v>37</v>
      </c>
      <c r="M821">
        <f>K821</f>
        <v>5</v>
      </c>
    </row>
    <row r="822" spans="1:13" x14ac:dyDescent="0.25">
      <c r="A822" s="16">
        <v>1938</v>
      </c>
      <c r="B822" s="6" t="s">
        <v>70</v>
      </c>
      <c r="C822" s="6" t="s">
        <v>11</v>
      </c>
      <c r="D822" s="6" t="s">
        <v>19</v>
      </c>
      <c r="E822" s="4" t="s">
        <v>13</v>
      </c>
      <c r="F822" s="3">
        <v>2147001000</v>
      </c>
      <c r="G822" s="11" t="s">
        <v>262</v>
      </c>
      <c r="H822" s="11" t="s">
        <v>339</v>
      </c>
      <c r="I822" s="4" t="s">
        <v>249</v>
      </c>
      <c r="J822" s="4" t="s">
        <v>260</v>
      </c>
      <c r="K822" s="71">
        <v>3</v>
      </c>
      <c r="L822" t="s">
        <v>37</v>
      </c>
      <c r="M822" s="5">
        <f>K822</f>
        <v>3</v>
      </c>
    </row>
    <row r="823" spans="1:13" x14ac:dyDescent="0.25">
      <c r="A823" s="16">
        <v>1939</v>
      </c>
      <c r="B823" s="6" t="s">
        <v>18</v>
      </c>
      <c r="C823" s="6" t="s">
        <v>11</v>
      </c>
      <c r="D823" s="6" t="s">
        <v>19</v>
      </c>
      <c r="E823" s="4" t="s">
        <v>13</v>
      </c>
      <c r="F823" s="3">
        <v>153002000</v>
      </c>
      <c r="G823" s="11" t="s">
        <v>497</v>
      </c>
      <c r="H823" s="11" t="s">
        <v>498</v>
      </c>
      <c r="I823" s="4">
        <v>12</v>
      </c>
      <c r="J823" s="4" t="s">
        <v>20</v>
      </c>
      <c r="K823" s="71">
        <f>I823</f>
        <v>12</v>
      </c>
      <c r="L823" t="s">
        <v>21</v>
      </c>
      <c r="M823" s="5">
        <f>K823/30</f>
        <v>0.4</v>
      </c>
    </row>
    <row r="824" spans="1:13" x14ac:dyDescent="0.25">
      <c r="A824" s="16">
        <v>1940</v>
      </c>
      <c r="B824" s="6" t="s">
        <v>18</v>
      </c>
      <c r="C824" s="6" t="s">
        <v>11</v>
      </c>
      <c r="D824" s="6" t="s">
        <v>19</v>
      </c>
      <c r="E824" s="4" t="s">
        <v>13</v>
      </c>
      <c r="F824" s="3">
        <v>2126001000</v>
      </c>
      <c r="G824" s="11" t="s">
        <v>264</v>
      </c>
      <c r="H824" s="11" t="s">
        <v>265</v>
      </c>
      <c r="I824" s="19" t="s">
        <v>280</v>
      </c>
      <c r="J824" s="19" t="s">
        <v>271</v>
      </c>
      <c r="K824" s="71">
        <v>10</v>
      </c>
      <c r="L824" t="s">
        <v>17</v>
      </c>
      <c r="M824" s="5">
        <f>K824/7</f>
        <v>1.4285714285714286</v>
      </c>
    </row>
    <row r="825" spans="1:13" x14ac:dyDescent="0.25">
      <c r="A825" s="16">
        <v>1941</v>
      </c>
      <c r="B825" s="46" t="s">
        <v>18</v>
      </c>
      <c r="C825" s="46" t="s">
        <v>11</v>
      </c>
      <c r="D825" s="46" t="s">
        <v>19</v>
      </c>
      <c r="E825" s="4" t="s">
        <v>13</v>
      </c>
      <c r="F825" s="46">
        <v>3319001000</v>
      </c>
      <c r="G825" t="s">
        <v>850</v>
      </c>
      <c r="H825" s="4" t="s">
        <v>64</v>
      </c>
      <c r="I825" s="4">
        <v>20</v>
      </c>
      <c r="J825" s="4" t="s">
        <v>75</v>
      </c>
      <c r="K825" s="71">
        <v>20</v>
      </c>
      <c r="L825" t="s">
        <v>21</v>
      </c>
      <c r="M825">
        <f>K825/30</f>
        <v>0.66666666666666663</v>
      </c>
    </row>
    <row r="826" spans="1:13" x14ac:dyDescent="0.25">
      <c r="A826" s="16">
        <v>1942</v>
      </c>
      <c r="B826" s="6" t="s">
        <v>18</v>
      </c>
      <c r="C826" s="6" t="s">
        <v>11</v>
      </c>
      <c r="D826" s="6" t="s">
        <v>19</v>
      </c>
      <c r="E826" s="4" t="s">
        <v>13</v>
      </c>
      <c r="F826" s="3">
        <v>1406001000</v>
      </c>
      <c r="G826" s="11" t="s">
        <v>392</v>
      </c>
      <c r="H826" s="11" t="s">
        <v>380</v>
      </c>
      <c r="I826" s="4" t="s">
        <v>290</v>
      </c>
      <c r="J826" s="4" t="s">
        <v>353</v>
      </c>
      <c r="K826" s="71">
        <v>2</v>
      </c>
      <c r="L826" t="s">
        <v>17</v>
      </c>
      <c r="M826" s="5">
        <f>K826/7</f>
        <v>0.2857142857142857</v>
      </c>
    </row>
    <row r="827" spans="1:13" x14ac:dyDescent="0.25">
      <c r="A827" s="16">
        <v>1943</v>
      </c>
      <c r="B827" s="6" t="s">
        <v>70</v>
      </c>
      <c r="C827" s="6" t="s">
        <v>11</v>
      </c>
      <c r="D827" s="6" t="s">
        <v>19</v>
      </c>
      <c r="E827" s="4" t="s">
        <v>13</v>
      </c>
      <c r="F827" s="3">
        <v>2994001000</v>
      </c>
      <c r="G827" s="11" t="s">
        <v>106</v>
      </c>
      <c r="H827" s="11" t="s">
        <v>64</v>
      </c>
      <c r="I827" s="4">
        <v>15</v>
      </c>
      <c r="J827" s="4" t="s">
        <v>88</v>
      </c>
      <c r="K827" s="71">
        <v>15</v>
      </c>
      <c r="L827" t="s">
        <v>21</v>
      </c>
      <c r="M827" s="5">
        <f>K827/30</f>
        <v>0.5</v>
      </c>
    </row>
    <row r="828" spans="1:13" x14ac:dyDescent="0.25">
      <c r="A828" s="123">
        <v>1945</v>
      </c>
      <c r="B828" s="76" t="s">
        <v>70</v>
      </c>
      <c r="C828" s="76" t="s">
        <v>11</v>
      </c>
      <c r="D828" s="76" t="s">
        <v>19</v>
      </c>
      <c r="E828" s="4" t="s">
        <v>13</v>
      </c>
      <c r="F828" s="76">
        <v>3134001000</v>
      </c>
      <c r="G828" t="s">
        <v>638</v>
      </c>
      <c r="H828" t="s">
        <v>467</v>
      </c>
      <c r="I828" s="4" t="s">
        <v>867</v>
      </c>
      <c r="J828" s="4" t="s">
        <v>858</v>
      </c>
      <c r="K828" s="71">
        <v>3</v>
      </c>
      <c r="L828" t="s">
        <v>21</v>
      </c>
      <c r="M828">
        <f>K828/30</f>
        <v>0.1</v>
      </c>
    </row>
    <row r="829" spans="1:13" x14ac:dyDescent="0.25">
      <c r="A829" s="16">
        <v>1946</v>
      </c>
      <c r="B829" s="6" t="s">
        <v>18</v>
      </c>
      <c r="C829" s="6" t="s">
        <v>11</v>
      </c>
      <c r="D829" s="6" t="s">
        <v>40</v>
      </c>
      <c r="E829" s="4" t="s">
        <v>13</v>
      </c>
      <c r="F829" s="3">
        <v>3152001000</v>
      </c>
      <c r="G829" s="11" t="s">
        <v>417</v>
      </c>
      <c r="H829" s="11" t="s">
        <v>407</v>
      </c>
      <c r="I829" s="4" t="s">
        <v>290</v>
      </c>
      <c r="J829" s="4" t="s">
        <v>352</v>
      </c>
      <c r="K829" s="71">
        <v>1</v>
      </c>
      <c r="L829" t="s">
        <v>17</v>
      </c>
      <c r="M829" s="5">
        <f>K829/7</f>
        <v>0.14285714285714285</v>
      </c>
    </row>
    <row r="830" spans="1:13" x14ac:dyDescent="0.25">
      <c r="A830" s="16">
        <v>1949</v>
      </c>
      <c r="B830" s="3" t="s">
        <v>18</v>
      </c>
      <c r="C830" s="3" t="s">
        <v>11</v>
      </c>
      <c r="D830" s="3" t="s">
        <v>19</v>
      </c>
      <c r="E830" s="4" t="s">
        <v>13</v>
      </c>
      <c r="F830" s="3">
        <v>3279001000</v>
      </c>
      <c r="G830" t="s">
        <v>841</v>
      </c>
      <c r="H830" s="4" t="s">
        <v>842</v>
      </c>
      <c r="I830" s="4">
        <v>16</v>
      </c>
      <c r="J830" s="4" t="s">
        <v>840</v>
      </c>
      <c r="K830" s="71">
        <v>16</v>
      </c>
      <c r="L830" t="s">
        <v>21</v>
      </c>
      <c r="M830">
        <f>K830/30</f>
        <v>0.53333333333333333</v>
      </c>
    </row>
    <row r="831" spans="1:13" x14ac:dyDescent="0.25">
      <c r="A831" s="16">
        <v>1950</v>
      </c>
      <c r="B831" s="6" t="s">
        <v>18</v>
      </c>
      <c r="C831" s="6" t="s">
        <v>11</v>
      </c>
      <c r="D831" s="6" t="s">
        <v>19</v>
      </c>
      <c r="E831" s="4" t="s">
        <v>13</v>
      </c>
      <c r="F831" s="3">
        <v>2126001000</v>
      </c>
      <c r="G831" s="11" t="s">
        <v>264</v>
      </c>
      <c r="H831" t="s">
        <v>265</v>
      </c>
      <c r="I831" s="4" t="s">
        <v>231</v>
      </c>
      <c r="J831" s="4" t="s">
        <v>231</v>
      </c>
      <c r="K831" s="71">
        <v>0</v>
      </c>
      <c r="L831" t="str">
        <f>J831</f>
        <v>back up</v>
      </c>
      <c r="M831" s="5">
        <v>0</v>
      </c>
    </row>
    <row r="832" spans="1:13" x14ac:dyDescent="0.25">
      <c r="A832" s="16">
        <v>1951</v>
      </c>
      <c r="B832" s="6" t="s">
        <v>18</v>
      </c>
      <c r="C832" s="6" t="s">
        <v>11</v>
      </c>
      <c r="D832" s="6" t="s">
        <v>41</v>
      </c>
      <c r="E832" s="4" t="s">
        <v>13</v>
      </c>
      <c r="F832" s="3">
        <v>529001000</v>
      </c>
      <c r="G832" s="11" t="s">
        <v>405</v>
      </c>
      <c r="H832" t="s">
        <v>407</v>
      </c>
      <c r="I832" s="4" t="s">
        <v>231</v>
      </c>
      <c r="J832" s="4" t="s">
        <v>231</v>
      </c>
      <c r="K832" s="71">
        <v>0</v>
      </c>
      <c r="L832" t="str">
        <f>J832</f>
        <v>back up</v>
      </c>
      <c r="M832" s="5">
        <v>0</v>
      </c>
    </row>
    <row r="833" spans="1:13" x14ac:dyDescent="0.25">
      <c r="A833" s="16">
        <v>1953</v>
      </c>
      <c r="B833" s="6" t="s">
        <v>18</v>
      </c>
      <c r="C833" s="6" t="s">
        <v>11</v>
      </c>
      <c r="D833" s="6" t="s">
        <v>41</v>
      </c>
      <c r="E833" s="4" t="s">
        <v>13</v>
      </c>
      <c r="F833" s="3">
        <v>1848001000</v>
      </c>
      <c r="G833" s="11" t="s">
        <v>413</v>
      </c>
      <c r="H833" s="11" t="s">
        <v>407</v>
      </c>
      <c r="I833" s="4" t="s">
        <v>290</v>
      </c>
      <c r="J833" s="4" t="s">
        <v>381</v>
      </c>
      <c r="K833" s="71">
        <v>1</v>
      </c>
      <c r="L833" t="s">
        <v>37</v>
      </c>
      <c r="M833" s="5">
        <f>K833</f>
        <v>1</v>
      </c>
    </row>
    <row r="834" spans="1:13" x14ac:dyDescent="0.25">
      <c r="A834" s="16">
        <v>1954</v>
      </c>
      <c r="B834" s="6" t="s">
        <v>18</v>
      </c>
      <c r="C834" s="6" t="s">
        <v>11</v>
      </c>
      <c r="D834" s="6" t="s">
        <v>41</v>
      </c>
      <c r="E834" s="4" t="s">
        <v>13</v>
      </c>
      <c r="F834" s="3">
        <v>66031000</v>
      </c>
      <c r="G834" s="11" t="s">
        <v>500</v>
      </c>
      <c r="H834" s="11" t="s">
        <v>498</v>
      </c>
      <c r="I834" s="4">
        <v>4</v>
      </c>
      <c r="J834" s="4" t="s">
        <v>20</v>
      </c>
      <c r="K834" s="71">
        <f>I834</f>
        <v>4</v>
      </c>
      <c r="L834" t="s">
        <v>21</v>
      </c>
      <c r="M834" s="5">
        <f>K834/30</f>
        <v>0.13333333333333333</v>
      </c>
    </row>
    <row r="835" spans="1:13" x14ac:dyDescent="0.25">
      <c r="A835" s="91">
        <v>1955</v>
      </c>
      <c r="B835" s="39" t="s">
        <v>10</v>
      </c>
      <c r="C835" s="39" t="s">
        <v>11</v>
      </c>
      <c r="D835" s="39" t="s">
        <v>12</v>
      </c>
      <c r="E835" s="7" t="s">
        <v>13</v>
      </c>
      <c r="F835" s="57">
        <v>1967007000</v>
      </c>
      <c r="G835" s="33" t="s">
        <v>466</v>
      </c>
      <c r="H835" s="8" t="s">
        <v>467</v>
      </c>
      <c r="I835" s="7"/>
      <c r="J835" s="7" t="s">
        <v>529</v>
      </c>
      <c r="K835" s="106"/>
      <c r="L835" s="8"/>
      <c r="M835" s="30"/>
    </row>
    <row r="836" spans="1:13" x14ac:dyDescent="0.25">
      <c r="A836" s="123">
        <v>1956</v>
      </c>
      <c r="B836" s="76" t="s">
        <v>10</v>
      </c>
      <c r="C836" s="76" t="s">
        <v>11</v>
      </c>
      <c r="D836" s="76" t="s">
        <v>12</v>
      </c>
      <c r="E836" s="4" t="s">
        <v>13</v>
      </c>
      <c r="F836" s="76">
        <v>3134001000</v>
      </c>
      <c r="G836" t="s">
        <v>638</v>
      </c>
      <c r="H836" t="s">
        <v>467</v>
      </c>
      <c r="I836" s="4" t="s">
        <v>234</v>
      </c>
      <c r="J836" s="4" t="s">
        <v>492</v>
      </c>
      <c r="K836" s="71">
        <f>40/60</f>
        <v>0.66666666666666663</v>
      </c>
      <c r="L836" t="s">
        <v>37</v>
      </c>
      <c r="M836">
        <f>K836</f>
        <v>0.66666666666666663</v>
      </c>
    </row>
    <row r="837" spans="1:13" x14ac:dyDescent="0.25">
      <c r="A837" s="16">
        <v>1957</v>
      </c>
      <c r="B837" s="6" t="s">
        <v>10</v>
      </c>
      <c r="C837" s="6" t="s">
        <v>11</v>
      </c>
      <c r="D837" s="6" t="s">
        <v>12</v>
      </c>
      <c r="E837" s="4" t="s">
        <v>13</v>
      </c>
      <c r="F837" s="3">
        <v>3178002000</v>
      </c>
      <c r="G837" s="11" t="s">
        <v>168</v>
      </c>
      <c r="H837" s="11" t="s">
        <v>337</v>
      </c>
      <c r="I837" s="4" t="s">
        <v>144</v>
      </c>
      <c r="J837" s="4" t="s">
        <v>169</v>
      </c>
      <c r="K837" s="71">
        <v>2</v>
      </c>
      <c r="L837" t="s">
        <v>21</v>
      </c>
      <c r="M837" s="5">
        <f>K837/30</f>
        <v>6.6666666666666666E-2</v>
      </c>
    </row>
    <row r="838" spans="1:13" x14ac:dyDescent="0.25">
      <c r="A838" s="16">
        <v>1958</v>
      </c>
      <c r="B838" s="6" t="s">
        <v>10</v>
      </c>
      <c r="C838" s="6" t="s">
        <v>11</v>
      </c>
      <c r="D838" s="6" t="s">
        <v>12</v>
      </c>
      <c r="E838" s="4" t="s">
        <v>13</v>
      </c>
      <c r="F838" s="3">
        <v>3370002000</v>
      </c>
      <c r="G838" s="11" t="s">
        <v>512</v>
      </c>
      <c r="H838" s="11" t="s">
        <v>467</v>
      </c>
      <c r="I838" s="4">
        <v>2</v>
      </c>
      <c r="J838" s="4" t="s">
        <v>37</v>
      </c>
      <c r="K838" s="71">
        <v>2</v>
      </c>
      <c r="L838" t="s">
        <v>37</v>
      </c>
      <c r="M838" s="5">
        <f>K838</f>
        <v>2</v>
      </c>
    </row>
    <row r="839" spans="1:13" x14ac:dyDescent="0.25">
      <c r="A839" s="16">
        <v>1965</v>
      </c>
      <c r="B839" s="6" t="s">
        <v>18</v>
      </c>
      <c r="C839" s="6" t="s">
        <v>11</v>
      </c>
      <c r="D839" s="6" t="s">
        <v>41</v>
      </c>
      <c r="E839" s="4" t="s">
        <v>13</v>
      </c>
      <c r="F839" s="3">
        <v>2867001000</v>
      </c>
      <c r="G839" s="11" t="s">
        <v>47</v>
      </c>
      <c r="H839" s="11" t="s">
        <v>339</v>
      </c>
      <c r="I839" s="4" t="s">
        <v>25</v>
      </c>
      <c r="J839" s="4" t="s">
        <v>20</v>
      </c>
      <c r="K839" s="105">
        <f>40/60</f>
        <v>0.66666666666666663</v>
      </c>
      <c r="L839" t="s">
        <v>21</v>
      </c>
      <c r="M839" s="5">
        <f>K839/30</f>
        <v>2.222222222222222E-2</v>
      </c>
    </row>
    <row r="840" spans="1:13" x14ac:dyDescent="0.25">
      <c r="A840" s="16">
        <v>1968</v>
      </c>
      <c r="B840" s="6" t="s">
        <v>10</v>
      </c>
      <c r="C840" s="6" t="s">
        <v>11</v>
      </c>
      <c r="D840" s="6" t="s">
        <v>12</v>
      </c>
      <c r="E840" s="4" t="s">
        <v>13</v>
      </c>
      <c r="F840" s="3">
        <v>2924001000</v>
      </c>
      <c r="G840" s="11" t="s">
        <v>85</v>
      </c>
      <c r="H840" t="s">
        <v>64</v>
      </c>
      <c r="I840" s="4" t="s">
        <v>231</v>
      </c>
      <c r="J840" s="4" t="s">
        <v>231</v>
      </c>
      <c r="K840" s="71">
        <v>0</v>
      </c>
      <c r="L840" t="str">
        <f>J840</f>
        <v>back up</v>
      </c>
      <c r="M840" s="5">
        <v>0</v>
      </c>
    </row>
    <row r="841" spans="1:13" x14ac:dyDescent="0.25">
      <c r="A841" s="16">
        <v>1969</v>
      </c>
      <c r="B841" s="6" t="s">
        <v>10</v>
      </c>
      <c r="C841" s="6" t="s">
        <v>11</v>
      </c>
      <c r="D841" s="6" t="s">
        <v>12</v>
      </c>
      <c r="E841" s="4" t="s">
        <v>13</v>
      </c>
      <c r="F841" s="3">
        <v>66011000</v>
      </c>
      <c r="G841" s="11" t="s">
        <v>440</v>
      </c>
      <c r="H841" s="11" t="s">
        <v>521</v>
      </c>
      <c r="I841" s="4" t="s">
        <v>239</v>
      </c>
      <c r="J841" s="4" t="s">
        <v>523</v>
      </c>
      <c r="K841" s="71">
        <v>1</v>
      </c>
      <c r="L841" t="s">
        <v>17</v>
      </c>
      <c r="M841" s="5">
        <f>K841/7</f>
        <v>0.14285714285714285</v>
      </c>
    </row>
    <row r="842" spans="1:13" x14ac:dyDescent="0.25">
      <c r="A842" s="125">
        <v>1971</v>
      </c>
      <c r="B842" s="46" t="s">
        <v>18</v>
      </c>
      <c r="C842" s="46" t="s">
        <v>11</v>
      </c>
      <c r="D842" s="46" t="s">
        <v>41</v>
      </c>
      <c r="E842" s="4" t="s">
        <v>13</v>
      </c>
      <c r="F842" s="46">
        <v>43003000</v>
      </c>
      <c r="G842" t="s">
        <v>675</v>
      </c>
      <c r="H842" t="s">
        <v>504</v>
      </c>
      <c r="I842" s="4" t="s">
        <v>493</v>
      </c>
      <c r="J842" s="4" t="s">
        <v>492</v>
      </c>
      <c r="K842" s="71">
        <v>2</v>
      </c>
      <c r="L842" t="s">
        <v>37</v>
      </c>
      <c r="M842" s="5">
        <f>K842</f>
        <v>2</v>
      </c>
    </row>
    <row r="843" spans="1:13" x14ac:dyDescent="0.25">
      <c r="A843" s="16">
        <v>1972</v>
      </c>
      <c r="B843" s="3" t="s">
        <v>10</v>
      </c>
      <c r="C843" s="3" t="s">
        <v>11</v>
      </c>
      <c r="D843" s="3" t="s">
        <v>12</v>
      </c>
      <c r="E843" s="4" t="s">
        <v>13</v>
      </c>
      <c r="F843" s="3">
        <v>2341001000</v>
      </c>
      <c r="G843" t="s">
        <v>828</v>
      </c>
      <c r="H843" s="11" t="s">
        <v>829</v>
      </c>
      <c r="I843" s="4">
        <v>8</v>
      </c>
      <c r="J843" s="4" t="s">
        <v>67</v>
      </c>
      <c r="K843" s="71">
        <v>8</v>
      </c>
      <c r="L843" t="s">
        <v>21</v>
      </c>
      <c r="M843" s="5">
        <f>K843/30</f>
        <v>0.26666666666666666</v>
      </c>
    </row>
    <row r="844" spans="1:13" x14ac:dyDescent="0.25">
      <c r="A844" s="125">
        <v>1977</v>
      </c>
      <c r="B844" s="46" t="s">
        <v>18</v>
      </c>
      <c r="C844" s="46" t="s">
        <v>11</v>
      </c>
      <c r="D844" s="46" t="s">
        <v>41</v>
      </c>
      <c r="E844" s="46" t="s">
        <v>13</v>
      </c>
      <c r="F844" s="35">
        <v>1014001</v>
      </c>
      <c r="G844" t="s">
        <v>543</v>
      </c>
      <c r="H844" s="4"/>
      <c r="J844" s="71"/>
      <c r="K844"/>
      <c r="L844" s="5"/>
      <c r="M844"/>
    </row>
    <row r="845" spans="1:13" x14ac:dyDescent="0.25">
      <c r="A845" s="16">
        <v>1978</v>
      </c>
      <c r="B845" s="6" t="s">
        <v>18</v>
      </c>
      <c r="C845" s="6" t="s">
        <v>11</v>
      </c>
      <c r="D845" s="6" t="s">
        <v>41</v>
      </c>
      <c r="E845" s="4" t="s">
        <v>13</v>
      </c>
      <c r="F845" s="3">
        <v>1967007000</v>
      </c>
      <c r="G845" s="11" t="s">
        <v>466</v>
      </c>
      <c r="H845" s="11" t="s">
        <v>467</v>
      </c>
      <c r="I845" s="4">
        <v>2</v>
      </c>
      <c r="J845" s="4" t="s">
        <v>535</v>
      </c>
      <c r="K845" s="71">
        <v>6</v>
      </c>
      <c r="L845" t="s">
        <v>17</v>
      </c>
      <c r="M845" s="5">
        <f>K845/7</f>
        <v>0.8571428571428571</v>
      </c>
    </row>
    <row r="846" spans="1:13" x14ac:dyDescent="0.25">
      <c r="A846" s="16">
        <v>1979</v>
      </c>
      <c r="B846" s="6" t="s">
        <v>18</v>
      </c>
      <c r="C846" s="6" t="s">
        <v>11</v>
      </c>
      <c r="D846" s="6" t="s">
        <v>41</v>
      </c>
      <c r="E846" s="4" t="s">
        <v>13</v>
      </c>
      <c r="F846" s="3">
        <v>3219001000</v>
      </c>
      <c r="G846" s="11" t="s">
        <v>126</v>
      </c>
      <c r="H846" s="11" t="s">
        <v>64</v>
      </c>
      <c r="I846" s="4">
        <v>8</v>
      </c>
      <c r="J846" s="4" t="s">
        <v>128</v>
      </c>
      <c r="K846" s="71">
        <v>8</v>
      </c>
      <c r="L846" t="s">
        <v>21</v>
      </c>
      <c r="M846" s="5">
        <f>K846/30</f>
        <v>0.26666666666666666</v>
      </c>
    </row>
    <row r="847" spans="1:13" x14ac:dyDescent="0.25">
      <c r="A847" s="125">
        <v>1980</v>
      </c>
      <c r="B847" s="46" t="s">
        <v>18</v>
      </c>
      <c r="C847" s="46" t="s">
        <v>11</v>
      </c>
      <c r="D847" s="46" t="s">
        <v>41</v>
      </c>
      <c r="E847" s="4" t="s">
        <v>13</v>
      </c>
      <c r="F847" s="46">
        <v>43001000</v>
      </c>
      <c r="G847" t="s">
        <v>553</v>
      </c>
      <c r="H847" t="s">
        <v>504</v>
      </c>
      <c r="I847" s="4" t="s">
        <v>493</v>
      </c>
      <c r="J847" s="4" t="s">
        <v>492</v>
      </c>
      <c r="K847" s="71">
        <v>2</v>
      </c>
      <c r="L847" t="s">
        <v>37</v>
      </c>
      <c r="M847" s="5">
        <f>K847</f>
        <v>2</v>
      </c>
    </row>
    <row r="848" spans="1:13" x14ac:dyDescent="0.25">
      <c r="A848" s="16">
        <v>1982</v>
      </c>
      <c r="B848" s="6" t="s">
        <v>10</v>
      </c>
      <c r="C848" s="6" t="s">
        <v>11</v>
      </c>
      <c r="D848" s="6" t="s">
        <v>12</v>
      </c>
      <c r="E848" s="4" t="s">
        <v>13</v>
      </c>
      <c r="F848" s="3">
        <v>1406010000</v>
      </c>
      <c r="G848" s="11" t="s">
        <v>303</v>
      </c>
      <c r="H848" s="11" t="s">
        <v>338</v>
      </c>
      <c r="I848" s="4" t="s">
        <v>290</v>
      </c>
      <c r="J848" s="4" t="s">
        <v>293</v>
      </c>
      <c r="K848" s="71">
        <v>1</v>
      </c>
      <c r="L848" t="s">
        <v>17</v>
      </c>
      <c r="M848" s="5">
        <f>K848/7</f>
        <v>0.14285714285714285</v>
      </c>
    </row>
    <row r="849" spans="1:13" x14ac:dyDescent="0.25">
      <c r="A849" s="16">
        <v>1984</v>
      </c>
      <c r="B849" s="6" t="s">
        <v>10</v>
      </c>
      <c r="C849" s="6" t="s">
        <v>11</v>
      </c>
      <c r="D849" s="6" t="s">
        <v>26</v>
      </c>
      <c r="E849" s="4" t="s">
        <v>13</v>
      </c>
      <c r="F849" s="3">
        <v>3116001000</v>
      </c>
      <c r="G849" s="11" t="s">
        <v>96</v>
      </c>
      <c r="H849" s="11" t="s">
        <v>64</v>
      </c>
      <c r="I849" s="4">
        <v>60</v>
      </c>
      <c r="J849" s="4" t="s">
        <v>98</v>
      </c>
      <c r="K849" s="71">
        <v>60</v>
      </c>
      <c r="L849" t="s">
        <v>21</v>
      </c>
      <c r="M849" s="5">
        <f>K849/30</f>
        <v>2</v>
      </c>
    </row>
    <row r="850" spans="1:13" x14ac:dyDescent="0.25">
      <c r="A850" s="16">
        <v>1985</v>
      </c>
      <c r="B850" s="6" t="s">
        <v>10</v>
      </c>
      <c r="C850" s="6" t="s">
        <v>11</v>
      </c>
      <c r="D850" s="6" t="s">
        <v>12</v>
      </c>
      <c r="E850" s="4" t="s">
        <v>13</v>
      </c>
      <c r="F850" s="3">
        <v>66011000</v>
      </c>
      <c r="G850" s="11" t="s">
        <v>440</v>
      </c>
      <c r="H850" s="11" t="s">
        <v>521</v>
      </c>
      <c r="I850" s="4" t="s">
        <v>239</v>
      </c>
      <c r="J850" s="4" t="s">
        <v>523</v>
      </c>
      <c r="K850" s="71">
        <v>1</v>
      </c>
      <c r="L850" t="s">
        <v>17</v>
      </c>
      <c r="M850" s="5">
        <f>K850/7</f>
        <v>0.14285714285714285</v>
      </c>
    </row>
    <row r="851" spans="1:13" x14ac:dyDescent="0.25">
      <c r="A851" s="16">
        <v>2003</v>
      </c>
      <c r="B851" s="6" t="s">
        <v>18</v>
      </c>
      <c r="C851" s="6" t="s">
        <v>39</v>
      </c>
      <c r="D851" s="6" t="s">
        <v>40</v>
      </c>
      <c r="E851" s="4" t="s">
        <v>13</v>
      </c>
      <c r="F851" s="3">
        <v>66011000</v>
      </c>
      <c r="G851" s="11" t="s">
        <v>440</v>
      </c>
      <c r="H851" s="11" t="s">
        <v>521</v>
      </c>
      <c r="I851" s="4" t="s">
        <v>493</v>
      </c>
      <c r="J851" s="4" t="s">
        <v>492</v>
      </c>
      <c r="K851" s="71">
        <v>2</v>
      </c>
      <c r="L851" t="s">
        <v>37</v>
      </c>
      <c r="M851" s="5">
        <f>K851</f>
        <v>2</v>
      </c>
    </row>
    <row r="852" spans="1:13" x14ac:dyDescent="0.25">
      <c r="A852" s="123">
        <v>2004</v>
      </c>
      <c r="B852" s="76" t="s">
        <v>18</v>
      </c>
      <c r="C852" s="76" t="s">
        <v>39</v>
      </c>
      <c r="D852" s="76" t="s">
        <v>81</v>
      </c>
      <c r="E852" s="4" t="s">
        <v>13</v>
      </c>
      <c r="F852" s="76">
        <v>2735001000</v>
      </c>
      <c r="G852" t="s">
        <v>661</v>
      </c>
      <c r="H852" t="s">
        <v>467</v>
      </c>
      <c r="I852" s="4" t="s">
        <v>239</v>
      </c>
      <c r="J852" s="4" t="s">
        <v>535</v>
      </c>
      <c r="K852" s="71">
        <v>3</v>
      </c>
      <c r="L852" t="s">
        <v>17</v>
      </c>
      <c r="M852">
        <f>K852/7</f>
        <v>0.42857142857142855</v>
      </c>
    </row>
    <row r="853" spans="1:13" x14ac:dyDescent="0.25">
      <c r="A853" s="16">
        <v>2005</v>
      </c>
      <c r="B853" s="6" t="s">
        <v>18</v>
      </c>
      <c r="C853" s="6" t="s">
        <v>39</v>
      </c>
      <c r="D853" s="6" t="s">
        <v>40</v>
      </c>
      <c r="E853" s="4" t="s">
        <v>13</v>
      </c>
      <c r="F853" s="3">
        <v>2548013000</v>
      </c>
      <c r="G853" s="11" t="s">
        <v>179</v>
      </c>
      <c r="H853" s="11" t="s">
        <v>337</v>
      </c>
      <c r="I853" s="4" t="s">
        <v>144</v>
      </c>
      <c r="J853" s="4" t="s">
        <v>143</v>
      </c>
      <c r="K853" s="71">
        <v>1</v>
      </c>
      <c r="L853" t="s">
        <v>37</v>
      </c>
      <c r="M853" s="5">
        <f>K853</f>
        <v>1</v>
      </c>
    </row>
    <row r="854" spans="1:13" x14ac:dyDescent="0.25">
      <c r="A854" s="91">
        <v>2009</v>
      </c>
      <c r="B854" s="39" t="s">
        <v>10</v>
      </c>
      <c r="C854" s="39" t="s">
        <v>68</v>
      </c>
      <c r="D854" s="39" t="s">
        <v>69</v>
      </c>
      <c r="E854" s="7" t="s">
        <v>13</v>
      </c>
      <c r="F854" s="57">
        <v>1014007</v>
      </c>
      <c r="G854" s="33" t="s">
        <v>309</v>
      </c>
      <c r="H854" s="8" t="s">
        <v>338</v>
      </c>
      <c r="I854" s="7"/>
      <c r="J854" s="7" t="s">
        <v>323</v>
      </c>
      <c r="K854" s="106"/>
      <c r="L854" s="8"/>
      <c r="M854" s="30"/>
    </row>
    <row r="855" spans="1:13" x14ac:dyDescent="0.25">
      <c r="A855" s="100">
        <v>2012</v>
      </c>
      <c r="B855" s="46" t="s">
        <v>10</v>
      </c>
      <c r="C855" s="46" t="s">
        <v>68</v>
      </c>
      <c r="D855" s="46" t="s">
        <v>69</v>
      </c>
      <c r="E855" s="4" t="s">
        <v>13</v>
      </c>
      <c r="F855" s="46">
        <v>3073001000</v>
      </c>
      <c r="G855" t="s">
        <v>702</v>
      </c>
      <c r="H855" t="s">
        <v>856</v>
      </c>
      <c r="M855"/>
    </row>
    <row r="856" spans="1:13" x14ac:dyDescent="0.25">
      <c r="A856" s="16">
        <v>2013</v>
      </c>
      <c r="B856" s="6" t="s">
        <v>10</v>
      </c>
      <c r="C856" s="6" t="s">
        <v>68</v>
      </c>
      <c r="D856" s="6" t="s">
        <v>69</v>
      </c>
      <c r="E856" s="4" t="s">
        <v>13</v>
      </c>
      <c r="F856" s="3">
        <v>165001000</v>
      </c>
      <c r="G856" s="11" t="s">
        <v>319</v>
      </c>
      <c r="H856" s="11" t="s">
        <v>338</v>
      </c>
      <c r="I856" s="4" t="s">
        <v>320</v>
      </c>
      <c r="J856" s="4" t="s">
        <v>17</v>
      </c>
      <c r="K856" s="71">
        <v>26</v>
      </c>
      <c r="L856" t="s">
        <v>17</v>
      </c>
      <c r="M856" s="5">
        <f>K856/7</f>
        <v>3.7142857142857144</v>
      </c>
    </row>
    <row r="857" spans="1:13" x14ac:dyDescent="0.25">
      <c r="A857" s="123">
        <v>2017</v>
      </c>
      <c r="B857" s="76" t="s">
        <v>10</v>
      </c>
      <c r="C857" s="76" t="s">
        <v>68</v>
      </c>
      <c r="D857" s="76" t="s">
        <v>69</v>
      </c>
      <c r="E857" s="4" t="s">
        <v>13</v>
      </c>
      <c r="F857" s="76">
        <v>3043001000</v>
      </c>
      <c r="G857" t="s">
        <v>652</v>
      </c>
      <c r="H857" t="s">
        <v>380</v>
      </c>
      <c r="I857" s="4" t="s">
        <v>242</v>
      </c>
      <c r="J857" s="4" t="s">
        <v>523</v>
      </c>
      <c r="K857" s="71">
        <v>1</v>
      </c>
      <c r="L857" t="s">
        <v>17</v>
      </c>
      <c r="M857">
        <f>K857/7</f>
        <v>0.14285714285714285</v>
      </c>
    </row>
    <row r="858" spans="1:13" x14ac:dyDescent="0.25">
      <c r="A858" s="16">
        <v>2018</v>
      </c>
      <c r="B858" s="6" t="s">
        <v>10</v>
      </c>
      <c r="C858" s="6" t="s">
        <v>68</v>
      </c>
      <c r="D858" s="6" t="s">
        <v>69</v>
      </c>
      <c r="E858" s="4" t="s">
        <v>13</v>
      </c>
      <c r="F858" s="3">
        <v>3370004000</v>
      </c>
      <c r="G858" s="11" t="s">
        <v>516</v>
      </c>
      <c r="H858" s="11" t="s">
        <v>339</v>
      </c>
      <c r="I858" s="4">
        <v>6</v>
      </c>
      <c r="J858" s="4" t="s">
        <v>21</v>
      </c>
      <c r="K858" s="71">
        <v>6</v>
      </c>
      <c r="L858" t="s">
        <v>21</v>
      </c>
      <c r="M858" s="5">
        <f>K858/30</f>
        <v>0.2</v>
      </c>
    </row>
    <row r="859" spans="1:13" x14ac:dyDescent="0.25">
      <c r="A859" s="16">
        <v>2020</v>
      </c>
      <c r="B859" s="6" t="s">
        <v>10</v>
      </c>
      <c r="C859" s="6" t="s">
        <v>186</v>
      </c>
      <c r="D859" s="6" t="s">
        <v>187</v>
      </c>
      <c r="E859" s="4" t="s">
        <v>13</v>
      </c>
      <c r="F859" s="3">
        <v>2548092000</v>
      </c>
      <c r="G859" s="11" t="s">
        <v>182</v>
      </c>
      <c r="H859" s="11" t="s">
        <v>337</v>
      </c>
      <c r="I859" s="4" t="s">
        <v>144</v>
      </c>
      <c r="J859" s="4" t="s">
        <v>145</v>
      </c>
      <c r="K859" s="71">
        <v>2</v>
      </c>
      <c r="L859" t="s">
        <v>17</v>
      </c>
      <c r="M859" s="5">
        <f>K859/7</f>
        <v>0.2857142857142857</v>
      </c>
    </row>
    <row r="860" spans="1:13" x14ac:dyDescent="0.25">
      <c r="A860" s="16">
        <v>2021</v>
      </c>
      <c r="B860" s="6" t="s">
        <v>10</v>
      </c>
      <c r="C860" s="6" t="s">
        <v>68</v>
      </c>
      <c r="D860" s="6" t="s">
        <v>69</v>
      </c>
      <c r="E860" s="4" t="s">
        <v>13</v>
      </c>
      <c r="F860" s="3">
        <v>3317001000</v>
      </c>
      <c r="G860" s="11" t="s">
        <v>193</v>
      </c>
      <c r="H860" s="11" t="s">
        <v>337</v>
      </c>
      <c r="I860" s="4" t="s">
        <v>144</v>
      </c>
      <c r="J860" s="4" t="s">
        <v>139</v>
      </c>
      <c r="K860" s="71">
        <v>1</v>
      </c>
      <c r="L860" t="s">
        <v>17</v>
      </c>
      <c r="M860" s="5">
        <f>K860/7</f>
        <v>0.14285714285714285</v>
      </c>
    </row>
    <row r="861" spans="1:13" x14ac:dyDescent="0.25">
      <c r="A861" s="16">
        <v>2026</v>
      </c>
      <c r="B861" s="6" t="s">
        <v>10</v>
      </c>
      <c r="C861" s="6" t="s">
        <v>68</v>
      </c>
      <c r="D861" s="6" t="s">
        <v>69</v>
      </c>
      <c r="E861" s="4" t="s">
        <v>13</v>
      </c>
      <c r="F861" s="3">
        <v>529002000</v>
      </c>
      <c r="G861" s="11" t="s">
        <v>520</v>
      </c>
      <c r="H861" s="11" t="s">
        <v>380</v>
      </c>
      <c r="I861" s="4">
        <v>2</v>
      </c>
      <c r="J861" s="4" t="s">
        <v>487</v>
      </c>
      <c r="K861" s="71">
        <v>2</v>
      </c>
      <c r="L861" t="s">
        <v>17</v>
      </c>
      <c r="M861" s="5">
        <f>K861/7</f>
        <v>0.2857142857142857</v>
      </c>
    </row>
    <row r="862" spans="1:13" x14ac:dyDescent="0.25">
      <c r="A862" s="16">
        <v>2027</v>
      </c>
      <c r="B862" s="6" t="s">
        <v>10</v>
      </c>
      <c r="C862" s="6" t="s">
        <v>68</v>
      </c>
      <c r="D862" s="6" t="s">
        <v>69</v>
      </c>
      <c r="E862" s="4" t="s">
        <v>13</v>
      </c>
      <c r="F862" s="3">
        <v>529002000</v>
      </c>
      <c r="G862" s="11" t="s">
        <v>520</v>
      </c>
      <c r="H862" s="11" t="s">
        <v>380</v>
      </c>
      <c r="I862" s="4" t="s">
        <v>358</v>
      </c>
      <c r="J862" s="4" t="s">
        <v>352</v>
      </c>
      <c r="K862" s="71">
        <v>0.5</v>
      </c>
      <c r="L862" t="s">
        <v>17</v>
      </c>
      <c r="M862" s="5">
        <f>K862/7</f>
        <v>7.1428571428571425E-2</v>
      </c>
    </row>
    <row r="863" spans="1:13" x14ac:dyDescent="0.25">
      <c r="A863" s="95">
        <v>2028</v>
      </c>
      <c r="B863" s="39" t="s">
        <v>10</v>
      </c>
      <c r="C863" s="39" t="s">
        <v>68</v>
      </c>
      <c r="D863" s="39" t="s">
        <v>69</v>
      </c>
      <c r="E863" s="7" t="s">
        <v>13</v>
      </c>
      <c r="F863" s="57">
        <v>1165000000</v>
      </c>
      <c r="G863" s="33" t="s">
        <v>216</v>
      </c>
      <c r="H863" s="8" t="s">
        <v>215</v>
      </c>
      <c r="I863" s="7"/>
      <c r="J863" s="7" t="s">
        <v>529</v>
      </c>
      <c r="K863" s="106"/>
      <c r="L863" s="8"/>
      <c r="M863" s="30"/>
    </row>
    <row r="864" spans="1:13" x14ac:dyDescent="0.25">
      <c r="A864" s="16">
        <v>2030</v>
      </c>
      <c r="B864" s="6" t="s">
        <v>10</v>
      </c>
      <c r="C864" s="6" t="s">
        <v>68</v>
      </c>
      <c r="D864" s="6" t="s">
        <v>69</v>
      </c>
      <c r="E864" s="4" t="s">
        <v>13</v>
      </c>
      <c r="F864" s="3">
        <v>2885001000</v>
      </c>
      <c r="G864" s="11" t="s">
        <v>124</v>
      </c>
      <c r="H864" s="11" t="s">
        <v>64</v>
      </c>
      <c r="J864" s="4" t="s">
        <v>125</v>
      </c>
      <c r="K864" s="71">
        <v>30</v>
      </c>
      <c r="L864" t="s">
        <v>21</v>
      </c>
      <c r="M864" s="5">
        <f>K864/30</f>
        <v>1</v>
      </c>
    </row>
    <row r="865" spans="1:13" x14ac:dyDescent="0.25">
      <c r="A865" s="16">
        <v>2036</v>
      </c>
      <c r="B865" s="6" t="s">
        <v>10</v>
      </c>
      <c r="C865" s="6" t="s">
        <v>68</v>
      </c>
      <c r="D865" s="6" t="s">
        <v>69</v>
      </c>
      <c r="E865" s="4" t="s">
        <v>13</v>
      </c>
      <c r="F865" s="3">
        <v>153001000</v>
      </c>
      <c r="G865" s="11" t="s">
        <v>63</v>
      </c>
      <c r="H865" s="11" t="s">
        <v>64</v>
      </c>
      <c r="I865" s="4">
        <v>40</v>
      </c>
      <c r="J865" s="4" t="s">
        <v>65</v>
      </c>
      <c r="K865" s="71">
        <v>40</v>
      </c>
      <c r="L865" t="s">
        <v>21</v>
      </c>
      <c r="M865" s="5">
        <f>K865/30</f>
        <v>1.3333333333333333</v>
      </c>
    </row>
    <row r="866" spans="1:13" x14ac:dyDescent="0.25">
      <c r="A866" s="123">
        <v>2037</v>
      </c>
      <c r="B866" s="76" t="s">
        <v>10</v>
      </c>
      <c r="C866" s="76" t="s">
        <v>68</v>
      </c>
      <c r="D866" s="76" t="s">
        <v>69</v>
      </c>
      <c r="E866" s="4" t="s">
        <v>13</v>
      </c>
      <c r="F866" s="76">
        <v>1068021000</v>
      </c>
      <c r="G866" t="s">
        <v>676</v>
      </c>
      <c r="H866" t="s">
        <v>339</v>
      </c>
      <c r="I866" s="4" t="s">
        <v>866</v>
      </c>
      <c r="J866" s="4" t="s">
        <v>492</v>
      </c>
      <c r="K866" s="71">
        <v>0.5</v>
      </c>
      <c r="L866" t="s">
        <v>37</v>
      </c>
      <c r="M866">
        <f>K866</f>
        <v>0.5</v>
      </c>
    </row>
    <row r="867" spans="1:13" x14ac:dyDescent="0.25">
      <c r="A867" s="16">
        <v>2040</v>
      </c>
      <c r="B867" s="6" t="s">
        <v>10</v>
      </c>
      <c r="C867" s="6" t="s">
        <v>68</v>
      </c>
      <c r="D867" s="6" t="s">
        <v>69</v>
      </c>
      <c r="E867" s="4" t="s">
        <v>13</v>
      </c>
      <c r="F867" s="3">
        <v>2548053000</v>
      </c>
      <c r="G867" s="11" t="s">
        <v>180</v>
      </c>
      <c r="H867" s="11" t="s">
        <v>337</v>
      </c>
      <c r="I867" s="4" t="s">
        <v>144</v>
      </c>
      <c r="J867" s="4" t="s">
        <v>181</v>
      </c>
      <c r="K867" s="71">
        <v>1</v>
      </c>
      <c r="L867" t="s">
        <v>17</v>
      </c>
      <c r="M867" s="5">
        <f>K867/7</f>
        <v>0.14285714285714285</v>
      </c>
    </row>
    <row r="868" spans="1:13" x14ac:dyDescent="0.25">
      <c r="A868" s="16">
        <v>2041</v>
      </c>
      <c r="B868" s="6" t="s">
        <v>10</v>
      </c>
      <c r="C868" s="6" t="s">
        <v>68</v>
      </c>
      <c r="D868" s="6" t="s">
        <v>69</v>
      </c>
      <c r="E868" s="4" t="s">
        <v>13</v>
      </c>
      <c r="F868" s="3">
        <v>2548013000</v>
      </c>
      <c r="G868" s="11" t="s">
        <v>179</v>
      </c>
      <c r="H868" s="11" t="s">
        <v>337</v>
      </c>
      <c r="I868" s="4" t="s">
        <v>144</v>
      </c>
      <c r="J868" s="4" t="s">
        <v>145</v>
      </c>
      <c r="K868" s="71">
        <v>2</v>
      </c>
      <c r="L868" t="s">
        <v>17</v>
      </c>
      <c r="M868" s="5">
        <f>K868/7</f>
        <v>0.2857142857142857</v>
      </c>
    </row>
    <row r="869" spans="1:13" x14ac:dyDescent="0.25">
      <c r="A869" s="16">
        <v>2042</v>
      </c>
      <c r="B869" s="6" t="s">
        <v>10</v>
      </c>
      <c r="C869" s="6" t="s">
        <v>68</v>
      </c>
      <c r="D869" s="6" t="s">
        <v>69</v>
      </c>
      <c r="E869" s="4" t="s">
        <v>13</v>
      </c>
      <c r="F869" s="3">
        <v>66011000</v>
      </c>
      <c r="G869" s="11" t="s">
        <v>440</v>
      </c>
      <c r="H869" s="11" t="s">
        <v>521</v>
      </c>
      <c r="I869" s="4" t="s">
        <v>239</v>
      </c>
      <c r="J869" s="4" t="s">
        <v>523</v>
      </c>
      <c r="K869" s="71">
        <v>1</v>
      </c>
      <c r="L869" t="s">
        <v>17</v>
      </c>
      <c r="M869" s="5">
        <f>K869/7</f>
        <v>0.14285714285714285</v>
      </c>
    </row>
    <row r="870" spans="1:13" x14ac:dyDescent="0.25">
      <c r="A870" s="109">
        <v>2046</v>
      </c>
      <c r="B870" s="45" t="s">
        <v>240</v>
      </c>
      <c r="C870" t="s">
        <v>244</v>
      </c>
      <c r="E870" s="4" t="s">
        <v>13</v>
      </c>
      <c r="F870" s="11">
        <v>3284001000</v>
      </c>
      <c r="G870" s="11" t="s">
        <v>245</v>
      </c>
      <c r="H870" s="11" t="s">
        <v>227</v>
      </c>
      <c r="I870" s="4" t="s">
        <v>246</v>
      </c>
      <c r="J870" s="4" t="s">
        <v>247</v>
      </c>
      <c r="K870" s="71">
        <v>1</v>
      </c>
      <c r="L870" t="s">
        <v>37</v>
      </c>
      <c r="M870" s="5">
        <f>K870</f>
        <v>1</v>
      </c>
    </row>
    <row r="871" spans="1:13" x14ac:dyDescent="0.25">
      <c r="A871" s="16">
        <v>2047</v>
      </c>
      <c r="B871" s="3" t="s">
        <v>18</v>
      </c>
      <c r="C871" s="3" t="s">
        <v>39</v>
      </c>
      <c r="D871" s="3" t="s">
        <v>81</v>
      </c>
      <c r="E871" s="4" t="s">
        <v>13</v>
      </c>
      <c r="F871" s="3">
        <v>2341001000</v>
      </c>
      <c r="G871" t="s">
        <v>828</v>
      </c>
      <c r="H871" s="11" t="s">
        <v>829</v>
      </c>
      <c r="I871" s="4">
        <v>3</v>
      </c>
      <c r="J871" s="4" t="s">
        <v>830</v>
      </c>
      <c r="K871" s="71">
        <v>3</v>
      </c>
      <c r="L871" t="s">
        <v>21</v>
      </c>
      <c r="M871">
        <f>K871/30</f>
        <v>0.1</v>
      </c>
    </row>
    <row r="872" spans="1:13" x14ac:dyDescent="0.25">
      <c r="A872" s="16">
        <v>2049</v>
      </c>
      <c r="B872" s="6" t="s">
        <v>10</v>
      </c>
      <c r="C872" s="6" t="s">
        <v>376</v>
      </c>
      <c r="D872" s="6" t="s">
        <v>377</v>
      </c>
      <c r="E872" s="4" t="s">
        <v>13</v>
      </c>
      <c r="F872" s="3">
        <v>2499001000</v>
      </c>
      <c r="G872" s="11" t="s">
        <v>457</v>
      </c>
      <c r="H872" s="11" t="s">
        <v>504</v>
      </c>
      <c r="I872" s="4" t="s">
        <v>491</v>
      </c>
      <c r="J872" s="4" t="s">
        <v>492</v>
      </c>
      <c r="K872" s="71">
        <v>6</v>
      </c>
      <c r="L872" t="s">
        <v>37</v>
      </c>
      <c r="M872" s="5">
        <f>K872</f>
        <v>6</v>
      </c>
    </row>
    <row r="873" spans="1:13" x14ac:dyDescent="0.25">
      <c r="A873" s="16">
        <v>2050</v>
      </c>
      <c r="B873" s="6" t="s">
        <v>18</v>
      </c>
      <c r="C873" s="6" t="s">
        <v>11</v>
      </c>
      <c r="D873" s="6" t="s">
        <v>19</v>
      </c>
      <c r="E873" s="4" t="s">
        <v>13</v>
      </c>
      <c r="F873" s="3">
        <v>1165000000</v>
      </c>
      <c r="G873" s="11" t="s">
        <v>216</v>
      </c>
      <c r="H873" s="11" t="s">
        <v>215</v>
      </c>
      <c r="I873" s="4">
        <v>4</v>
      </c>
      <c r="J873" s="4" t="s">
        <v>16</v>
      </c>
      <c r="K873" s="71">
        <v>4</v>
      </c>
      <c r="L873" t="s">
        <v>17</v>
      </c>
      <c r="M873" s="5">
        <f>K873/7</f>
        <v>0.5714285714285714</v>
      </c>
    </row>
    <row r="874" spans="1:13" x14ac:dyDescent="0.25">
      <c r="A874" s="16">
        <v>2051</v>
      </c>
      <c r="B874" s="6" t="s">
        <v>18</v>
      </c>
      <c r="C874" s="6" t="s">
        <v>11</v>
      </c>
      <c r="D874" s="6" t="s">
        <v>19</v>
      </c>
      <c r="E874" s="4" t="s">
        <v>13</v>
      </c>
      <c r="F874" s="3">
        <v>2548051000</v>
      </c>
      <c r="G874" s="11" t="s">
        <v>178</v>
      </c>
      <c r="H874" s="11" t="s">
        <v>337</v>
      </c>
      <c r="I874" s="4" t="s">
        <v>144</v>
      </c>
      <c r="J874" s="4" t="s">
        <v>139</v>
      </c>
      <c r="K874" s="71">
        <v>1</v>
      </c>
      <c r="L874" t="s">
        <v>17</v>
      </c>
      <c r="M874" s="5">
        <f>K874/7</f>
        <v>0.14285714285714285</v>
      </c>
    </row>
    <row r="875" spans="1:13" x14ac:dyDescent="0.25">
      <c r="A875" s="95">
        <v>2053</v>
      </c>
      <c r="B875" s="39" t="s">
        <v>18</v>
      </c>
      <c r="C875" s="39" t="s">
        <v>11</v>
      </c>
      <c r="D875" s="39" t="s">
        <v>19</v>
      </c>
      <c r="E875" s="7" t="s">
        <v>13</v>
      </c>
      <c r="F875" s="57">
        <v>1165000000</v>
      </c>
      <c r="G875" s="33" t="s">
        <v>216</v>
      </c>
      <c r="H875" s="8" t="s">
        <v>215</v>
      </c>
      <c r="I875" s="7"/>
      <c r="J875" s="7" t="s">
        <v>529</v>
      </c>
      <c r="K875" s="106"/>
      <c r="L875" s="8"/>
      <c r="M875" s="30"/>
    </row>
    <row r="876" spans="1:13" x14ac:dyDescent="0.25">
      <c r="A876" s="16">
        <v>2054</v>
      </c>
      <c r="B876" s="6" t="s">
        <v>18</v>
      </c>
      <c r="C876" s="6" t="s">
        <v>11</v>
      </c>
      <c r="D876" s="6" t="s">
        <v>19</v>
      </c>
      <c r="E876" s="4" t="s">
        <v>13</v>
      </c>
      <c r="F876" s="3">
        <v>193012000</v>
      </c>
      <c r="G876" s="11" t="s">
        <v>34</v>
      </c>
      <c r="H876" s="11" t="s">
        <v>339</v>
      </c>
      <c r="I876" s="4" t="s">
        <v>38</v>
      </c>
      <c r="J876" s="4" t="s">
        <v>36</v>
      </c>
      <c r="K876" s="71">
        <v>3</v>
      </c>
      <c r="L876" t="s">
        <v>37</v>
      </c>
      <c r="M876" s="5">
        <f>K876</f>
        <v>3</v>
      </c>
    </row>
    <row r="877" spans="1:13" x14ac:dyDescent="0.25">
      <c r="A877" s="125">
        <v>2056</v>
      </c>
      <c r="B877" s="46" t="s">
        <v>18</v>
      </c>
      <c r="C877" s="46" t="s">
        <v>11</v>
      </c>
      <c r="D877" s="46" t="s">
        <v>19</v>
      </c>
      <c r="E877" s="4" t="s">
        <v>13</v>
      </c>
      <c r="F877" s="46">
        <v>3000001000</v>
      </c>
      <c r="G877" t="s">
        <v>703</v>
      </c>
      <c r="H877" t="s">
        <v>504</v>
      </c>
      <c r="I877" s="4" t="s">
        <v>861</v>
      </c>
      <c r="J877" s="4" t="s">
        <v>535</v>
      </c>
      <c r="K877" s="71">
        <v>1.5</v>
      </c>
      <c r="L877" t="s">
        <v>17</v>
      </c>
      <c r="M877" s="5">
        <f>K877/7</f>
        <v>0.21428571428571427</v>
      </c>
    </row>
    <row r="878" spans="1:13" x14ac:dyDescent="0.25">
      <c r="A878" s="16">
        <v>2057</v>
      </c>
      <c r="B878" s="6" t="s">
        <v>18</v>
      </c>
      <c r="C878" s="6" t="s">
        <v>11</v>
      </c>
      <c r="D878" s="6" t="s">
        <v>19</v>
      </c>
      <c r="E878" s="4" t="s">
        <v>13</v>
      </c>
      <c r="F878" s="3">
        <v>1165000000</v>
      </c>
      <c r="G878" s="11" t="s">
        <v>216</v>
      </c>
      <c r="H878" s="11" t="s">
        <v>215</v>
      </c>
      <c r="I878" s="4">
        <v>4</v>
      </c>
      <c r="J878" s="4" t="s">
        <v>16</v>
      </c>
      <c r="K878" s="71">
        <v>4</v>
      </c>
      <c r="L878" t="s">
        <v>17</v>
      </c>
      <c r="M878" s="5">
        <f>K878/7</f>
        <v>0.5714285714285714</v>
      </c>
    </row>
    <row r="879" spans="1:13" x14ac:dyDescent="0.25">
      <c r="A879" s="16">
        <v>2058</v>
      </c>
      <c r="B879" s="6" t="s">
        <v>18</v>
      </c>
      <c r="C879" s="6" t="s">
        <v>11</v>
      </c>
      <c r="D879" s="6" t="s">
        <v>19</v>
      </c>
      <c r="E879" s="4" t="s">
        <v>13</v>
      </c>
      <c r="F879" s="3">
        <v>2814003000</v>
      </c>
      <c r="G879" s="11" t="s">
        <v>201</v>
      </c>
      <c r="H879" s="11" t="s">
        <v>337</v>
      </c>
      <c r="I879" s="4" t="s">
        <v>203</v>
      </c>
      <c r="J879" s="4" t="s">
        <v>204</v>
      </c>
      <c r="K879" s="71">
        <v>3</v>
      </c>
      <c r="L879" t="s">
        <v>21</v>
      </c>
      <c r="M879" s="5">
        <f>K879/30</f>
        <v>0.1</v>
      </c>
    </row>
    <row r="880" spans="1:13" x14ac:dyDescent="0.25">
      <c r="A880" s="16">
        <v>2059</v>
      </c>
      <c r="B880" s="6" t="s">
        <v>18</v>
      </c>
      <c r="C880" s="6" t="s">
        <v>11</v>
      </c>
      <c r="D880" s="6" t="s">
        <v>19</v>
      </c>
      <c r="E880" s="4" t="s">
        <v>13</v>
      </c>
      <c r="F880" s="3">
        <v>3207012000</v>
      </c>
      <c r="G880" s="11" t="s">
        <v>452</v>
      </c>
      <c r="H880" s="11" t="s">
        <v>456</v>
      </c>
      <c r="I880" s="4" t="s">
        <v>485</v>
      </c>
      <c r="J880" s="4" t="s">
        <v>235</v>
      </c>
      <c r="K880" s="71">
        <v>2</v>
      </c>
      <c r="L880" t="s">
        <v>17</v>
      </c>
      <c r="M880" s="5">
        <f>K880/7</f>
        <v>0.2857142857142857</v>
      </c>
    </row>
    <row r="881" spans="1:13" x14ac:dyDescent="0.25">
      <c r="A881" s="16">
        <v>2062</v>
      </c>
      <c r="B881" s="6" t="s">
        <v>18</v>
      </c>
      <c r="C881" s="6" t="s">
        <v>11</v>
      </c>
      <c r="E881" s="4" t="s">
        <v>13</v>
      </c>
      <c r="F881" s="3">
        <v>3042104001</v>
      </c>
      <c r="G881" s="11" t="s">
        <v>205</v>
      </c>
      <c r="H881" s="11" t="s">
        <v>337</v>
      </c>
      <c r="I881" s="4" t="s">
        <v>207</v>
      </c>
      <c r="J881" s="4" t="s">
        <v>143</v>
      </c>
      <c r="K881" s="71">
        <v>2</v>
      </c>
      <c r="L881" t="s">
        <v>37</v>
      </c>
      <c r="M881" s="5">
        <f>K881</f>
        <v>2</v>
      </c>
    </row>
    <row r="882" spans="1:13" x14ac:dyDescent="0.25">
      <c r="A882" s="16">
        <v>2063</v>
      </c>
      <c r="B882" s="6" t="s">
        <v>18</v>
      </c>
      <c r="C882" s="6" t="s">
        <v>11</v>
      </c>
      <c r="D882" s="6" t="s">
        <v>19</v>
      </c>
      <c r="E882" s="4" t="s">
        <v>13</v>
      </c>
      <c r="F882" s="3">
        <v>165001000</v>
      </c>
      <c r="G882" s="11" t="s">
        <v>319</v>
      </c>
      <c r="H882" s="11" t="s">
        <v>338</v>
      </c>
      <c r="I882" s="4" t="s">
        <v>321</v>
      </c>
      <c r="J882" s="4" t="s">
        <v>17</v>
      </c>
      <c r="K882" s="71">
        <v>10</v>
      </c>
      <c r="L882" t="s">
        <v>17</v>
      </c>
      <c r="M882" s="5">
        <f>K882/7</f>
        <v>1.4285714285714286</v>
      </c>
    </row>
    <row r="883" spans="1:13" x14ac:dyDescent="0.25">
      <c r="A883" s="29">
        <v>2064</v>
      </c>
      <c r="B883" s="40" t="s">
        <v>18</v>
      </c>
      <c r="C883" s="40" t="s">
        <v>11</v>
      </c>
      <c r="D883" s="40" t="s">
        <v>19</v>
      </c>
      <c r="E883" s="10" t="s">
        <v>13</v>
      </c>
      <c r="F883" s="61">
        <v>3118001000</v>
      </c>
      <c r="G883" s="12" t="s">
        <v>480</v>
      </c>
      <c r="H883" s="9"/>
      <c r="I883" s="64" t="s">
        <v>495</v>
      </c>
      <c r="J883" s="10"/>
      <c r="K883" s="107">
        <v>0</v>
      </c>
      <c r="L883" s="9">
        <f>J883</f>
        <v>0</v>
      </c>
      <c r="M883" s="13"/>
    </row>
    <row r="884" spans="1:13" ht="45" x14ac:dyDescent="0.25">
      <c r="A884" s="91">
        <v>2065</v>
      </c>
      <c r="B884" s="39" t="s">
        <v>18</v>
      </c>
      <c r="C884" s="39" t="s">
        <v>11</v>
      </c>
      <c r="D884" s="39" t="s">
        <v>41</v>
      </c>
      <c r="E884" s="7" t="s">
        <v>13</v>
      </c>
      <c r="F884" s="57">
        <v>1493003000</v>
      </c>
      <c r="G884" s="33" t="s">
        <v>315</v>
      </c>
      <c r="H884" s="8" t="s">
        <v>338</v>
      </c>
      <c r="I884" s="7"/>
      <c r="J884" s="36" t="s">
        <v>539</v>
      </c>
      <c r="K884" s="106"/>
      <c r="L884" s="8"/>
      <c r="M884" s="30"/>
    </row>
    <row r="885" spans="1:13" x14ac:dyDescent="0.25">
      <c r="A885" s="16">
        <v>2071</v>
      </c>
      <c r="B885" s="6" t="s">
        <v>18</v>
      </c>
      <c r="C885" s="6" t="s">
        <v>11</v>
      </c>
      <c r="D885" s="6" t="s">
        <v>41</v>
      </c>
      <c r="E885" s="4" t="s">
        <v>13</v>
      </c>
      <c r="F885" s="3">
        <v>1165000000</v>
      </c>
      <c r="G885" s="11" t="s">
        <v>216</v>
      </c>
      <c r="H885" s="11" t="s">
        <v>215</v>
      </c>
      <c r="I885" s="4">
        <v>4</v>
      </c>
      <c r="J885" s="4" t="s">
        <v>16</v>
      </c>
      <c r="K885" s="71">
        <v>4</v>
      </c>
      <c r="L885" t="s">
        <v>17</v>
      </c>
      <c r="M885" s="5">
        <f>K885/7</f>
        <v>0.5714285714285714</v>
      </c>
    </row>
    <row r="886" spans="1:13" x14ac:dyDescent="0.25">
      <c r="A886" s="16">
        <v>2072</v>
      </c>
      <c r="B886" s="6" t="s">
        <v>18</v>
      </c>
      <c r="C886" s="6" t="s">
        <v>11</v>
      </c>
      <c r="D886" s="6" t="s">
        <v>41</v>
      </c>
      <c r="E886" s="4" t="s">
        <v>13</v>
      </c>
      <c r="F886" s="3">
        <v>165001000</v>
      </c>
      <c r="G886" s="11" t="s">
        <v>319</v>
      </c>
      <c r="H886" s="11" t="s">
        <v>338</v>
      </c>
      <c r="I886" s="4" t="s">
        <v>321</v>
      </c>
      <c r="J886" s="4" t="s">
        <v>17</v>
      </c>
      <c r="K886" s="71">
        <v>10</v>
      </c>
      <c r="L886" t="s">
        <v>17</v>
      </c>
      <c r="M886" s="5">
        <f>K886/7</f>
        <v>1.4285714285714286</v>
      </c>
    </row>
    <row r="887" spans="1:13" x14ac:dyDescent="0.25">
      <c r="A887" s="16">
        <v>2073</v>
      </c>
      <c r="B887" s="6" t="s">
        <v>18</v>
      </c>
      <c r="C887" s="6" t="s">
        <v>11</v>
      </c>
      <c r="D887" s="6" t="s">
        <v>41</v>
      </c>
      <c r="E887" s="4" t="s">
        <v>13</v>
      </c>
      <c r="F887" s="3">
        <v>2126001000</v>
      </c>
      <c r="G887" s="11" t="s">
        <v>264</v>
      </c>
      <c r="H887" t="s">
        <v>265</v>
      </c>
      <c r="I887" s="4" t="s">
        <v>231</v>
      </c>
      <c r="J887" s="4" t="s">
        <v>231</v>
      </c>
      <c r="K887" s="71">
        <v>0</v>
      </c>
      <c r="L887" t="str">
        <f>J887</f>
        <v>back up</v>
      </c>
      <c r="M887" s="5">
        <v>0</v>
      </c>
    </row>
    <row r="888" spans="1:13" x14ac:dyDescent="0.25">
      <c r="A888" s="16">
        <v>2074</v>
      </c>
      <c r="B888" s="6" t="s">
        <v>18</v>
      </c>
      <c r="C888" s="6" t="s">
        <v>11</v>
      </c>
      <c r="D888" s="6" t="s">
        <v>19</v>
      </c>
      <c r="E888" s="4" t="s">
        <v>13</v>
      </c>
      <c r="F888" s="3">
        <v>1848001000</v>
      </c>
      <c r="G888" s="11" t="s">
        <v>413</v>
      </c>
      <c r="H888" s="11" t="s">
        <v>407</v>
      </c>
      <c r="I888" s="4" t="s">
        <v>290</v>
      </c>
      <c r="J888" s="4" t="s">
        <v>381</v>
      </c>
      <c r="K888" s="71">
        <v>1</v>
      </c>
      <c r="L888" t="s">
        <v>37</v>
      </c>
      <c r="M888" s="5">
        <f>K888</f>
        <v>1</v>
      </c>
    </row>
    <row r="889" spans="1:13" x14ac:dyDescent="0.25">
      <c r="A889" s="16">
        <v>2075</v>
      </c>
      <c r="B889" s="6" t="s">
        <v>18</v>
      </c>
      <c r="C889" s="6" t="s">
        <v>11</v>
      </c>
      <c r="D889" s="6" t="s">
        <v>41</v>
      </c>
      <c r="E889" s="4" t="s">
        <v>13</v>
      </c>
      <c r="F889" s="3">
        <v>1023000</v>
      </c>
      <c r="G889" s="11" t="s">
        <v>311</v>
      </c>
      <c r="H889" t="s">
        <v>338</v>
      </c>
      <c r="I889" s="4" t="s">
        <v>231</v>
      </c>
      <c r="J889" s="4" t="s">
        <v>231</v>
      </c>
      <c r="K889" s="71">
        <v>0</v>
      </c>
      <c r="L889" t="str">
        <f>J889</f>
        <v>back up</v>
      </c>
      <c r="M889" s="5">
        <v>0</v>
      </c>
    </row>
    <row r="890" spans="1:13" x14ac:dyDescent="0.25">
      <c r="A890" s="16">
        <v>2076</v>
      </c>
      <c r="B890" s="6" t="s">
        <v>18</v>
      </c>
      <c r="C890" s="6" t="s">
        <v>11</v>
      </c>
      <c r="D890" s="6" t="s">
        <v>41</v>
      </c>
      <c r="E890" s="4" t="s">
        <v>13</v>
      </c>
      <c r="F890" s="3">
        <v>2958001000</v>
      </c>
      <c r="G890" s="11" t="s">
        <v>367</v>
      </c>
      <c r="H890" s="11" t="s">
        <v>350</v>
      </c>
      <c r="I890" s="4" t="s">
        <v>296</v>
      </c>
      <c r="J890" s="4" t="s">
        <v>352</v>
      </c>
      <c r="K890" s="105">
        <f>40/60</f>
        <v>0.66666666666666663</v>
      </c>
      <c r="L890" t="s">
        <v>17</v>
      </c>
      <c r="M890" s="5">
        <f>K890/7</f>
        <v>9.5238095238095233E-2</v>
      </c>
    </row>
    <row r="891" spans="1:13" x14ac:dyDescent="0.25">
      <c r="A891" s="16">
        <v>2077</v>
      </c>
      <c r="B891" s="6" t="s">
        <v>18</v>
      </c>
      <c r="C891" s="6" t="s">
        <v>11</v>
      </c>
      <c r="D891" s="6" t="s">
        <v>41</v>
      </c>
      <c r="E891" s="4" t="s">
        <v>13</v>
      </c>
      <c r="F891" s="3">
        <v>3116001000</v>
      </c>
      <c r="G891" s="11" t="s">
        <v>96</v>
      </c>
      <c r="H891" s="11" t="s">
        <v>64</v>
      </c>
      <c r="I891" s="4">
        <v>15</v>
      </c>
      <c r="J891" s="4" t="s">
        <v>99</v>
      </c>
      <c r="K891" s="71">
        <v>15</v>
      </c>
      <c r="L891" t="s">
        <v>21</v>
      </c>
      <c r="M891" s="5">
        <f>K891/30</f>
        <v>0.5</v>
      </c>
    </row>
    <row r="892" spans="1:13" x14ac:dyDescent="0.25">
      <c r="A892" s="16">
        <v>2078</v>
      </c>
      <c r="B892" s="6" t="s">
        <v>18</v>
      </c>
      <c r="C892" s="6" t="s">
        <v>11</v>
      </c>
      <c r="D892" s="6" t="s">
        <v>41</v>
      </c>
      <c r="E892" s="4" t="s">
        <v>66</v>
      </c>
      <c r="F892" s="3">
        <v>153001000</v>
      </c>
      <c r="G892" s="11" t="s">
        <v>63</v>
      </c>
      <c r="H892" s="11" t="s">
        <v>64</v>
      </c>
      <c r="I892" s="4">
        <v>8</v>
      </c>
      <c r="J892" s="4" t="s">
        <v>67</v>
      </c>
      <c r="K892" s="71">
        <v>8</v>
      </c>
      <c r="L892" t="s">
        <v>21</v>
      </c>
      <c r="M892" s="5">
        <f>K892/30</f>
        <v>0.26666666666666666</v>
      </c>
    </row>
    <row r="893" spans="1:13" x14ac:dyDescent="0.25">
      <c r="A893" s="16">
        <v>2079</v>
      </c>
      <c r="B893" s="6" t="s">
        <v>18</v>
      </c>
      <c r="C893" s="6" t="s">
        <v>11</v>
      </c>
      <c r="D893" s="6" t="s">
        <v>41</v>
      </c>
      <c r="E893" s="4" t="s">
        <v>13</v>
      </c>
      <c r="F893" s="3">
        <v>2548050000</v>
      </c>
      <c r="G893" s="11" t="s">
        <v>530</v>
      </c>
      <c r="H893" s="11" t="s">
        <v>337</v>
      </c>
      <c r="I893" s="4" t="s">
        <v>144</v>
      </c>
      <c r="J893" s="4" t="s">
        <v>487</v>
      </c>
      <c r="K893" s="71">
        <v>1</v>
      </c>
      <c r="L893" t="s">
        <v>17</v>
      </c>
      <c r="M893" s="5">
        <f>K893/7</f>
        <v>0.14285714285714285</v>
      </c>
    </row>
    <row r="894" spans="1:13" x14ac:dyDescent="0.25">
      <c r="A894" s="16">
        <v>2081</v>
      </c>
      <c r="B894" s="3" t="s">
        <v>10</v>
      </c>
      <c r="C894" s="3" t="s">
        <v>376</v>
      </c>
      <c r="D894" s="3" t="s">
        <v>377</v>
      </c>
      <c r="E894" s="4" t="s">
        <v>13</v>
      </c>
      <c r="F894" s="3">
        <v>3319002000</v>
      </c>
      <c r="G894" t="s">
        <v>848</v>
      </c>
      <c r="H894" s="4" t="s">
        <v>845</v>
      </c>
      <c r="I894" s="4">
        <v>20</v>
      </c>
      <c r="J894" s="4" t="s">
        <v>135</v>
      </c>
      <c r="K894" s="71">
        <v>20</v>
      </c>
      <c r="L894" t="s">
        <v>21</v>
      </c>
      <c r="M894">
        <f>K894/30</f>
        <v>0.66666666666666663</v>
      </c>
    </row>
    <row r="895" spans="1:13" x14ac:dyDescent="0.25">
      <c r="A895" s="16">
        <v>2082</v>
      </c>
      <c r="B895" s="6" t="s">
        <v>10</v>
      </c>
      <c r="C895" s="6" t="s">
        <v>376</v>
      </c>
      <c r="D895" s="6" t="s">
        <v>377</v>
      </c>
      <c r="E895" s="4" t="s">
        <v>13</v>
      </c>
      <c r="F895" s="3">
        <v>3042082002</v>
      </c>
      <c r="G895" s="11" t="s">
        <v>378</v>
      </c>
      <c r="H895" t="s">
        <v>350</v>
      </c>
      <c r="I895" s="4" t="s">
        <v>231</v>
      </c>
      <c r="J895" s="4" t="s">
        <v>231</v>
      </c>
      <c r="K895" s="71">
        <v>0</v>
      </c>
      <c r="L895" t="str">
        <f>J895</f>
        <v>back up</v>
      </c>
      <c r="M895" s="5">
        <f>K895</f>
        <v>0</v>
      </c>
    </row>
    <row r="896" spans="1:13" x14ac:dyDescent="0.25">
      <c r="A896" s="16">
        <v>2083</v>
      </c>
      <c r="B896" s="3" t="s">
        <v>10</v>
      </c>
      <c r="C896" s="3" t="s">
        <v>68</v>
      </c>
      <c r="D896" s="3" t="s">
        <v>69</v>
      </c>
      <c r="E896" s="4" t="s">
        <v>13</v>
      </c>
      <c r="F896" s="3">
        <v>2341002000</v>
      </c>
      <c r="G896" t="s">
        <v>831</v>
      </c>
      <c r="H896" s="11" t="s">
        <v>829</v>
      </c>
      <c r="I896" s="4">
        <v>10</v>
      </c>
      <c r="J896" s="4" t="s">
        <v>115</v>
      </c>
      <c r="K896" s="71">
        <v>10</v>
      </c>
      <c r="L896" t="s">
        <v>21</v>
      </c>
      <c r="M896" s="5">
        <f>K896/30</f>
        <v>0.33333333333333331</v>
      </c>
    </row>
    <row r="897" spans="1:13" x14ac:dyDescent="0.25">
      <c r="A897" s="16">
        <v>2084</v>
      </c>
      <c r="B897" s="6" t="s">
        <v>10</v>
      </c>
      <c r="C897" s="6" t="s">
        <v>68</v>
      </c>
      <c r="D897" s="6" t="s">
        <v>69</v>
      </c>
      <c r="E897" s="4" t="s">
        <v>13</v>
      </c>
      <c r="F897" s="3">
        <v>66011000</v>
      </c>
      <c r="G897" s="11" t="s">
        <v>440</v>
      </c>
      <c r="H897" s="11" t="s">
        <v>521</v>
      </c>
      <c r="I897" s="4" t="s">
        <v>242</v>
      </c>
      <c r="J897" s="4" t="s">
        <v>523</v>
      </c>
      <c r="K897" s="71">
        <v>1</v>
      </c>
      <c r="L897" t="s">
        <v>17</v>
      </c>
      <c r="M897" s="5">
        <f>K897/7</f>
        <v>0.14285714285714285</v>
      </c>
    </row>
    <row r="898" spans="1:13" x14ac:dyDescent="0.25">
      <c r="A898" s="16">
        <v>2090</v>
      </c>
      <c r="B898" s="6" t="s">
        <v>10</v>
      </c>
      <c r="C898" s="6" t="s">
        <v>68</v>
      </c>
      <c r="D898" s="6" t="s">
        <v>69</v>
      </c>
      <c r="E898" s="4" t="s">
        <v>13</v>
      </c>
      <c r="F898" s="3">
        <v>2126001000</v>
      </c>
      <c r="G898" s="11" t="s">
        <v>264</v>
      </c>
      <c r="H898" t="s">
        <v>265</v>
      </c>
      <c r="I898" s="4" t="s">
        <v>231</v>
      </c>
      <c r="J898" s="4" t="s">
        <v>231</v>
      </c>
      <c r="K898" s="71">
        <v>0</v>
      </c>
      <c r="L898" t="str">
        <f>J898</f>
        <v>back up</v>
      </c>
      <c r="M898" s="5">
        <v>0</v>
      </c>
    </row>
    <row r="899" spans="1:13" x14ac:dyDescent="0.25">
      <c r="A899" s="16">
        <v>2092</v>
      </c>
      <c r="B899" s="6" t="s">
        <v>10</v>
      </c>
      <c r="C899" s="6" t="s">
        <v>68</v>
      </c>
      <c r="D899" s="6" t="s">
        <v>69</v>
      </c>
      <c r="E899" s="4" t="s">
        <v>13</v>
      </c>
      <c r="F899" s="3">
        <v>3082001000</v>
      </c>
      <c r="G899" s="11" t="s">
        <v>430</v>
      </c>
      <c r="H899" s="11" t="s">
        <v>428</v>
      </c>
      <c r="I899" s="4">
        <v>1</v>
      </c>
      <c r="J899" s="4" t="s">
        <v>487</v>
      </c>
      <c r="K899" s="71">
        <v>1</v>
      </c>
      <c r="L899" t="s">
        <v>17</v>
      </c>
      <c r="M899" s="5">
        <f>K899/7</f>
        <v>0.14285714285714285</v>
      </c>
    </row>
    <row r="900" spans="1:13" x14ac:dyDescent="0.25">
      <c r="A900" s="125">
        <v>2101</v>
      </c>
      <c r="B900" s="46" t="s">
        <v>10</v>
      </c>
      <c r="C900" s="46" t="s">
        <v>186</v>
      </c>
      <c r="D900" s="46" t="s">
        <v>704</v>
      </c>
      <c r="E900" s="46" t="s">
        <v>13</v>
      </c>
      <c r="F900" s="35">
        <v>1000002</v>
      </c>
      <c r="G900" t="s">
        <v>576</v>
      </c>
      <c r="H900" s="4"/>
      <c r="J900" s="71"/>
      <c r="K900"/>
      <c r="L900" s="5"/>
      <c r="M900"/>
    </row>
    <row r="901" spans="1:13" x14ac:dyDescent="0.25">
      <c r="A901" s="125">
        <v>2110</v>
      </c>
      <c r="B901" s="46" t="s">
        <v>10</v>
      </c>
      <c r="C901" s="46" t="s">
        <v>68</v>
      </c>
      <c r="D901" s="46" t="s">
        <v>69</v>
      </c>
      <c r="E901" s="4" t="s">
        <v>13</v>
      </c>
      <c r="F901" s="46">
        <v>1165000000</v>
      </c>
      <c r="G901" t="s">
        <v>559</v>
      </c>
      <c r="H901" t="s">
        <v>856</v>
      </c>
      <c r="I901" s="4" t="s">
        <v>493</v>
      </c>
      <c r="J901" s="4" t="s">
        <v>523</v>
      </c>
      <c r="K901" s="71">
        <v>2</v>
      </c>
      <c r="L901" t="s">
        <v>17</v>
      </c>
      <c r="M901" s="5">
        <f>K901/7</f>
        <v>0.2857142857142857</v>
      </c>
    </row>
    <row r="902" spans="1:13" x14ac:dyDescent="0.25">
      <c r="A902" s="16">
        <v>2111</v>
      </c>
      <c r="B902" s="6" t="s">
        <v>10</v>
      </c>
      <c r="C902" s="6" t="s">
        <v>68</v>
      </c>
      <c r="D902" s="6" t="s">
        <v>69</v>
      </c>
      <c r="E902" s="4" t="s">
        <v>13</v>
      </c>
      <c r="F902" s="3">
        <v>1652002001</v>
      </c>
      <c r="G902" s="11" t="s">
        <v>292</v>
      </c>
      <c r="H902" s="11" t="s">
        <v>338</v>
      </c>
      <c r="I902" s="4" t="s">
        <v>294</v>
      </c>
      <c r="J902" s="4" t="s">
        <v>293</v>
      </c>
      <c r="K902" s="71">
        <v>0.5</v>
      </c>
      <c r="L902" t="s">
        <v>17</v>
      </c>
      <c r="M902" s="5">
        <f>K902/7</f>
        <v>7.1428571428571425E-2</v>
      </c>
    </row>
    <row r="903" spans="1:13" x14ac:dyDescent="0.25">
      <c r="A903" s="16">
        <v>2112</v>
      </c>
      <c r="B903" s="6" t="s">
        <v>10</v>
      </c>
      <c r="C903" s="6" t="s">
        <v>133</v>
      </c>
      <c r="E903" s="4" t="s">
        <v>13</v>
      </c>
      <c r="F903" s="46">
        <v>153006000</v>
      </c>
      <c r="G903" s="11" t="s">
        <v>134</v>
      </c>
      <c r="H903" s="11" t="s">
        <v>64</v>
      </c>
      <c r="I903" s="4">
        <v>20</v>
      </c>
      <c r="J903" s="4" t="s">
        <v>135</v>
      </c>
      <c r="K903" s="71">
        <v>20</v>
      </c>
      <c r="L903" t="s">
        <v>21</v>
      </c>
      <c r="M903" s="5">
        <f>K903/30</f>
        <v>0.66666666666666663</v>
      </c>
    </row>
    <row r="904" spans="1:13" x14ac:dyDescent="0.25">
      <c r="A904" s="100">
        <v>2113</v>
      </c>
      <c r="B904" s="46" t="s">
        <v>10</v>
      </c>
      <c r="C904" s="46" t="s">
        <v>68</v>
      </c>
      <c r="D904" s="46" t="s">
        <v>69</v>
      </c>
      <c r="E904" s="4" t="s">
        <v>13</v>
      </c>
      <c r="F904" s="46">
        <v>1165116000</v>
      </c>
      <c r="G904" t="s">
        <v>705</v>
      </c>
      <c r="H904" t="s">
        <v>856</v>
      </c>
      <c r="M904"/>
    </row>
    <row r="905" spans="1:13" x14ac:dyDescent="0.25">
      <c r="A905" s="16">
        <v>2116</v>
      </c>
      <c r="B905" s="6" t="s">
        <v>70</v>
      </c>
      <c r="C905" s="6" t="s">
        <v>11</v>
      </c>
      <c r="D905" s="6" t="s">
        <v>19</v>
      </c>
      <c r="E905" s="4" t="s">
        <v>13</v>
      </c>
      <c r="F905" s="3">
        <v>18001000</v>
      </c>
      <c r="G905" t="s">
        <v>823</v>
      </c>
      <c r="H905" t="s">
        <v>64</v>
      </c>
      <c r="I905" s="4" t="s">
        <v>231</v>
      </c>
      <c r="J905" s="4" t="s">
        <v>231</v>
      </c>
      <c r="K905" s="71">
        <v>0</v>
      </c>
      <c r="L905" t="str">
        <f>J905</f>
        <v>back up</v>
      </c>
      <c r="M905" s="5">
        <v>0</v>
      </c>
    </row>
    <row r="906" spans="1:13" x14ac:dyDescent="0.25">
      <c r="A906" s="123">
        <v>2118</v>
      </c>
      <c r="B906" s="79" t="s">
        <v>18</v>
      </c>
      <c r="C906" s="79" t="s">
        <v>11</v>
      </c>
      <c r="D906" s="79" t="s">
        <v>19</v>
      </c>
      <c r="E906" s="4" t="s">
        <v>13</v>
      </c>
      <c r="F906" s="76">
        <v>1925010000</v>
      </c>
      <c r="G906" t="s">
        <v>706</v>
      </c>
      <c r="H906" t="s">
        <v>887</v>
      </c>
      <c r="I906" s="4" t="s">
        <v>1062</v>
      </c>
      <c r="J906" s="4" t="s">
        <v>1062</v>
      </c>
      <c r="K906" s="71">
        <v>0</v>
      </c>
      <c r="L906" t="str">
        <f>J906</f>
        <v xml:space="preserve">A pedido </v>
      </c>
      <c r="M906" s="5">
        <v>0</v>
      </c>
    </row>
    <row r="907" spans="1:13" x14ac:dyDescent="0.25">
      <c r="A907" s="16">
        <v>2128</v>
      </c>
      <c r="B907" s="6" t="s">
        <v>18</v>
      </c>
      <c r="C907" s="6" t="s">
        <v>39</v>
      </c>
      <c r="D907" s="6" t="s">
        <v>81</v>
      </c>
      <c r="E907" s="4" t="s">
        <v>13</v>
      </c>
      <c r="F907" s="3">
        <v>18001000</v>
      </c>
      <c r="G907" t="s">
        <v>824</v>
      </c>
      <c r="H907" s="11" t="s">
        <v>64</v>
      </c>
      <c r="I907" s="4">
        <v>20</v>
      </c>
      <c r="J907" s="4" t="s">
        <v>75</v>
      </c>
      <c r="K907" s="71">
        <v>20</v>
      </c>
      <c r="L907" t="s">
        <v>21</v>
      </c>
      <c r="M907" s="5">
        <f>K907/30</f>
        <v>0.66666666666666663</v>
      </c>
    </row>
    <row r="908" spans="1:13" x14ac:dyDescent="0.25">
      <c r="A908" s="16">
        <v>2133</v>
      </c>
      <c r="B908" s="6" t="s">
        <v>18</v>
      </c>
      <c r="C908" s="6" t="s">
        <v>39</v>
      </c>
      <c r="D908" s="6">
        <v>1014</v>
      </c>
      <c r="E908" s="4" t="s">
        <v>13</v>
      </c>
      <c r="F908" s="3">
        <v>2126001000</v>
      </c>
      <c r="G908" s="11" t="s">
        <v>264</v>
      </c>
      <c r="H908" t="s">
        <v>265</v>
      </c>
      <c r="I908" s="4" t="s">
        <v>231</v>
      </c>
      <c r="J908" s="4" t="s">
        <v>231</v>
      </c>
      <c r="K908" s="71">
        <v>0</v>
      </c>
      <c r="L908" t="str">
        <f>J908</f>
        <v>back up</v>
      </c>
      <c r="M908" s="5">
        <v>0</v>
      </c>
    </row>
    <row r="909" spans="1:13" x14ac:dyDescent="0.25">
      <c r="A909" s="125">
        <v>2134</v>
      </c>
      <c r="B909" s="46" t="s">
        <v>18</v>
      </c>
      <c r="C909" s="46" t="s">
        <v>39</v>
      </c>
      <c r="D909" s="46" t="s">
        <v>40</v>
      </c>
      <c r="E909" s="4" t="s">
        <v>13</v>
      </c>
      <c r="F909" s="46">
        <v>43002000</v>
      </c>
      <c r="G909" t="s">
        <v>640</v>
      </c>
      <c r="H909" t="s">
        <v>504</v>
      </c>
      <c r="I909" s="4" t="s">
        <v>494</v>
      </c>
      <c r="J909" s="4" t="s">
        <v>523</v>
      </c>
      <c r="K909" s="71">
        <v>4</v>
      </c>
      <c r="L909" t="s">
        <v>17</v>
      </c>
      <c r="M909" s="5">
        <f>K909/7</f>
        <v>0.5714285714285714</v>
      </c>
    </row>
    <row r="910" spans="1:13" x14ac:dyDescent="0.25">
      <c r="A910" s="100">
        <v>2146</v>
      </c>
      <c r="B910" s="72" t="s">
        <v>18</v>
      </c>
      <c r="C910" s="72" t="s">
        <v>39</v>
      </c>
      <c r="D910" s="72" t="s">
        <v>40</v>
      </c>
      <c r="E910" s="4" t="s">
        <v>13</v>
      </c>
      <c r="F910" s="72">
        <v>2081002000</v>
      </c>
      <c r="G910" s="9" t="s">
        <v>707</v>
      </c>
      <c r="H910" s="9" t="s">
        <v>868</v>
      </c>
      <c r="M910"/>
    </row>
    <row r="911" spans="1:13" x14ac:dyDescent="0.25">
      <c r="A911" s="124">
        <v>2146</v>
      </c>
      <c r="B911" s="77" t="s">
        <v>18</v>
      </c>
      <c r="C911" s="77" t="s">
        <v>39</v>
      </c>
      <c r="D911" s="77" t="s">
        <v>40</v>
      </c>
      <c r="E911" s="4" t="s">
        <v>13</v>
      </c>
      <c r="F911" s="77">
        <v>2081002000</v>
      </c>
      <c r="G911" s="9" t="s">
        <v>707</v>
      </c>
      <c r="H911" s="9" t="s">
        <v>868</v>
      </c>
      <c r="M911"/>
    </row>
    <row r="912" spans="1:13" x14ac:dyDescent="0.25">
      <c r="A912" s="16">
        <v>2153</v>
      </c>
      <c r="B912" s="6" t="s">
        <v>206</v>
      </c>
      <c r="C912" s="6" t="s">
        <v>39</v>
      </c>
      <c r="E912" s="4" t="s">
        <v>13</v>
      </c>
      <c r="F912" s="3">
        <v>3042104001</v>
      </c>
      <c r="G912" s="11" t="s">
        <v>205</v>
      </c>
      <c r="H912" s="11" t="s">
        <v>337</v>
      </c>
      <c r="I912" s="4" t="s">
        <v>138</v>
      </c>
      <c r="J912" s="4" t="s">
        <v>143</v>
      </c>
      <c r="K912" s="71">
        <v>2</v>
      </c>
      <c r="L912" t="s">
        <v>37</v>
      </c>
      <c r="M912" s="5">
        <f>K912</f>
        <v>2</v>
      </c>
    </row>
    <row r="913" spans="1:13" x14ac:dyDescent="0.25">
      <c r="A913" s="16">
        <v>2155</v>
      </c>
      <c r="B913" s="46" t="s">
        <v>31</v>
      </c>
      <c r="C913" s="46" t="s">
        <v>709</v>
      </c>
      <c r="D913" s="46" t="s">
        <v>710</v>
      </c>
      <c r="E913" s="4" t="s">
        <v>13</v>
      </c>
      <c r="F913" s="46">
        <v>1014001</v>
      </c>
      <c r="G913" t="s">
        <v>543</v>
      </c>
      <c r="M913"/>
    </row>
    <row r="914" spans="1:13" x14ac:dyDescent="0.25">
      <c r="A914" s="16">
        <v>2175</v>
      </c>
      <c r="B914" s="6" t="s">
        <v>199</v>
      </c>
      <c r="C914" s="6" t="s">
        <v>200</v>
      </c>
      <c r="D914" s="6" t="s">
        <v>40</v>
      </c>
      <c r="E914" s="4" t="s">
        <v>13</v>
      </c>
      <c r="F914" s="3">
        <v>2514001000</v>
      </c>
      <c r="G914" s="11" t="s">
        <v>435</v>
      </c>
      <c r="H914" t="s">
        <v>428</v>
      </c>
      <c r="I914" s="4" t="s">
        <v>231</v>
      </c>
      <c r="J914" s="4" t="s">
        <v>231</v>
      </c>
      <c r="K914" s="71">
        <v>0</v>
      </c>
      <c r="L914" t="str">
        <f>J914</f>
        <v>back up</v>
      </c>
      <c r="M914" s="5">
        <f>K914</f>
        <v>0</v>
      </c>
    </row>
    <row r="915" spans="1:13" x14ac:dyDescent="0.25">
      <c r="A915" s="16">
        <v>2180</v>
      </c>
      <c r="B915" s="6" t="s">
        <v>70</v>
      </c>
      <c r="C915" s="6" t="s">
        <v>11</v>
      </c>
      <c r="D915" s="6" t="s">
        <v>19</v>
      </c>
      <c r="E915" s="4" t="s">
        <v>13</v>
      </c>
      <c r="F915" s="3">
        <v>2126001000</v>
      </c>
      <c r="G915" s="11" t="s">
        <v>264</v>
      </c>
      <c r="H915" t="s">
        <v>265</v>
      </c>
      <c r="I915" s="4" t="s">
        <v>231</v>
      </c>
      <c r="J915" s="4" t="s">
        <v>231</v>
      </c>
      <c r="K915" s="71">
        <v>0</v>
      </c>
      <c r="L915" t="str">
        <f>J915</f>
        <v>back up</v>
      </c>
      <c r="M915" s="5">
        <v>0</v>
      </c>
    </row>
    <row r="916" spans="1:13" x14ac:dyDescent="0.25">
      <c r="A916" s="16">
        <v>2182</v>
      </c>
      <c r="B916" s="6" t="s">
        <v>18</v>
      </c>
      <c r="C916" s="6" t="s">
        <v>22</v>
      </c>
      <c r="D916" s="6">
        <v>1700</v>
      </c>
      <c r="E916" s="4" t="s">
        <v>13</v>
      </c>
      <c r="F916" s="3">
        <v>3135005000</v>
      </c>
      <c r="G916" s="11" t="s">
        <v>410</v>
      </c>
      <c r="H916" s="11" t="s">
        <v>407</v>
      </c>
      <c r="I916" s="4" t="s">
        <v>280</v>
      </c>
      <c r="J916" s="4" t="s">
        <v>352</v>
      </c>
      <c r="K916" s="71">
        <v>2</v>
      </c>
      <c r="L916" t="s">
        <v>17</v>
      </c>
      <c r="M916" s="5">
        <f>K916/7</f>
        <v>0.2857142857142857</v>
      </c>
    </row>
    <row r="917" spans="1:13" x14ac:dyDescent="0.25">
      <c r="A917" s="125">
        <v>2183</v>
      </c>
      <c r="B917" s="46" t="s">
        <v>10</v>
      </c>
      <c r="C917" s="46" t="s">
        <v>11</v>
      </c>
      <c r="D917" s="46" t="s">
        <v>26</v>
      </c>
      <c r="E917" s="4" t="s">
        <v>13</v>
      </c>
      <c r="F917" s="46">
        <v>43006000</v>
      </c>
      <c r="G917" t="s">
        <v>555</v>
      </c>
      <c r="H917" t="s">
        <v>504</v>
      </c>
      <c r="I917" s="4" t="s">
        <v>494</v>
      </c>
      <c r="J917" s="4" t="s">
        <v>523</v>
      </c>
      <c r="K917" s="71">
        <v>4</v>
      </c>
      <c r="L917" t="s">
        <v>17</v>
      </c>
      <c r="M917" s="5">
        <f>K917/7</f>
        <v>0.5714285714285714</v>
      </c>
    </row>
    <row r="918" spans="1:13" x14ac:dyDescent="0.25">
      <c r="A918" s="16">
        <v>2194</v>
      </c>
      <c r="B918" s="6" t="s">
        <v>18</v>
      </c>
      <c r="C918" s="6" t="s">
        <v>11</v>
      </c>
      <c r="D918" s="6" t="s">
        <v>19</v>
      </c>
      <c r="E918" s="4" t="s">
        <v>13</v>
      </c>
      <c r="F918" s="3">
        <v>165001000</v>
      </c>
      <c r="G918" s="11" t="s">
        <v>319</v>
      </c>
      <c r="H918" s="11" t="s">
        <v>338</v>
      </c>
      <c r="I918" s="4" t="s">
        <v>321</v>
      </c>
      <c r="J918" s="4" t="s">
        <v>17</v>
      </c>
      <c r="K918" s="71">
        <v>10</v>
      </c>
      <c r="L918" t="s">
        <v>17</v>
      </c>
      <c r="M918" s="5">
        <f>K918/7</f>
        <v>1.4285714285714286</v>
      </c>
    </row>
    <row r="919" spans="1:13" x14ac:dyDescent="0.25">
      <c r="A919" s="16">
        <v>2195</v>
      </c>
      <c r="B919" s="6" t="s">
        <v>70</v>
      </c>
      <c r="C919" s="6" t="s">
        <v>11</v>
      </c>
      <c r="D919" s="6" t="s">
        <v>19</v>
      </c>
      <c r="E919" s="4" t="s">
        <v>13</v>
      </c>
      <c r="F919" s="3">
        <v>2994001000</v>
      </c>
      <c r="G919" s="11" t="s">
        <v>106</v>
      </c>
      <c r="H919" s="11" t="s">
        <v>64</v>
      </c>
      <c r="I919" s="4">
        <v>15</v>
      </c>
      <c r="J919" s="4" t="s">
        <v>88</v>
      </c>
      <c r="K919" s="71">
        <v>15</v>
      </c>
      <c r="L919" t="s">
        <v>21</v>
      </c>
      <c r="M919" s="5">
        <f>K919/30</f>
        <v>0.5</v>
      </c>
    </row>
    <row r="920" spans="1:13" x14ac:dyDescent="0.25">
      <c r="A920" s="16">
        <v>2196</v>
      </c>
      <c r="B920" s="6" t="s">
        <v>18</v>
      </c>
      <c r="C920" s="6" t="s">
        <v>11</v>
      </c>
      <c r="D920" s="6" t="s">
        <v>19</v>
      </c>
      <c r="E920" s="4" t="s">
        <v>13</v>
      </c>
      <c r="F920" s="3">
        <v>1321001000</v>
      </c>
      <c r="G920" s="11" t="s">
        <v>361</v>
      </c>
      <c r="H920" s="11" t="s">
        <v>350</v>
      </c>
      <c r="I920" s="4" t="s">
        <v>358</v>
      </c>
      <c r="J920" s="4" t="s">
        <v>352</v>
      </c>
      <c r="K920" s="71">
        <v>0.5</v>
      </c>
      <c r="L920" t="s">
        <v>17</v>
      </c>
      <c r="M920" s="5">
        <f>K920/7</f>
        <v>7.1428571428571425E-2</v>
      </c>
    </row>
    <row r="921" spans="1:13" x14ac:dyDescent="0.25">
      <c r="A921" s="16">
        <v>2200</v>
      </c>
      <c r="B921" s="6" t="s">
        <v>18</v>
      </c>
      <c r="C921" s="6" t="s">
        <v>11</v>
      </c>
      <c r="D921" s="6" t="s">
        <v>19</v>
      </c>
      <c r="E921" s="4" t="s">
        <v>13</v>
      </c>
      <c r="F921" s="3">
        <v>1652002001</v>
      </c>
      <c r="G921" s="11" t="s">
        <v>292</v>
      </c>
      <c r="H921" s="11" t="s">
        <v>338</v>
      </c>
      <c r="I921" s="4" t="s">
        <v>290</v>
      </c>
      <c r="J921" s="4" t="s">
        <v>267</v>
      </c>
      <c r="K921" s="71">
        <v>2</v>
      </c>
      <c r="L921" t="s">
        <v>17</v>
      </c>
      <c r="M921" s="5">
        <f>K921/7</f>
        <v>0.2857142857142857</v>
      </c>
    </row>
    <row r="922" spans="1:13" x14ac:dyDescent="0.25">
      <c r="A922" s="16">
        <v>2201</v>
      </c>
      <c r="B922" s="6" t="s">
        <v>10</v>
      </c>
      <c r="C922" s="6" t="s">
        <v>11</v>
      </c>
      <c r="D922" s="6" t="s">
        <v>45</v>
      </c>
      <c r="E922" s="4" t="s">
        <v>13</v>
      </c>
      <c r="F922" s="3">
        <v>2548013000</v>
      </c>
      <c r="G922" s="11" t="s">
        <v>179</v>
      </c>
      <c r="H922" s="11" t="s">
        <v>337</v>
      </c>
      <c r="I922" s="4" t="s">
        <v>144</v>
      </c>
      <c r="J922" s="4" t="s">
        <v>145</v>
      </c>
      <c r="K922" s="71">
        <v>2</v>
      </c>
      <c r="L922" t="s">
        <v>17</v>
      </c>
      <c r="M922" s="5">
        <f>K922/7</f>
        <v>0.2857142857142857</v>
      </c>
    </row>
    <row r="923" spans="1:13" x14ac:dyDescent="0.25">
      <c r="A923" s="16">
        <v>2202</v>
      </c>
      <c r="B923" s="6" t="s">
        <v>70</v>
      </c>
      <c r="C923" s="6" t="s">
        <v>11</v>
      </c>
      <c r="D923" s="6" t="s">
        <v>19</v>
      </c>
      <c r="E923" s="4" t="s">
        <v>13</v>
      </c>
      <c r="F923" s="3">
        <v>2126001000</v>
      </c>
      <c r="G923" s="11" t="s">
        <v>264</v>
      </c>
      <c r="H923" t="s">
        <v>265</v>
      </c>
      <c r="I923" s="4" t="s">
        <v>231</v>
      </c>
      <c r="J923" s="4" t="s">
        <v>231</v>
      </c>
      <c r="K923" s="71">
        <v>0</v>
      </c>
      <c r="L923" t="str">
        <f>J923</f>
        <v>back up</v>
      </c>
      <c r="M923" s="5">
        <v>0</v>
      </c>
    </row>
    <row r="924" spans="1:13" x14ac:dyDescent="0.25">
      <c r="A924" s="16">
        <v>2203</v>
      </c>
      <c r="B924" s="6" t="s">
        <v>10</v>
      </c>
      <c r="C924" s="6" t="s">
        <v>11</v>
      </c>
      <c r="D924" s="6" t="s">
        <v>45</v>
      </c>
      <c r="E924" s="4" t="s">
        <v>13</v>
      </c>
      <c r="F924" s="3">
        <v>193012000</v>
      </c>
      <c r="G924" s="11" t="s">
        <v>34</v>
      </c>
      <c r="H924" s="11" t="s">
        <v>339</v>
      </c>
      <c r="I924" s="4" t="s">
        <v>35</v>
      </c>
      <c r="J924" s="4" t="s">
        <v>36</v>
      </c>
      <c r="K924" s="71">
        <v>2</v>
      </c>
      <c r="L924" t="s">
        <v>37</v>
      </c>
      <c r="M924" s="5">
        <f>K924</f>
        <v>2</v>
      </c>
    </row>
    <row r="925" spans="1:13" x14ac:dyDescent="0.25">
      <c r="A925" s="16">
        <v>2204</v>
      </c>
      <c r="B925" s="6" t="s">
        <v>10</v>
      </c>
      <c r="C925" s="6" t="s">
        <v>11</v>
      </c>
      <c r="D925" s="6" t="s">
        <v>12</v>
      </c>
      <c r="E925" s="4" t="s">
        <v>13</v>
      </c>
      <c r="F925" s="3">
        <v>2126001000</v>
      </c>
      <c r="G925" s="11" t="s">
        <v>264</v>
      </c>
      <c r="H925" t="s">
        <v>265</v>
      </c>
      <c r="I925" s="4" t="s">
        <v>231</v>
      </c>
      <c r="J925" s="4" t="s">
        <v>231</v>
      </c>
      <c r="K925" s="71">
        <v>0</v>
      </c>
      <c r="L925" t="str">
        <f>J925</f>
        <v>back up</v>
      </c>
      <c r="M925" s="5">
        <v>0</v>
      </c>
    </row>
    <row r="926" spans="1:13" x14ac:dyDescent="0.25">
      <c r="A926" s="16">
        <v>2205</v>
      </c>
      <c r="B926" s="6" t="s">
        <v>18</v>
      </c>
      <c r="C926" s="6" t="s">
        <v>11</v>
      </c>
      <c r="D926" s="6" t="s">
        <v>19</v>
      </c>
      <c r="E926" s="4" t="s">
        <v>13</v>
      </c>
      <c r="F926" s="3">
        <v>2886002000</v>
      </c>
      <c r="G926" s="11" t="s">
        <v>317</v>
      </c>
      <c r="H926" s="11" t="s">
        <v>338</v>
      </c>
      <c r="I926" s="4" t="s">
        <v>318</v>
      </c>
      <c r="J926" s="4" t="s">
        <v>17</v>
      </c>
      <c r="K926" s="71">
        <v>12</v>
      </c>
      <c r="L926" t="s">
        <v>17</v>
      </c>
      <c r="M926" s="5">
        <f>K926/7</f>
        <v>1.7142857142857142</v>
      </c>
    </row>
    <row r="927" spans="1:13" x14ac:dyDescent="0.25">
      <c r="A927" s="16">
        <v>2206</v>
      </c>
      <c r="B927" s="6" t="s">
        <v>18</v>
      </c>
      <c r="C927" s="6" t="s">
        <v>383</v>
      </c>
      <c r="D927" s="6"/>
      <c r="E927" s="4" t="s">
        <v>13</v>
      </c>
      <c r="F927" s="11">
        <v>1068022000</v>
      </c>
      <c r="G927" s="11" t="s">
        <v>384</v>
      </c>
      <c r="H927" s="11" t="s">
        <v>380</v>
      </c>
      <c r="I927" s="4" t="s">
        <v>290</v>
      </c>
      <c r="J927" s="4" t="s">
        <v>352</v>
      </c>
      <c r="K927" s="71">
        <v>1</v>
      </c>
      <c r="L927" t="s">
        <v>17</v>
      </c>
      <c r="M927" s="5">
        <f>K927/7</f>
        <v>0.14285714285714285</v>
      </c>
    </row>
    <row r="928" spans="1:13" x14ac:dyDescent="0.25">
      <c r="A928" s="125">
        <v>2207</v>
      </c>
      <c r="B928" s="46" t="s">
        <v>18</v>
      </c>
      <c r="C928" s="46" t="s">
        <v>11</v>
      </c>
      <c r="D928" s="46" t="s">
        <v>19</v>
      </c>
      <c r="E928" s="4" t="s">
        <v>13</v>
      </c>
      <c r="F928" s="46">
        <v>43002000</v>
      </c>
      <c r="G928" t="s">
        <v>640</v>
      </c>
      <c r="H928" t="s">
        <v>504</v>
      </c>
      <c r="I928" s="4" t="s">
        <v>493</v>
      </c>
      <c r="J928" s="4" t="s">
        <v>492</v>
      </c>
      <c r="K928" s="71">
        <v>2</v>
      </c>
      <c r="L928" t="s">
        <v>37</v>
      </c>
      <c r="M928" s="5">
        <f>K928</f>
        <v>2</v>
      </c>
    </row>
    <row r="929" spans="1:13" x14ac:dyDescent="0.25">
      <c r="A929" s="16">
        <v>2208</v>
      </c>
      <c r="B929" s="6" t="s">
        <v>18</v>
      </c>
      <c r="C929" s="6" t="s">
        <v>11</v>
      </c>
      <c r="D929" s="6" t="s">
        <v>19</v>
      </c>
      <c r="E929" s="4" t="s">
        <v>13</v>
      </c>
      <c r="F929" s="3">
        <v>3207016000</v>
      </c>
      <c r="G929" s="11" t="s">
        <v>450</v>
      </c>
      <c r="H929" s="11" t="s">
        <v>451</v>
      </c>
      <c r="I929" s="4" t="s">
        <v>485</v>
      </c>
      <c r="J929" s="4" t="s">
        <v>235</v>
      </c>
      <c r="K929" s="71">
        <v>2</v>
      </c>
      <c r="L929" t="s">
        <v>17</v>
      </c>
      <c r="M929" s="5">
        <f>K929/7</f>
        <v>0.2857142857142857</v>
      </c>
    </row>
    <row r="930" spans="1:13" x14ac:dyDescent="0.25">
      <c r="A930" s="16">
        <v>2210</v>
      </c>
      <c r="B930" s="6" t="s">
        <v>70</v>
      </c>
      <c r="C930" s="6" t="s">
        <v>11</v>
      </c>
      <c r="D930" s="6" t="s">
        <v>45</v>
      </c>
      <c r="E930" s="4" t="s">
        <v>13</v>
      </c>
      <c r="F930" s="3">
        <v>3101001000</v>
      </c>
      <c r="G930" s="11" t="s">
        <v>259</v>
      </c>
      <c r="H930" s="11" t="s">
        <v>339</v>
      </c>
      <c r="I930" s="4" t="s">
        <v>249</v>
      </c>
      <c r="J930" s="4" t="s">
        <v>261</v>
      </c>
      <c r="K930" s="71">
        <v>3</v>
      </c>
      <c r="L930" t="s">
        <v>37</v>
      </c>
      <c r="M930" s="5">
        <f>K930</f>
        <v>3</v>
      </c>
    </row>
    <row r="931" spans="1:13" x14ac:dyDescent="0.25">
      <c r="A931" s="126">
        <v>2211</v>
      </c>
      <c r="B931" s="41" t="s">
        <v>10</v>
      </c>
      <c r="C931" s="41" t="s">
        <v>11</v>
      </c>
      <c r="E931" s="4" t="s">
        <v>13</v>
      </c>
      <c r="F931" s="11">
        <v>3127001000</v>
      </c>
      <c r="G931" s="11" t="s">
        <v>233</v>
      </c>
      <c r="H931" s="11" t="s">
        <v>227</v>
      </c>
      <c r="I931" s="4" t="s">
        <v>207</v>
      </c>
      <c r="J931" s="4" t="s">
        <v>228</v>
      </c>
      <c r="K931" s="71">
        <v>2</v>
      </c>
      <c r="L931" t="s">
        <v>17</v>
      </c>
      <c r="M931" s="5">
        <f>K931/7</f>
        <v>0.2857142857142857</v>
      </c>
    </row>
    <row r="932" spans="1:13" x14ac:dyDescent="0.25">
      <c r="A932" s="16">
        <v>2212</v>
      </c>
      <c r="B932" s="6" t="s">
        <v>18</v>
      </c>
      <c r="C932" s="6" t="s">
        <v>11</v>
      </c>
      <c r="D932" s="6" t="s">
        <v>19</v>
      </c>
      <c r="E932" s="4" t="s">
        <v>13</v>
      </c>
      <c r="F932" s="3">
        <v>1652002001</v>
      </c>
      <c r="G932" s="11" t="s">
        <v>292</v>
      </c>
      <c r="H932" s="11" t="s">
        <v>338</v>
      </c>
      <c r="I932" s="4" t="s">
        <v>290</v>
      </c>
      <c r="J932" s="4" t="s">
        <v>267</v>
      </c>
      <c r="K932" s="71">
        <v>2</v>
      </c>
      <c r="L932" t="s">
        <v>17</v>
      </c>
      <c r="M932" s="5">
        <f>K932/7</f>
        <v>0.2857142857142857</v>
      </c>
    </row>
    <row r="933" spans="1:13" x14ac:dyDescent="0.25">
      <c r="A933" s="16">
        <v>2214</v>
      </c>
      <c r="B933" s="6" t="s">
        <v>18</v>
      </c>
      <c r="C933" s="6" t="s">
        <v>11</v>
      </c>
      <c r="D933" s="6" t="s">
        <v>19</v>
      </c>
      <c r="E933" s="4" t="s">
        <v>13</v>
      </c>
      <c r="F933" s="3">
        <v>66011000</v>
      </c>
      <c r="G933" s="11" t="s">
        <v>440</v>
      </c>
      <c r="H933" s="11" t="s">
        <v>521</v>
      </c>
      <c r="I933" s="4" t="s">
        <v>493</v>
      </c>
      <c r="J933" s="4" t="s">
        <v>513</v>
      </c>
      <c r="K933" s="71">
        <v>2</v>
      </c>
      <c r="L933" t="s">
        <v>37</v>
      </c>
      <c r="M933" s="5">
        <f>K933</f>
        <v>2</v>
      </c>
    </row>
    <row r="934" spans="1:13" x14ac:dyDescent="0.25">
      <c r="A934" s="16">
        <v>2216</v>
      </c>
      <c r="B934" s="6" t="s">
        <v>18</v>
      </c>
      <c r="C934" s="6" t="s">
        <v>11</v>
      </c>
      <c r="D934" s="6" t="s">
        <v>19</v>
      </c>
      <c r="E934" s="4" t="s">
        <v>13</v>
      </c>
      <c r="F934" s="3">
        <v>529001000</v>
      </c>
      <c r="G934" s="11" t="s">
        <v>405</v>
      </c>
      <c r="H934" s="11" t="s">
        <v>407</v>
      </c>
      <c r="I934" s="4" t="s">
        <v>280</v>
      </c>
      <c r="J934" s="4" t="s">
        <v>401</v>
      </c>
      <c r="K934" s="71">
        <v>4</v>
      </c>
      <c r="L934" t="s">
        <v>21</v>
      </c>
      <c r="M934" s="5">
        <f>K934/30</f>
        <v>0.13333333333333333</v>
      </c>
    </row>
    <row r="935" spans="1:13" x14ac:dyDescent="0.25">
      <c r="A935" s="16">
        <v>2223</v>
      </c>
      <c r="B935" s="6" t="s">
        <v>10</v>
      </c>
      <c r="C935" s="6" t="s">
        <v>395</v>
      </c>
      <c r="D935" s="6" t="s">
        <v>502</v>
      </c>
      <c r="E935" s="4" t="s">
        <v>13</v>
      </c>
      <c r="F935" s="3">
        <v>1925001000</v>
      </c>
      <c r="G935" s="11" t="s">
        <v>501</v>
      </c>
      <c r="H935" s="11" t="s">
        <v>498</v>
      </c>
      <c r="I935" s="4">
        <v>3</v>
      </c>
      <c r="J935" s="4" t="s">
        <v>20</v>
      </c>
      <c r="K935" s="71">
        <f>I935</f>
        <v>3</v>
      </c>
      <c r="L935" t="s">
        <v>21</v>
      </c>
      <c r="M935">
        <f>K935/30</f>
        <v>0.1</v>
      </c>
    </row>
    <row r="936" spans="1:13" x14ac:dyDescent="0.25">
      <c r="A936" s="125">
        <v>2246</v>
      </c>
      <c r="B936" s="54" t="s">
        <v>10</v>
      </c>
      <c r="C936" s="54" t="s">
        <v>395</v>
      </c>
      <c r="D936" s="54" t="s">
        <v>502</v>
      </c>
      <c r="E936" s="54" t="s">
        <v>13</v>
      </c>
      <c r="F936" s="65">
        <v>223001000</v>
      </c>
      <c r="G936" s="8" t="s">
        <v>715</v>
      </c>
      <c r="H936" s="4"/>
      <c r="J936" s="71"/>
      <c r="K936"/>
      <c r="L936" s="5"/>
      <c r="M936"/>
    </row>
    <row r="937" spans="1:13" x14ac:dyDescent="0.25">
      <c r="A937" s="16">
        <v>2258</v>
      </c>
      <c r="B937" s="6" t="s">
        <v>70</v>
      </c>
      <c r="C937" s="6" t="s">
        <v>11</v>
      </c>
      <c r="D937" s="6" t="s">
        <v>322</v>
      </c>
      <c r="E937" s="4" t="s">
        <v>13</v>
      </c>
      <c r="F937" s="3">
        <v>165001000</v>
      </c>
      <c r="G937" s="11" t="s">
        <v>319</v>
      </c>
      <c r="H937" s="11" t="s">
        <v>338</v>
      </c>
      <c r="I937" s="4" t="s">
        <v>321</v>
      </c>
      <c r="J937" s="4" t="s">
        <v>17</v>
      </c>
      <c r="K937" s="71">
        <v>10</v>
      </c>
      <c r="L937" t="s">
        <v>17</v>
      </c>
      <c r="M937" s="5">
        <f>K937/7</f>
        <v>1.4285714285714286</v>
      </c>
    </row>
    <row r="938" spans="1:13" x14ac:dyDescent="0.25">
      <c r="A938" s="94">
        <v>2267</v>
      </c>
      <c r="B938" s="39" t="s">
        <v>10</v>
      </c>
      <c r="C938" s="39" t="s">
        <v>68</v>
      </c>
      <c r="D938" s="39" t="s">
        <v>310</v>
      </c>
      <c r="E938" s="4" t="s">
        <v>13</v>
      </c>
      <c r="F938" s="57">
        <v>1014007</v>
      </c>
      <c r="G938" s="33" t="s">
        <v>309</v>
      </c>
      <c r="H938" s="8" t="s">
        <v>338</v>
      </c>
      <c r="I938" s="7"/>
      <c r="J938" s="7" t="s">
        <v>323</v>
      </c>
      <c r="K938" s="106"/>
      <c r="L938" s="8"/>
      <c r="M938" s="30"/>
    </row>
    <row r="939" spans="1:13" x14ac:dyDescent="0.25">
      <c r="A939" s="94">
        <v>2274</v>
      </c>
      <c r="B939" s="39" t="s">
        <v>70</v>
      </c>
      <c r="C939" s="39" t="s">
        <v>39</v>
      </c>
      <c r="D939" s="39" t="s">
        <v>49</v>
      </c>
      <c r="E939" s="4" t="s">
        <v>13</v>
      </c>
      <c r="F939" s="57">
        <v>2548017000</v>
      </c>
      <c r="G939" s="33" t="s">
        <v>62</v>
      </c>
      <c r="H939" s="8" t="s">
        <v>339</v>
      </c>
      <c r="I939" s="7"/>
      <c r="J939" s="7" t="s">
        <v>529</v>
      </c>
      <c r="K939" s="106"/>
      <c r="L939" s="8"/>
      <c r="M939" s="30"/>
    </row>
    <row r="940" spans="1:13" x14ac:dyDescent="0.25">
      <c r="A940" s="16">
        <v>2277</v>
      </c>
      <c r="B940" s="6" t="s">
        <v>18</v>
      </c>
      <c r="C940" s="6" t="s">
        <v>11</v>
      </c>
      <c r="D940" s="6" t="s">
        <v>19</v>
      </c>
      <c r="E940" s="4" t="s">
        <v>13</v>
      </c>
      <c r="F940" s="3">
        <v>2126001000</v>
      </c>
      <c r="G940" s="11" t="s">
        <v>264</v>
      </c>
      <c r="H940" t="s">
        <v>265</v>
      </c>
      <c r="I940" s="4" t="s">
        <v>231</v>
      </c>
      <c r="J940" s="4" t="s">
        <v>231</v>
      </c>
      <c r="K940" s="71">
        <v>0</v>
      </c>
      <c r="L940" t="str">
        <f>J940</f>
        <v>back up</v>
      </c>
      <c r="M940" s="5">
        <v>0</v>
      </c>
    </row>
    <row r="941" spans="1:13" x14ac:dyDescent="0.25">
      <c r="A941" s="16">
        <v>2279</v>
      </c>
      <c r="B941" s="6" t="s">
        <v>18</v>
      </c>
      <c r="C941" s="6" t="s">
        <v>11</v>
      </c>
      <c r="D941" s="6" t="s">
        <v>19</v>
      </c>
      <c r="E941" s="4" t="s">
        <v>13</v>
      </c>
      <c r="F941" s="3">
        <v>2126003000</v>
      </c>
      <c r="G941" s="11" t="s">
        <v>468</v>
      </c>
      <c r="H941" s="11" t="s">
        <v>467</v>
      </c>
      <c r="I941" s="4">
        <v>3</v>
      </c>
      <c r="J941" s="4" t="s">
        <v>487</v>
      </c>
      <c r="K941" s="71">
        <v>3</v>
      </c>
      <c r="L941" t="s">
        <v>17</v>
      </c>
      <c r="M941" s="5">
        <f>K941/7</f>
        <v>0.42857142857142855</v>
      </c>
    </row>
    <row r="942" spans="1:13" x14ac:dyDescent="0.25">
      <c r="A942" s="16">
        <v>2280</v>
      </c>
      <c r="B942" s="6" t="s">
        <v>18</v>
      </c>
      <c r="C942" s="6" t="s">
        <v>11</v>
      </c>
      <c r="D942" s="6" t="s">
        <v>19</v>
      </c>
      <c r="E942" s="4" t="s">
        <v>13</v>
      </c>
      <c r="F942" s="3">
        <v>2126013000</v>
      </c>
      <c r="G942" s="11" t="s">
        <v>123</v>
      </c>
      <c r="H942" s="11" t="s">
        <v>64</v>
      </c>
      <c r="I942" s="4">
        <v>10</v>
      </c>
      <c r="J942" s="4" t="s">
        <v>103</v>
      </c>
      <c r="K942" s="71">
        <v>10</v>
      </c>
      <c r="L942" t="s">
        <v>21</v>
      </c>
      <c r="M942" s="5">
        <f>K942/30</f>
        <v>0.33333333333333331</v>
      </c>
    </row>
    <row r="943" spans="1:13" x14ac:dyDescent="0.25">
      <c r="A943" s="16">
        <v>2281</v>
      </c>
      <c r="B943" s="6" t="s">
        <v>18</v>
      </c>
      <c r="C943" s="6" t="s">
        <v>11</v>
      </c>
      <c r="D943" s="6" t="s">
        <v>19</v>
      </c>
      <c r="E943" s="4" t="s">
        <v>13</v>
      </c>
      <c r="F943" s="3">
        <v>2126001000</v>
      </c>
      <c r="G943" s="11" t="s">
        <v>264</v>
      </c>
      <c r="H943" t="s">
        <v>265</v>
      </c>
      <c r="I943" s="4" t="s">
        <v>231</v>
      </c>
      <c r="J943" s="4" t="s">
        <v>231</v>
      </c>
      <c r="K943" s="71">
        <v>0</v>
      </c>
      <c r="L943" t="str">
        <f>J943</f>
        <v>back up</v>
      </c>
      <c r="M943" s="5">
        <v>0</v>
      </c>
    </row>
    <row r="944" spans="1:13" x14ac:dyDescent="0.25">
      <c r="A944" s="16">
        <v>2283</v>
      </c>
      <c r="B944" s="3" t="s">
        <v>18</v>
      </c>
      <c r="C944" s="3" t="s">
        <v>11</v>
      </c>
      <c r="D944" s="3" t="s">
        <v>19</v>
      </c>
      <c r="E944" s="4" t="s">
        <v>13</v>
      </c>
      <c r="F944" s="3">
        <v>1068018000</v>
      </c>
      <c r="G944" t="s">
        <v>671</v>
      </c>
      <c r="H944" s="11" t="s">
        <v>829</v>
      </c>
      <c r="I944" s="4">
        <v>3</v>
      </c>
      <c r="J944" s="4" t="s">
        <v>830</v>
      </c>
      <c r="K944" s="71">
        <v>3</v>
      </c>
      <c r="L944" t="s">
        <v>21</v>
      </c>
      <c r="M944">
        <f>K944/30</f>
        <v>0.1</v>
      </c>
    </row>
    <row r="945" spans="1:13" x14ac:dyDescent="0.25">
      <c r="A945" s="16">
        <v>2284</v>
      </c>
      <c r="B945" s="6" t="s">
        <v>18</v>
      </c>
      <c r="C945" s="6" t="s">
        <v>11</v>
      </c>
      <c r="D945" s="6" t="s">
        <v>19</v>
      </c>
      <c r="E945" s="4" t="s">
        <v>13</v>
      </c>
      <c r="F945" s="3">
        <v>2126001000</v>
      </c>
      <c r="G945" s="11" t="s">
        <v>264</v>
      </c>
      <c r="H945" t="s">
        <v>265</v>
      </c>
      <c r="I945" s="4" t="s">
        <v>231</v>
      </c>
      <c r="J945" s="4" t="s">
        <v>231</v>
      </c>
      <c r="K945" s="71">
        <v>0</v>
      </c>
      <c r="L945" t="str">
        <f>J945</f>
        <v>back up</v>
      </c>
      <c r="M945" s="5">
        <v>0</v>
      </c>
    </row>
    <row r="946" spans="1:13" x14ac:dyDescent="0.25">
      <c r="A946" s="16">
        <v>2285</v>
      </c>
      <c r="B946" s="6" t="s">
        <v>18</v>
      </c>
      <c r="C946" s="6" t="s">
        <v>11</v>
      </c>
      <c r="D946" s="6" t="s">
        <v>19</v>
      </c>
      <c r="E946" s="4" t="s">
        <v>13</v>
      </c>
      <c r="F946" s="46">
        <v>1014001</v>
      </c>
      <c r="G946" t="s">
        <v>543</v>
      </c>
    </row>
    <row r="947" spans="1:13" x14ac:dyDescent="0.25">
      <c r="A947" s="16">
        <v>2286</v>
      </c>
      <c r="B947" s="6" t="s">
        <v>18</v>
      </c>
      <c r="C947" s="6" t="s">
        <v>11</v>
      </c>
      <c r="D947" s="6" t="s">
        <v>19</v>
      </c>
      <c r="E947" s="4" t="s">
        <v>13</v>
      </c>
      <c r="F947" s="3">
        <v>2126001000</v>
      </c>
      <c r="G947" s="11" t="s">
        <v>264</v>
      </c>
      <c r="H947" t="s">
        <v>265</v>
      </c>
      <c r="I947" s="4" t="s">
        <v>231</v>
      </c>
      <c r="J947" s="4" t="s">
        <v>231</v>
      </c>
      <c r="K947" s="71">
        <v>0</v>
      </c>
      <c r="L947" t="str">
        <f>J947</f>
        <v>back up</v>
      </c>
      <c r="M947" s="5">
        <v>0</v>
      </c>
    </row>
    <row r="948" spans="1:13" x14ac:dyDescent="0.25">
      <c r="A948" s="16">
        <v>2287</v>
      </c>
      <c r="B948" s="6" t="s">
        <v>18</v>
      </c>
      <c r="C948" s="6" t="s">
        <v>11</v>
      </c>
      <c r="D948" s="6" t="s">
        <v>19</v>
      </c>
      <c r="E948" s="4" t="s">
        <v>13</v>
      </c>
      <c r="F948" s="3">
        <v>2126003000</v>
      </c>
      <c r="G948" s="11" t="s">
        <v>468</v>
      </c>
      <c r="H948" s="11" t="s">
        <v>467</v>
      </c>
      <c r="I948" s="4">
        <v>4</v>
      </c>
      <c r="J948" s="4" t="s">
        <v>487</v>
      </c>
      <c r="K948" s="71">
        <v>4</v>
      </c>
      <c r="L948" t="s">
        <v>17</v>
      </c>
      <c r="M948" s="5">
        <f>K948/7</f>
        <v>0.5714285714285714</v>
      </c>
    </row>
    <row r="949" spans="1:13" x14ac:dyDescent="0.25">
      <c r="A949" s="16">
        <v>2288</v>
      </c>
      <c r="B949" s="6" t="s">
        <v>70</v>
      </c>
      <c r="C949" s="6" t="s">
        <v>39</v>
      </c>
      <c r="D949" s="6" t="s">
        <v>40</v>
      </c>
      <c r="E949" s="4" t="s">
        <v>13</v>
      </c>
      <c r="F949" s="3">
        <v>1176003000</v>
      </c>
      <c r="G949" s="11" t="s">
        <v>158</v>
      </c>
      <c r="H949" s="11" t="s">
        <v>337</v>
      </c>
      <c r="I949" s="15" t="s">
        <v>144</v>
      </c>
      <c r="J949" s="15" t="s">
        <v>159</v>
      </c>
      <c r="K949" s="71">
        <v>1</v>
      </c>
      <c r="L949" t="s">
        <v>160</v>
      </c>
      <c r="M949" s="5">
        <f>K949/60</f>
        <v>1.6666666666666666E-2</v>
      </c>
    </row>
    <row r="950" spans="1:13" x14ac:dyDescent="0.25">
      <c r="A950" s="125">
        <v>2301</v>
      </c>
      <c r="B950" s="46" t="s">
        <v>284</v>
      </c>
      <c r="C950" s="46" t="s">
        <v>383</v>
      </c>
      <c r="D950" s="46" t="s">
        <v>717</v>
      </c>
      <c r="E950" s="4" t="s">
        <v>13</v>
      </c>
      <c r="F950" s="46">
        <v>43006000</v>
      </c>
      <c r="G950" t="s">
        <v>555</v>
      </c>
      <c r="H950" t="s">
        <v>504</v>
      </c>
      <c r="I950" s="4" t="s">
        <v>494</v>
      </c>
      <c r="J950" s="4" t="s">
        <v>523</v>
      </c>
      <c r="K950" s="71">
        <v>4</v>
      </c>
      <c r="L950" t="s">
        <v>17</v>
      </c>
      <c r="M950" s="5">
        <f>K950/7</f>
        <v>0.5714285714285714</v>
      </c>
    </row>
    <row r="951" spans="1:13" x14ac:dyDescent="0.25">
      <c r="A951" s="125">
        <v>2302</v>
      </c>
      <c r="B951" s="46" t="s">
        <v>284</v>
      </c>
      <c r="C951" s="46" t="s">
        <v>383</v>
      </c>
      <c r="D951" s="46" t="s">
        <v>717</v>
      </c>
      <c r="E951" s="4" t="s">
        <v>13</v>
      </c>
      <c r="F951" s="46">
        <v>2514001000</v>
      </c>
      <c r="G951" t="s">
        <v>623</v>
      </c>
      <c r="H951" t="s">
        <v>428</v>
      </c>
      <c r="I951" s="4" t="s">
        <v>493</v>
      </c>
      <c r="J951" s="4" t="s">
        <v>869</v>
      </c>
      <c r="K951" s="71">
        <v>2</v>
      </c>
      <c r="L951" t="s">
        <v>17</v>
      </c>
      <c r="M951" s="5">
        <f>K951/7</f>
        <v>0.2857142857142857</v>
      </c>
    </row>
    <row r="952" spans="1:13" x14ac:dyDescent="0.25">
      <c r="A952" s="133">
        <v>2305</v>
      </c>
      <c r="B952" s="20" t="s">
        <v>284</v>
      </c>
      <c r="C952" s="20" t="s">
        <v>285</v>
      </c>
      <c r="D952" s="20">
        <v>20</v>
      </c>
      <c r="E952" s="110" t="s">
        <v>13</v>
      </c>
      <c r="F952" s="3">
        <v>2126001000</v>
      </c>
      <c r="G952" s="11" t="s">
        <v>264</v>
      </c>
      <c r="H952" s="11" t="s">
        <v>265</v>
      </c>
      <c r="I952" s="22" t="s">
        <v>266</v>
      </c>
      <c r="J952" s="21" t="s">
        <v>274</v>
      </c>
      <c r="K952" s="71">
        <v>6</v>
      </c>
      <c r="L952" t="s">
        <v>17</v>
      </c>
      <c r="M952" s="5">
        <f>K952/7</f>
        <v>0.8571428571428571</v>
      </c>
    </row>
    <row r="953" spans="1:13" x14ac:dyDescent="0.25">
      <c r="A953" s="123">
        <v>2306</v>
      </c>
      <c r="B953" s="76" t="s">
        <v>284</v>
      </c>
      <c r="C953" s="76" t="s">
        <v>383</v>
      </c>
      <c r="D953" s="76" t="s">
        <v>717</v>
      </c>
      <c r="E953" s="4" t="s">
        <v>13</v>
      </c>
      <c r="F953" s="76">
        <v>3168001000</v>
      </c>
      <c r="G953" t="s">
        <v>693</v>
      </c>
      <c r="H953" t="s">
        <v>883</v>
      </c>
      <c r="I953" s="4" t="s">
        <v>494</v>
      </c>
      <c r="J953" s="4" t="s">
        <v>888</v>
      </c>
      <c r="K953" s="71">
        <v>4</v>
      </c>
      <c r="L953" t="s">
        <v>17</v>
      </c>
      <c r="M953">
        <f>K953/7</f>
        <v>0.5714285714285714</v>
      </c>
    </row>
    <row r="954" spans="1:13" x14ac:dyDescent="0.25">
      <c r="A954" s="125">
        <v>2308</v>
      </c>
      <c r="B954" s="46" t="s">
        <v>284</v>
      </c>
      <c r="C954" s="46" t="s">
        <v>383</v>
      </c>
      <c r="D954" s="46" t="s">
        <v>717</v>
      </c>
      <c r="E954" s="46" t="s">
        <v>13</v>
      </c>
      <c r="F954" s="35">
        <v>1014001</v>
      </c>
      <c r="G954" t="s">
        <v>543</v>
      </c>
      <c r="H954" s="4"/>
      <c r="J954" s="71"/>
      <c r="K954"/>
      <c r="L954" s="5"/>
      <c r="M954"/>
    </row>
    <row r="955" spans="1:13" x14ac:dyDescent="0.25">
      <c r="A955" s="125">
        <v>2309</v>
      </c>
      <c r="B955" s="46" t="s">
        <v>284</v>
      </c>
      <c r="C955" s="46" t="s">
        <v>383</v>
      </c>
      <c r="D955" s="46" t="s">
        <v>717</v>
      </c>
      <c r="E955" s="4" t="s">
        <v>13</v>
      </c>
      <c r="F955" s="46">
        <v>1165000000</v>
      </c>
      <c r="G955" t="s">
        <v>559</v>
      </c>
      <c r="H955" t="s">
        <v>856</v>
      </c>
      <c r="I955" s="4" t="s">
        <v>867</v>
      </c>
      <c r="J955" s="4" t="s">
        <v>523</v>
      </c>
      <c r="K955" s="71">
        <v>3</v>
      </c>
      <c r="L955" t="s">
        <v>17</v>
      </c>
      <c r="M955" s="5">
        <f>K955/7</f>
        <v>0.42857142857142855</v>
      </c>
    </row>
    <row r="956" spans="1:13" x14ac:dyDescent="0.25">
      <c r="A956" s="125">
        <v>2310</v>
      </c>
      <c r="B956" s="46" t="s">
        <v>284</v>
      </c>
      <c r="C956" s="46" t="s">
        <v>383</v>
      </c>
      <c r="D956" s="46" t="s">
        <v>717</v>
      </c>
      <c r="E956" s="46" t="s">
        <v>13</v>
      </c>
      <c r="F956" s="35">
        <v>1014001</v>
      </c>
      <c r="G956" t="s">
        <v>543</v>
      </c>
      <c r="H956" s="4"/>
      <c r="J956" s="71"/>
      <c r="K956"/>
      <c r="L956" s="5"/>
      <c r="M956"/>
    </row>
    <row r="957" spans="1:13" x14ac:dyDescent="0.25">
      <c r="A957" s="123">
        <v>2312</v>
      </c>
      <c r="B957" s="76" t="s">
        <v>284</v>
      </c>
      <c r="C957" s="76" t="s">
        <v>383</v>
      </c>
      <c r="D957" s="76" t="s">
        <v>717</v>
      </c>
      <c r="E957" s="4" t="s">
        <v>13</v>
      </c>
      <c r="F957" s="76">
        <v>193012000</v>
      </c>
      <c r="G957" t="s">
        <v>571</v>
      </c>
      <c r="H957" t="s">
        <v>339</v>
      </c>
      <c r="I957" s="4" t="s">
        <v>239</v>
      </c>
      <c r="J957" s="4" t="s">
        <v>523</v>
      </c>
      <c r="K957" s="71">
        <v>1</v>
      </c>
      <c r="L957" t="s">
        <v>17</v>
      </c>
      <c r="M957">
        <f>K957/7</f>
        <v>0.14285714285714285</v>
      </c>
    </row>
    <row r="958" spans="1:13" x14ac:dyDescent="0.25">
      <c r="A958" s="100">
        <v>2314</v>
      </c>
      <c r="B958" s="72" t="s">
        <v>284</v>
      </c>
      <c r="C958" s="72" t="s">
        <v>383</v>
      </c>
      <c r="D958" s="72" t="s">
        <v>717</v>
      </c>
      <c r="E958" s="4" t="s">
        <v>13</v>
      </c>
      <c r="F958" s="72">
        <v>3316001000</v>
      </c>
      <c r="G958" s="9" t="s">
        <v>718</v>
      </c>
      <c r="H958" s="9" t="s">
        <v>868</v>
      </c>
      <c r="M958"/>
    </row>
    <row r="959" spans="1:13" x14ac:dyDescent="0.25">
      <c r="A959" s="16">
        <v>2315</v>
      </c>
      <c r="B959" s="6" t="s">
        <v>184</v>
      </c>
      <c r="C959" s="6" t="s">
        <v>185</v>
      </c>
      <c r="D959" s="6"/>
      <c r="E959" s="4" t="s">
        <v>13</v>
      </c>
      <c r="F959" s="3">
        <v>3317001000</v>
      </c>
      <c r="G959" s="11" t="s">
        <v>193</v>
      </c>
      <c r="H959" s="11" t="s">
        <v>337</v>
      </c>
      <c r="I959" s="4" t="s">
        <v>144</v>
      </c>
      <c r="J959" s="4" t="s">
        <v>143</v>
      </c>
      <c r="K959" s="71">
        <v>1</v>
      </c>
      <c r="L959" t="s">
        <v>37</v>
      </c>
      <c r="M959" s="5">
        <f>K959</f>
        <v>1</v>
      </c>
    </row>
    <row r="960" spans="1:13" x14ac:dyDescent="0.25">
      <c r="A960" s="133">
        <v>2316</v>
      </c>
      <c r="B960" s="20" t="s">
        <v>284</v>
      </c>
      <c r="C960" s="20" t="s">
        <v>285</v>
      </c>
      <c r="D960" s="20">
        <v>20</v>
      </c>
      <c r="E960" s="4" t="s">
        <v>13</v>
      </c>
      <c r="F960" s="3">
        <v>2126001000</v>
      </c>
      <c r="G960" s="11" t="s">
        <v>264</v>
      </c>
      <c r="H960" t="s">
        <v>265</v>
      </c>
      <c r="I960" s="4" t="s">
        <v>231</v>
      </c>
      <c r="J960" s="4" t="s">
        <v>231</v>
      </c>
      <c r="K960" s="71">
        <v>0</v>
      </c>
      <c r="L960" t="str">
        <f>J960</f>
        <v>back up</v>
      </c>
      <c r="M960" s="5">
        <v>0</v>
      </c>
    </row>
    <row r="961" spans="1:13" x14ac:dyDescent="0.25">
      <c r="A961" s="16">
        <v>2323</v>
      </c>
      <c r="B961" s="6" t="s">
        <v>10</v>
      </c>
      <c r="C961" s="6" t="s">
        <v>11</v>
      </c>
      <c r="D961" s="6" t="s">
        <v>26</v>
      </c>
      <c r="E961" s="4" t="s">
        <v>13</v>
      </c>
      <c r="F961" s="46">
        <v>1014001</v>
      </c>
      <c r="G961" t="s">
        <v>543</v>
      </c>
    </row>
    <row r="962" spans="1:13" x14ac:dyDescent="0.25">
      <c r="A962" s="123">
        <v>2324</v>
      </c>
      <c r="B962" s="76" t="s">
        <v>10</v>
      </c>
      <c r="C962" s="76" t="s">
        <v>11</v>
      </c>
      <c r="D962" s="76" t="s">
        <v>26</v>
      </c>
      <c r="E962" s="4" t="s">
        <v>13</v>
      </c>
      <c r="F962" s="76">
        <v>1068001000</v>
      </c>
      <c r="G962" t="s">
        <v>573</v>
      </c>
      <c r="H962" t="s">
        <v>380</v>
      </c>
      <c r="I962" s="4" t="s">
        <v>239</v>
      </c>
      <c r="J962" s="4" t="s">
        <v>523</v>
      </c>
      <c r="K962" s="71">
        <v>1</v>
      </c>
      <c r="L962" t="s">
        <v>17</v>
      </c>
      <c r="M962">
        <f>K962/7</f>
        <v>0.14285714285714285</v>
      </c>
    </row>
    <row r="963" spans="1:13" x14ac:dyDescent="0.25">
      <c r="A963" s="110">
        <v>2325</v>
      </c>
      <c r="B963" s="20" t="s">
        <v>10</v>
      </c>
      <c r="C963" s="20" t="s">
        <v>11</v>
      </c>
      <c r="D963" s="20" t="s">
        <v>287</v>
      </c>
      <c r="E963" s="4" t="s">
        <v>13</v>
      </c>
      <c r="F963" s="3">
        <v>2126001000</v>
      </c>
      <c r="G963" s="11" t="s">
        <v>264</v>
      </c>
      <c r="H963" t="s">
        <v>265</v>
      </c>
      <c r="I963" s="4" t="s">
        <v>231</v>
      </c>
      <c r="J963" s="4" t="s">
        <v>231</v>
      </c>
      <c r="K963" s="71">
        <v>0</v>
      </c>
      <c r="L963" t="str">
        <f>J963</f>
        <v>back up</v>
      </c>
      <c r="M963" s="5">
        <v>0</v>
      </c>
    </row>
    <row r="964" spans="1:13" x14ac:dyDescent="0.25">
      <c r="A964" s="125">
        <v>2326</v>
      </c>
      <c r="B964" s="46" t="s">
        <v>10</v>
      </c>
      <c r="C964" s="46" t="s">
        <v>11</v>
      </c>
      <c r="D964" s="46" t="s">
        <v>26</v>
      </c>
      <c r="E964" s="4" t="s">
        <v>13</v>
      </c>
      <c r="F964" s="46">
        <v>1068013000</v>
      </c>
      <c r="G964" t="s">
        <v>611</v>
      </c>
      <c r="H964" t="s">
        <v>857</v>
      </c>
      <c r="I964" s="4" t="s">
        <v>239</v>
      </c>
      <c r="J964" s="4" t="s">
        <v>523</v>
      </c>
      <c r="K964" s="71">
        <v>1</v>
      </c>
      <c r="L964" t="s">
        <v>17</v>
      </c>
      <c r="M964" s="5">
        <f>K964/7</f>
        <v>0.14285714285714285</v>
      </c>
    </row>
    <row r="965" spans="1:13" x14ac:dyDescent="0.25">
      <c r="A965" s="16">
        <v>2328</v>
      </c>
      <c r="B965" s="6" t="s">
        <v>10</v>
      </c>
      <c r="C965" s="6" t="s">
        <v>11</v>
      </c>
      <c r="D965" s="6" t="s">
        <v>26</v>
      </c>
      <c r="E965" s="4" t="s">
        <v>13</v>
      </c>
      <c r="F965" s="3">
        <v>3182003000</v>
      </c>
      <c r="G965" s="11" t="s">
        <v>398</v>
      </c>
      <c r="H965" s="11" t="s">
        <v>380</v>
      </c>
      <c r="I965" s="4" t="s">
        <v>290</v>
      </c>
      <c r="J965" s="4" t="s">
        <v>393</v>
      </c>
      <c r="K965" s="71">
        <v>3</v>
      </c>
      <c r="L965" t="s">
        <v>17</v>
      </c>
      <c r="M965" s="5">
        <f>K965/7</f>
        <v>0.42857142857142855</v>
      </c>
    </row>
    <row r="966" spans="1:13" x14ac:dyDescent="0.25">
      <c r="A966" s="93">
        <v>2329</v>
      </c>
      <c r="B966" s="39" t="s">
        <v>10</v>
      </c>
      <c r="C966" s="39" t="s">
        <v>11</v>
      </c>
      <c r="D966" s="39" t="s">
        <v>26</v>
      </c>
      <c r="E966" s="4" t="s">
        <v>13</v>
      </c>
      <c r="F966" s="57">
        <v>1165000000</v>
      </c>
      <c r="G966" s="33" t="s">
        <v>216</v>
      </c>
      <c r="H966" s="8" t="s">
        <v>215</v>
      </c>
      <c r="I966" s="7"/>
      <c r="J966" s="7" t="s">
        <v>529</v>
      </c>
      <c r="K966" s="106"/>
      <c r="L966" s="8"/>
      <c r="M966" s="30"/>
    </row>
    <row r="967" spans="1:13" x14ac:dyDescent="0.25">
      <c r="A967" s="16">
        <v>2334</v>
      </c>
      <c r="B967" s="6" t="s">
        <v>10</v>
      </c>
      <c r="C967" s="6" t="s">
        <v>11</v>
      </c>
      <c r="D967" s="6" t="s">
        <v>26</v>
      </c>
      <c r="E967" s="4" t="s">
        <v>13</v>
      </c>
      <c r="F967" s="3">
        <v>2514001000</v>
      </c>
      <c r="G967" s="11" t="s">
        <v>435</v>
      </c>
      <c r="H967" t="s">
        <v>428</v>
      </c>
      <c r="I967" s="4" t="s">
        <v>231</v>
      </c>
      <c r="J967" s="4" t="s">
        <v>231</v>
      </c>
      <c r="K967" s="71">
        <v>0</v>
      </c>
      <c r="L967" t="str">
        <f>J967</f>
        <v>back up</v>
      </c>
      <c r="M967" s="5">
        <f>K967</f>
        <v>0</v>
      </c>
    </row>
    <row r="968" spans="1:13" x14ac:dyDescent="0.25">
      <c r="A968" s="16">
        <v>2335</v>
      </c>
      <c r="B968" s="3" t="s">
        <v>10</v>
      </c>
      <c r="C968" s="3" t="s">
        <v>11</v>
      </c>
      <c r="D968" s="46" t="s">
        <v>26</v>
      </c>
      <c r="E968" s="4" t="s">
        <v>13</v>
      </c>
      <c r="F968" s="46">
        <v>953011000</v>
      </c>
      <c r="G968" t="s">
        <v>844</v>
      </c>
      <c r="H968" t="s">
        <v>64</v>
      </c>
      <c r="I968" s="4" t="s">
        <v>231</v>
      </c>
      <c r="J968" s="4" t="s">
        <v>231</v>
      </c>
      <c r="K968" s="71">
        <v>0</v>
      </c>
      <c r="L968" t="str">
        <f>J968</f>
        <v>back up</v>
      </c>
      <c r="M968">
        <v>0</v>
      </c>
    </row>
    <row r="969" spans="1:13" x14ac:dyDescent="0.25">
      <c r="A969" s="123">
        <v>2339</v>
      </c>
      <c r="B969" s="79" t="s">
        <v>284</v>
      </c>
      <c r="C969" s="79" t="s">
        <v>383</v>
      </c>
      <c r="D969" s="79" t="s">
        <v>717</v>
      </c>
      <c r="E969" s="4" t="s">
        <v>13</v>
      </c>
      <c r="F969" s="76">
        <v>193012000</v>
      </c>
      <c r="G969" t="s">
        <v>571</v>
      </c>
      <c r="H969" t="s">
        <v>339</v>
      </c>
      <c r="I969" s="4" t="s">
        <v>231</v>
      </c>
      <c r="J969" s="4" t="s">
        <v>231</v>
      </c>
      <c r="K969" s="71">
        <v>0</v>
      </c>
      <c r="L969" t="str">
        <f>J969</f>
        <v>back up</v>
      </c>
      <c r="M969">
        <v>0</v>
      </c>
    </row>
    <row r="970" spans="1:13" x14ac:dyDescent="0.25">
      <c r="A970" s="125">
        <v>2340</v>
      </c>
      <c r="B970" s="46" t="s">
        <v>284</v>
      </c>
      <c r="C970" s="46" t="s">
        <v>383</v>
      </c>
      <c r="D970" s="46" t="s">
        <v>717</v>
      </c>
      <c r="E970" s="46" t="s">
        <v>13</v>
      </c>
      <c r="F970" s="35">
        <v>1014001</v>
      </c>
      <c r="G970" t="s">
        <v>543</v>
      </c>
      <c r="H970" s="4"/>
      <c r="J970" s="71"/>
      <c r="K970"/>
      <c r="L970" s="5"/>
      <c r="M970"/>
    </row>
    <row r="971" spans="1:13" x14ac:dyDescent="0.25">
      <c r="A971" s="125">
        <v>2341</v>
      </c>
      <c r="B971" s="46" t="s">
        <v>284</v>
      </c>
      <c r="C971" s="46" t="s">
        <v>383</v>
      </c>
      <c r="D971" s="46" t="s">
        <v>719</v>
      </c>
      <c r="E971" s="46" t="s">
        <v>13</v>
      </c>
      <c r="F971" s="35">
        <v>1014001</v>
      </c>
      <c r="G971" t="s">
        <v>543</v>
      </c>
      <c r="H971" s="4"/>
      <c r="J971" s="71"/>
      <c r="K971"/>
      <c r="L971" s="5"/>
      <c r="M971"/>
    </row>
    <row r="972" spans="1:13" x14ac:dyDescent="0.25">
      <c r="A972" s="123">
        <v>2342</v>
      </c>
      <c r="B972" s="76" t="s">
        <v>284</v>
      </c>
      <c r="C972" s="76" t="s">
        <v>383</v>
      </c>
      <c r="D972" s="76" t="s">
        <v>717</v>
      </c>
      <c r="E972" s="4" t="s">
        <v>13</v>
      </c>
      <c r="F972" s="76">
        <v>61007000</v>
      </c>
      <c r="G972" t="s">
        <v>625</v>
      </c>
      <c r="H972" t="s">
        <v>339</v>
      </c>
      <c r="I972" s="4" t="s">
        <v>493</v>
      </c>
      <c r="J972" s="4" t="s">
        <v>492</v>
      </c>
      <c r="K972" s="71">
        <v>2</v>
      </c>
      <c r="L972" t="s">
        <v>37</v>
      </c>
      <c r="M972">
        <f>K972</f>
        <v>2</v>
      </c>
    </row>
    <row r="973" spans="1:13" x14ac:dyDescent="0.25">
      <c r="A973" s="125">
        <v>2359</v>
      </c>
      <c r="B973" s="46" t="s">
        <v>359</v>
      </c>
      <c r="C973" s="46" t="s">
        <v>76</v>
      </c>
      <c r="D973" s="46" t="s">
        <v>720</v>
      </c>
      <c r="E973" s="4" t="s">
        <v>13</v>
      </c>
      <c r="F973" s="46">
        <v>1925007000</v>
      </c>
      <c r="G973" t="s">
        <v>721</v>
      </c>
      <c r="H973" t="s">
        <v>338</v>
      </c>
      <c r="I973" s="4" t="s">
        <v>493</v>
      </c>
      <c r="J973" s="4" t="s">
        <v>523</v>
      </c>
      <c r="K973" s="71">
        <v>2</v>
      </c>
      <c r="L973" t="s">
        <v>17</v>
      </c>
      <c r="M973" s="5">
        <f>K973/7</f>
        <v>0.2857142857142857</v>
      </c>
    </row>
    <row r="974" spans="1:13" x14ac:dyDescent="0.25">
      <c r="A974" s="16">
        <v>2390</v>
      </c>
      <c r="B974" s="6" t="s">
        <v>10</v>
      </c>
      <c r="C974" s="6" t="s">
        <v>281</v>
      </c>
      <c r="D974" s="6" t="s">
        <v>282</v>
      </c>
      <c r="E974" s="4" t="s">
        <v>13</v>
      </c>
      <c r="F974" s="3">
        <v>2126001000</v>
      </c>
      <c r="G974" s="11" t="s">
        <v>264</v>
      </c>
      <c r="H974" t="s">
        <v>265</v>
      </c>
      <c r="I974" s="4" t="s">
        <v>231</v>
      </c>
      <c r="J974" s="4" t="s">
        <v>231</v>
      </c>
      <c r="K974" s="71">
        <v>0</v>
      </c>
      <c r="L974" t="str">
        <f>J974</f>
        <v>back up</v>
      </c>
      <c r="M974" s="5">
        <v>0</v>
      </c>
    </row>
    <row r="975" spans="1:13" x14ac:dyDescent="0.25">
      <c r="A975" s="16">
        <v>2440</v>
      </c>
      <c r="B975" s="6" t="s">
        <v>10</v>
      </c>
      <c r="C975" s="6" t="s">
        <v>11</v>
      </c>
      <c r="D975" s="6" t="s">
        <v>40</v>
      </c>
      <c r="E975" s="4" t="s">
        <v>13</v>
      </c>
      <c r="F975" s="3">
        <v>165001000</v>
      </c>
      <c r="G975" s="11" t="s">
        <v>319</v>
      </c>
      <c r="H975" s="11" t="s">
        <v>338</v>
      </c>
      <c r="I975" s="4" t="s">
        <v>320</v>
      </c>
      <c r="J975" s="4" t="s">
        <v>17</v>
      </c>
      <c r="K975" s="71">
        <v>26</v>
      </c>
      <c r="L975" t="s">
        <v>17</v>
      </c>
      <c r="M975" s="5">
        <f>K975/7</f>
        <v>3.7142857142857144</v>
      </c>
    </row>
    <row r="976" spans="1:13" x14ac:dyDescent="0.25">
      <c r="A976" s="16">
        <v>2467</v>
      </c>
      <c r="B976" s="6" t="s">
        <v>10</v>
      </c>
      <c r="C976" s="6" t="s">
        <v>11</v>
      </c>
      <c r="D976" s="6" t="s">
        <v>26</v>
      </c>
      <c r="E976" s="4" t="s">
        <v>13</v>
      </c>
      <c r="F976" s="3">
        <v>1720001000</v>
      </c>
      <c r="G976" s="11" t="s">
        <v>414</v>
      </c>
      <c r="H976" s="11" t="s">
        <v>407</v>
      </c>
      <c r="I976" s="4" t="s">
        <v>296</v>
      </c>
      <c r="J976" s="4" t="s">
        <v>352</v>
      </c>
      <c r="K976" s="71">
        <v>0.67</v>
      </c>
      <c r="L976" t="s">
        <v>17</v>
      </c>
      <c r="M976" s="5">
        <f>K976/7</f>
        <v>9.5714285714285724E-2</v>
      </c>
    </row>
    <row r="977" spans="1:13" x14ac:dyDescent="0.25">
      <c r="A977" s="125">
        <v>2468</v>
      </c>
      <c r="B977" s="46" t="s">
        <v>10</v>
      </c>
      <c r="C977" s="46" t="s">
        <v>11</v>
      </c>
      <c r="D977" s="46" t="s">
        <v>12</v>
      </c>
      <c r="E977" s="4" t="s">
        <v>13</v>
      </c>
      <c r="F977" s="46">
        <v>3370014000</v>
      </c>
      <c r="G977" t="s">
        <v>686</v>
      </c>
      <c r="H977" t="s">
        <v>504</v>
      </c>
      <c r="I977" s="4" t="s">
        <v>239</v>
      </c>
      <c r="J977" s="4" t="s">
        <v>235</v>
      </c>
      <c r="K977" s="71">
        <v>2</v>
      </c>
      <c r="L977" t="s">
        <v>17</v>
      </c>
      <c r="M977" s="5">
        <f>K977/7</f>
        <v>0.2857142857142857</v>
      </c>
    </row>
    <row r="978" spans="1:13" x14ac:dyDescent="0.25">
      <c r="A978" s="16">
        <v>2473</v>
      </c>
      <c r="B978" s="6" t="s">
        <v>10</v>
      </c>
      <c r="C978" s="6" t="s">
        <v>11</v>
      </c>
      <c r="D978" s="6"/>
      <c r="E978" s="4" t="s">
        <v>13</v>
      </c>
      <c r="F978" s="3">
        <v>2558002000</v>
      </c>
      <c r="G978" s="11" t="s">
        <v>94</v>
      </c>
      <c r="H978" s="11" t="s">
        <v>64</v>
      </c>
      <c r="I978" s="4">
        <v>8</v>
      </c>
      <c r="J978" s="4" t="s">
        <v>86</v>
      </c>
      <c r="K978" s="71">
        <v>8</v>
      </c>
      <c r="L978" t="s">
        <v>21</v>
      </c>
      <c r="M978" s="5">
        <f>K978/30</f>
        <v>0.26666666666666666</v>
      </c>
    </row>
    <row r="979" spans="1:13" x14ac:dyDescent="0.25">
      <c r="A979" s="16">
        <v>2478</v>
      </c>
      <c r="B979" s="6" t="s">
        <v>10</v>
      </c>
      <c r="C979" s="6" t="s">
        <v>11</v>
      </c>
      <c r="D979" s="6" t="s">
        <v>113</v>
      </c>
      <c r="E979" s="4" t="s">
        <v>13</v>
      </c>
      <c r="F979" s="3">
        <v>2889002000</v>
      </c>
      <c r="G979" s="11" t="s">
        <v>379</v>
      </c>
      <c r="H979" s="11" t="s">
        <v>380</v>
      </c>
      <c r="I979" s="4" t="s">
        <v>358</v>
      </c>
      <c r="J979" s="4" t="s">
        <v>381</v>
      </c>
      <c r="K979" s="71">
        <v>0.5</v>
      </c>
      <c r="L979" t="s">
        <v>37</v>
      </c>
      <c r="M979" s="5">
        <f>K979</f>
        <v>0.5</v>
      </c>
    </row>
    <row r="980" spans="1:13" x14ac:dyDescent="0.25">
      <c r="A980" s="16">
        <v>2495</v>
      </c>
      <c r="B980" s="6" t="s">
        <v>18</v>
      </c>
      <c r="C980" s="6" t="s">
        <v>11</v>
      </c>
      <c r="D980" s="6" t="s">
        <v>41</v>
      </c>
      <c r="E980" s="4" t="s">
        <v>13</v>
      </c>
      <c r="F980" s="3">
        <v>2126001000</v>
      </c>
      <c r="G980" s="11" t="s">
        <v>264</v>
      </c>
      <c r="H980" t="s">
        <v>265</v>
      </c>
      <c r="I980" s="4" t="s">
        <v>231</v>
      </c>
      <c r="J980" s="4" t="s">
        <v>231</v>
      </c>
      <c r="K980" s="71">
        <v>0</v>
      </c>
      <c r="L980" t="str">
        <f>J980</f>
        <v>back up</v>
      </c>
      <c r="M980" s="5">
        <v>0</v>
      </c>
    </row>
    <row r="981" spans="1:13" x14ac:dyDescent="0.25">
      <c r="A981" s="125">
        <v>2503</v>
      </c>
      <c r="B981" s="46" t="s">
        <v>70</v>
      </c>
      <c r="C981" s="46" t="s">
        <v>11</v>
      </c>
      <c r="D981" s="46" t="s">
        <v>19</v>
      </c>
      <c r="E981" s="46" t="s">
        <v>13</v>
      </c>
      <c r="F981" s="35">
        <v>1022000</v>
      </c>
      <c r="G981" t="s">
        <v>643</v>
      </c>
      <c r="H981" s="4"/>
      <c r="J981" s="71"/>
      <c r="K981"/>
      <c r="L981" s="5"/>
      <c r="M981"/>
    </row>
    <row r="982" spans="1:13" x14ac:dyDescent="0.25">
      <c r="A982" s="16">
        <v>2504</v>
      </c>
      <c r="B982" s="6" t="s">
        <v>31</v>
      </c>
      <c r="C982" s="6" t="s">
        <v>415</v>
      </c>
      <c r="D982" s="6" t="s">
        <v>416</v>
      </c>
      <c r="E982" s="4" t="s">
        <v>13</v>
      </c>
      <c r="F982" s="3">
        <v>1720001000</v>
      </c>
      <c r="G982" s="11" t="s">
        <v>414</v>
      </c>
      <c r="H982" s="11" t="s">
        <v>407</v>
      </c>
      <c r="I982" s="4" t="s">
        <v>290</v>
      </c>
      <c r="J982" s="4" t="s">
        <v>408</v>
      </c>
      <c r="K982" s="71">
        <v>1</v>
      </c>
      <c r="L982" t="s">
        <v>21</v>
      </c>
      <c r="M982" s="5">
        <f>K982/30</f>
        <v>3.3333333333333333E-2</v>
      </c>
    </row>
    <row r="983" spans="1:13" x14ac:dyDescent="0.25">
      <c r="A983" s="125">
        <v>2510</v>
      </c>
      <c r="B983" s="46" t="s">
        <v>18</v>
      </c>
      <c r="C983" s="46" t="s">
        <v>11</v>
      </c>
      <c r="D983" s="46" t="s">
        <v>41</v>
      </c>
      <c r="E983" s="46" t="s">
        <v>13</v>
      </c>
      <c r="F983" s="35">
        <v>1014001</v>
      </c>
      <c r="G983" t="s">
        <v>543</v>
      </c>
      <c r="H983" s="4"/>
      <c r="J983" s="71"/>
      <c r="K983"/>
      <c r="L983" s="5"/>
      <c r="M983"/>
    </row>
    <row r="984" spans="1:13" x14ac:dyDescent="0.25">
      <c r="A984" s="16">
        <v>2516</v>
      </c>
      <c r="B984" s="46" t="s">
        <v>284</v>
      </c>
      <c r="C984" s="46" t="s">
        <v>383</v>
      </c>
      <c r="D984" s="46" t="s">
        <v>717</v>
      </c>
      <c r="E984" s="7" t="s">
        <v>13</v>
      </c>
      <c r="F984" s="58">
        <v>165008000</v>
      </c>
      <c r="G984" t="s">
        <v>855</v>
      </c>
      <c r="H984" s="11" t="s">
        <v>64</v>
      </c>
      <c r="I984" s="4">
        <v>30</v>
      </c>
      <c r="J984" s="4" t="s">
        <v>108</v>
      </c>
      <c r="K984" s="71">
        <v>30</v>
      </c>
      <c r="L984" t="s">
        <v>21</v>
      </c>
      <c r="M984">
        <f>K984/30</f>
        <v>1</v>
      </c>
    </row>
    <row r="985" spans="1:13" x14ac:dyDescent="0.25">
      <c r="A985" s="16">
        <v>2525</v>
      </c>
      <c r="B985" s="6" t="s">
        <v>119</v>
      </c>
      <c r="C985" s="6" t="s">
        <v>120</v>
      </c>
      <c r="D985" s="6" t="s">
        <v>40</v>
      </c>
      <c r="E985" s="4" t="s">
        <v>13</v>
      </c>
      <c r="F985" s="3">
        <v>1652002001</v>
      </c>
      <c r="G985" s="11" t="s">
        <v>292</v>
      </c>
      <c r="H985" s="11" t="s">
        <v>338</v>
      </c>
      <c r="I985" s="4" t="s">
        <v>280</v>
      </c>
      <c r="J985" s="4" t="s">
        <v>295</v>
      </c>
      <c r="K985" s="71">
        <v>2</v>
      </c>
      <c r="L985" t="s">
        <v>21</v>
      </c>
      <c r="M985" s="5">
        <f>K985/30</f>
        <v>6.6666666666666666E-2</v>
      </c>
    </row>
    <row r="986" spans="1:13" x14ac:dyDescent="0.25">
      <c r="A986" s="16">
        <v>2529</v>
      </c>
      <c r="B986" s="6" t="s">
        <v>10</v>
      </c>
      <c r="C986" s="6" t="s">
        <v>11</v>
      </c>
      <c r="D986" s="6" t="s">
        <v>73</v>
      </c>
      <c r="E986" s="4" t="s">
        <v>13</v>
      </c>
      <c r="F986" s="3">
        <v>2548050000</v>
      </c>
      <c r="G986" s="11" t="s">
        <v>176</v>
      </c>
      <c r="H986" s="11" t="s">
        <v>337</v>
      </c>
      <c r="I986" s="4" t="s">
        <v>138</v>
      </c>
      <c r="J986" s="4" t="s">
        <v>169</v>
      </c>
      <c r="K986" s="71">
        <v>4</v>
      </c>
      <c r="L986" t="s">
        <v>21</v>
      </c>
      <c r="M986" s="5">
        <f>K986/30</f>
        <v>0.13333333333333333</v>
      </c>
    </row>
    <row r="987" spans="1:13" x14ac:dyDescent="0.25">
      <c r="A987" s="16">
        <v>2530</v>
      </c>
      <c r="B987" s="6" t="s">
        <v>10</v>
      </c>
      <c r="C987" s="6" t="s">
        <v>11</v>
      </c>
      <c r="D987" s="6" t="s">
        <v>73</v>
      </c>
      <c r="E987" s="4" t="s">
        <v>13</v>
      </c>
      <c r="F987" s="3">
        <v>2889001000</v>
      </c>
      <c r="G987" s="11" t="s">
        <v>71</v>
      </c>
      <c r="H987" s="11" t="s">
        <v>64</v>
      </c>
      <c r="I987" s="4">
        <v>48</v>
      </c>
      <c r="J987" s="4" t="s">
        <v>74</v>
      </c>
      <c r="K987" s="71">
        <v>48</v>
      </c>
      <c r="L987" t="s">
        <v>21</v>
      </c>
      <c r="M987" s="5">
        <f>K987/30</f>
        <v>1.6</v>
      </c>
    </row>
    <row r="988" spans="1:13" x14ac:dyDescent="0.25">
      <c r="A988" s="16">
        <v>2531</v>
      </c>
      <c r="B988" s="6" t="s">
        <v>10</v>
      </c>
      <c r="C988" s="6" t="s">
        <v>11</v>
      </c>
      <c r="D988" s="6" t="s">
        <v>73</v>
      </c>
      <c r="E988" s="4" t="s">
        <v>13</v>
      </c>
      <c r="F988" s="3">
        <v>66011000</v>
      </c>
      <c r="G988" s="11" t="s">
        <v>440</v>
      </c>
      <c r="H988" s="11" t="s">
        <v>521</v>
      </c>
      <c r="I988" s="4" t="s">
        <v>239</v>
      </c>
      <c r="J988" s="4" t="s">
        <v>523</v>
      </c>
      <c r="K988" s="71">
        <v>1</v>
      </c>
      <c r="L988" t="s">
        <v>17</v>
      </c>
      <c r="M988" s="5">
        <f>K988/7</f>
        <v>0.14285714285714285</v>
      </c>
    </row>
    <row r="989" spans="1:13" x14ac:dyDescent="0.25">
      <c r="A989" s="16">
        <v>2535</v>
      </c>
      <c r="B989" s="6" t="s">
        <v>10</v>
      </c>
      <c r="C989" s="6" t="s">
        <v>328</v>
      </c>
      <c r="E989" s="4" t="s">
        <v>13</v>
      </c>
      <c r="F989" s="3">
        <v>165001000</v>
      </c>
      <c r="G989" s="11" t="s">
        <v>319</v>
      </c>
      <c r="H989" s="11" t="s">
        <v>338</v>
      </c>
      <c r="I989" s="4" t="s">
        <v>332</v>
      </c>
      <c r="J989" s="4" t="s">
        <v>17</v>
      </c>
      <c r="K989" s="71">
        <v>24</v>
      </c>
      <c r="L989" t="s">
        <v>17</v>
      </c>
      <c r="M989" s="5">
        <f>K989/7</f>
        <v>3.4285714285714284</v>
      </c>
    </row>
    <row r="990" spans="1:13" x14ac:dyDescent="0.25">
      <c r="A990" s="94">
        <v>2540</v>
      </c>
      <c r="B990" s="6" t="s">
        <v>31</v>
      </c>
      <c r="C990" s="6" t="s">
        <v>149</v>
      </c>
      <c r="D990" s="6" t="s">
        <v>225</v>
      </c>
      <c r="E990" s="4" t="s">
        <v>13</v>
      </c>
      <c r="F990" s="3">
        <v>1165000000</v>
      </c>
      <c r="G990" s="11" t="s">
        <v>216</v>
      </c>
    </row>
    <row r="991" spans="1:13" x14ac:dyDescent="0.25">
      <c r="A991" s="16">
        <v>2555</v>
      </c>
      <c r="B991" s="6" t="s">
        <v>119</v>
      </c>
      <c r="C991" s="6" t="s">
        <v>120</v>
      </c>
      <c r="D991" s="6" t="s">
        <v>40</v>
      </c>
      <c r="E991" s="4" t="s">
        <v>13</v>
      </c>
      <c r="F991" s="3">
        <v>3288001000</v>
      </c>
      <c r="G991" s="11" t="s">
        <v>117</v>
      </c>
      <c r="H991" s="11" t="s">
        <v>64</v>
      </c>
      <c r="I991" s="4">
        <v>10</v>
      </c>
      <c r="J991" s="4" t="s">
        <v>103</v>
      </c>
      <c r="K991" s="71">
        <v>10</v>
      </c>
      <c r="L991" t="s">
        <v>21</v>
      </c>
      <c r="M991" s="5">
        <f>K991/30</f>
        <v>0.33333333333333331</v>
      </c>
    </row>
    <row r="992" spans="1:13" x14ac:dyDescent="0.25">
      <c r="A992" s="16">
        <v>2565</v>
      </c>
      <c r="B992" s="6" t="s">
        <v>10</v>
      </c>
      <c r="C992" s="6" t="s">
        <v>120</v>
      </c>
      <c r="D992" s="6" t="s">
        <v>40</v>
      </c>
      <c r="E992" s="4" t="s">
        <v>13</v>
      </c>
      <c r="F992" s="3">
        <v>66011000</v>
      </c>
      <c r="G992" s="11" t="s">
        <v>440</v>
      </c>
      <c r="H992" s="11" t="s">
        <v>521</v>
      </c>
      <c r="I992" s="4" t="s">
        <v>242</v>
      </c>
      <c r="J992" s="4" t="s">
        <v>523</v>
      </c>
      <c r="K992" s="71">
        <v>1</v>
      </c>
      <c r="L992" t="s">
        <v>17</v>
      </c>
      <c r="M992" s="5">
        <f>K992/7</f>
        <v>0.14285714285714285</v>
      </c>
    </row>
    <row r="993" spans="1:13" x14ac:dyDescent="0.25">
      <c r="A993" s="16">
        <v>2566</v>
      </c>
      <c r="B993" s="6" t="s">
        <v>43</v>
      </c>
      <c r="C993" s="6" t="s">
        <v>82</v>
      </c>
      <c r="D993" s="6">
        <v>2000</v>
      </c>
      <c r="E993" s="4" t="s">
        <v>13</v>
      </c>
      <c r="F993" s="3">
        <v>1550001000</v>
      </c>
      <c r="G993" s="11" t="s">
        <v>431</v>
      </c>
      <c r="H993" s="11" t="s">
        <v>428</v>
      </c>
      <c r="I993" s="4" t="s">
        <v>432</v>
      </c>
      <c r="J993" s="4" t="s">
        <v>353</v>
      </c>
      <c r="K993" s="71">
        <v>3</v>
      </c>
      <c r="L993" t="s">
        <v>17</v>
      </c>
      <c r="M993" s="5">
        <f>K993/7</f>
        <v>0.42857142857142855</v>
      </c>
    </row>
    <row r="994" spans="1:13" x14ac:dyDescent="0.25">
      <c r="A994" s="16">
        <v>2591</v>
      </c>
      <c r="B994" s="6" t="s">
        <v>184</v>
      </c>
      <c r="C994" s="6" t="s">
        <v>185</v>
      </c>
      <c r="D994" s="6"/>
      <c r="E994" s="4" t="s">
        <v>13</v>
      </c>
      <c r="F994" s="3">
        <v>2548092000</v>
      </c>
      <c r="G994" s="11" t="s">
        <v>182</v>
      </c>
      <c r="H994" s="11" t="s">
        <v>337</v>
      </c>
      <c r="I994" s="4" t="s">
        <v>138</v>
      </c>
      <c r="J994" s="4" t="s">
        <v>143</v>
      </c>
      <c r="K994" s="71">
        <v>2</v>
      </c>
      <c r="L994" t="s">
        <v>37</v>
      </c>
      <c r="M994" s="5">
        <f>K994</f>
        <v>2</v>
      </c>
    </row>
    <row r="995" spans="1:13" x14ac:dyDescent="0.25">
      <c r="A995" s="125">
        <v>2592</v>
      </c>
      <c r="B995" s="46" t="s">
        <v>284</v>
      </c>
      <c r="C995" s="46" t="s">
        <v>383</v>
      </c>
      <c r="D995" s="46" t="s">
        <v>717</v>
      </c>
      <c r="E995" s="4" t="s">
        <v>13</v>
      </c>
      <c r="F995" s="46">
        <v>2514001000</v>
      </c>
      <c r="G995" t="s">
        <v>623</v>
      </c>
      <c r="H995" t="s">
        <v>428</v>
      </c>
      <c r="I995" s="4" t="s">
        <v>493</v>
      </c>
      <c r="J995" s="4" t="s">
        <v>869</v>
      </c>
      <c r="K995" s="71">
        <v>2</v>
      </c>
      <c r="L995" t="s">
        <v>17</v>
      </c>
      <c r="M995" s="5">
        <f>K995/7</f>
        <v>0.2857142857142857</v>
      </c>
    </row>
    <row r="996" spans="1:13" x14ac:dyDescent="0.25">
      <c r="A996" s="94">
        <v>2593</v>
      </c>
      <c r="B996" s="39" t="s">
        <v>18</v>
      </c>
      <c r="C996" s="39" t="s">
        <v>11</v>
      </c>
      <c r="D996" s="39" t="s">
        <v>19</v>
      </c>
      <c r="E996" s="4" t="s">
        <v>13</v>
      </c>
      <c r="F996" s="57">
        <v>165001000</v>
      </c>
      <c r="G996" s="33" t="s">
        <v>319</v>
      </c>
      <c r="H996" s="8" t="s">
        <v>338</v>
      </c>
      <c r="I996" s="7"/>
      <c r="J996" s="7" t="s">
        <v>323</v>
      </c>
      <c r="K996" s="106"/>
      <c r="L996" s="8"/>
      <c r="M996" s="30"/>
    </row>
    <row r="997" spans="1:13" x14ac:dyDescent="0.25">
      <c r="A997" s="16">
        <v>2596</v>
      </c>
      <c r="B997" s="6" t="s">
        <v>70</v>
      </c>
      <c r="C997" s="6" t="s">
        <v>11</v>
      </c>
      <c r="D997" s="6" t="s">
        <v>19</v>
      </c>
      <c r="E997" s="4" t="s">
        <v>13</v>
      </c>
      <c r="F997" s="3">
        <v>1685002000</v>
      </c>
      <c r="G997" s="11" t="s">
        <v>131</v>
      </c>
      <c r="H997" s="11" t="s">
        <v>64</v>
      </c>
      <c r="I997" s="4">
        <v>30</v>
      </c>
      <c r="J997" s="4" t="s">
        <v>132</v>
      </c>
      <c r="K997" s="71">
        <v>30</v>
      </c>
      <c r="L997" t="s">
        <v>21</v>
      </c>
      <c r="M997" s="5">
        <f>K997/30</f>
        <v>1</v>
      </c>
    </row>
    <row r="998" spans="1:13" x14ac:dyDescent="0.25">
      <c r="A998" s="16">
        <v>2597</v>
      </c>
      <c r="B998" s="3" t="s">
        <v>18</v>
      </c>
      <c r="C998" s="3" t="s">
        <v>11</v>
      </c>
      <c r="D998" s="3" t="s">
        <v>19</v>
      </c>
      <c r="E998" s="4" t="s">
        <v>13</v>
      </c>
      <c r="F998" s="3">
        <v>3265001000</v>
      </c>
      <c r="G998" t="s">
        <v>843</v>
      </c>
      <c r="H998" s="4" t="s">
        <v>842</v>
      </c>
      <c r="J998" s="4" t="s">
        <v>108</v>
      </c>
      <c r="K998" s="71">
        <v>30</v>
      </c>
      <c r="L998" t="s">
        <v>21</v>
      </c>
      <c r="M998">
        <f>K998/30</f>
        <v>1</v>
      </c>
    </row>
    <row r="999" spans="1:13" x14ac:dyDescent="0.25">
      <c r="A999" s="16">
        <v>2598</v>
      </c>
      <c r="B999" s="3" t="s">
        <v>10</v>
      </c>
      <c r="C999" s="3" t="s">
        <v>11</v>
      </c>
      <c r="D999" s="3" t="s">
        <v>107</v>
      </c>
      <c r="E999" s="4" t="s">
        <v>13</v>
      </c>
      <c r="F999" s="58">
        <v>165008000</v>
      </c>
      <c r="G999" t="s">
        <v>855</v>
      </c>
      <c r="H999" s="11" t="s">
        <v>64</v>
      </c>
      <c r="I999" s="4">
        <v>20</v>
      </c>
      <c r="J999" s="4" t="s">
        <v>75</v>
      </c>
      <c r="K999" s="71">
        <v>20</v>
      </c>
      <c r="L999" t="s">
        <v>21</v>
      </c>
      <c r="M999">
        <f>K999/30</f>
        <v>0.66666666666666663</v>
      </c>
    </row>
    <row r="1000" spans="1:13" x14ac:dyDescent="0.25">
      <c r="A1000" s="16">
        <v>2600</v>
      </c>
      <c r="B1000" s="46" t="s">
        <v>10</v>
      </c>
      <c r="C1000" s="46" t="s">
        <v>11</v>
      </c>
      <c r="D1000" s="46" t="s">
        <v>107</v>
      </c>
      <c r="E1000" s="4" t="s">
        <v>13</v>
      </c>
      <c r="F1000" s="46">
        <v>3319001000</v>
      </c>
      <c r="G1000" t="s">
        <v>850</v>
      </c>
      <c r="H1000" s="4" t="s">
        <v>64</v>
      </c>
      <c r="I1000" s="4">
        <v>40</v>
      </c>
      <c r="J1000" s="4" t="s">
        <v>851</v>
      </c>
      <c r="K1000" s="71">
        <v>40</v>
      </c>
      <c r="L1000" t="s">
        <v>21</v>
      </c>
      <c r="M1000">
        <f>K1000/30</f>
        <v>1.3333333333333333</v>
      </c>
    </row>
    <row r="1001" spans="1:13" x14ac:dyDescent="0.25">
      <c r="A1001" s="16">
        <v>2602</v>
      </c>
      <c r="B1001" s="6" t="s">
        <v>10</v>
      </c>
      <c r="C1001" s="6" t="s">
        <v>11</v>
      </c>
      <c r="D1001" s="6" t="s">
        <v>107</v>
      </c>
      <c r="E1001" s="4" t="s">
        <v>13</v>
      </c>
      <c r="F1001" s="3">
        <v>2994001000</v>
      </c>
      <c r="G1001" s="11" t="s">
        <v>106</v>
      </c>
      <c r="H1001" s="11" t="s">
        <v>64</v>
      </c>
      <c r="I1001" s="4">
        <v>60</v>
      </c>
      <c r="J1001" s="4" t="s">
        <v>91</v>
      </c>
      <c r="K1001" s="71">
        <v>60</v>
      </c>
      <c r="L1001" t="s">
        <v>21</v>
      </c>
      <c r="M1001" s="5">
        <f>K1001/30</f>
        <v>2</v>
      </c>
    </row>
    <row r="1002" spans="1:13" x14ac:dyDescent="0.25">
      <c r="A1002" s="16">
        <v>2603</v>
      </c>
      <c r="B1002" s="6" t="s">
        <v>10</v>
      </c>
      <c r="C1002" s="6" t="s">
        <v>11</v>
      </c>
      <c r="D1002" s="6" t="s">
        <v>107</v>
      </c>
      <c r="E1002" s="4" t="s">
        <v>13</v>
      </c>
      <c r="F1002" s="3">
        <v>1068015000</v>
      </c>
      <c r="G1002" s="11" t="s">
        <v>437</v>
      </c>
      <c r="H1002" s="11" t="s">
        <v>428</v>
      </c>
      <c r="I1002" s="4" t="s">
        <v>296</v>
      </c>
      <c r="J1002" s="4" t="s">
        <v>352</v>
      </c>
      <c r="K1002" s="71">
        <v>0.67</v>
      </c>
      <c r="L1002" t="s">
        <v>17</v>
      </c>
      <c r="M1002" s="5">
        <f>K1002/7</f>
        <v>9.5714285714285724E-2</v>
      </c>
    </row>
    <row r="1003" spans="1:13" x14ac:dyDescent="0.25">
      <c r="A1003" s="16">
        <v>2604</v>
      </c>
      <c r="B1003" s="6" t="s">
        <v>10</v>
      </c>
      <c r="C1003" s="6" t="s">
        <v>11</v>
      </c>
      <c r="D1003" s="6" t="s">
        <v>107</v>
      </c>
      <c r="E1003" s="4" t="s">
        <v>13</v>
      </c>
      <c r="F1003" s="3">
        <v>1967012000</v>
      </c>
      <c r="G1003" s="11" t="s">
        <v>454</v>
      </c>
      <c r="H1003" s="11" t="s">
        <v>467</v>
      </c>
      <c r="I1003" s="4" t="s">
        <v>488</v>
      </c>
      <c r="J1003" s="4" t="s">
        <v>487</v>
      </c>
      <c r="K1003" s="105">
        <f>100/60</f>
        <v>1.6666666666666667</v>
      </c>
      <c r="L1003" t="s">
        <v>17</v>
      </c>
      <c r="M1003" s="5">
        <f>K1003/7</f>
        <v>0.23809523809523811</v>
      </c>
    </row>
    <row r="1004" spans="1:13" x14ac:dyDescent="0.25">
      <c r="A1004" s="16">
        <v>2606</v>
      </c>
      <c r="B1004" s="6" t="s">
        <v>10</v>
      </c>
      <c r="C1004" s="6" t="s">
        <v>11</v>
      </c>
      <c r="D1004" s="6" t="s">
        <v>107</v>
      </c>
      <c r="E1004" s="4" t="s">
        <v>13</v>
      </c>
      <c r="F1004" s="3">
        <v>2126003000</v>
      </c>
      <c r="G1004" s="11" t="s">
        <v>468</v>
      </c>
      <c r="H1004" s="11" t="s">
        <v>467</v>
      </c>
      <c r="I1004" s="4">
        <v>2</v>
      </c>
      <c r="J1004" s="4" t="s">
        <v>492</v>
      </c>
      <c r="K1004" s="71">
        <v>2</v>
      </c>
      <c r="L1004" t="s">
        <v>37</v>
      </c>
      <c r="M1004" s="5">
        <f>K1004</f>
        <v>2</v>
      </c>
    </row>
    <row r="1005" spans="1:13" x14ac:dyDescent="0.25">
      <c r="A1005" s="16">
        <v>2608</v>
      </c>
      <c r="B1005" s="6" t="s">
        <v>18</v>
      </c>
      <c r="C1005" s="6" t="s">
        <v>194</v>
      </c>
      <c r="D1005" s="6"/>
      <c r="E1005" s="4" t="s">
        <v>13</v>
      </c>
      <c r="F1005" s="3">
        <v>3317001000</v>
      </c>
      <c r="G1005" s="11" t="s">
        <v>193</v>
      </c>
      <c r="H1005" s="11" t="s">
        <v>337</v>
      </c>
      <c r="I1005" s="4" t="s">
        <v>195</v>
      </c>
      <c r="J1005" s="4" t="s">
        <v>172</v>
      </c>
      <c r="K1005" s="71">
        <v>6</v>
      </c>
      <c r="L1005" t="s">
        <v>17</v>
      </c>
      <c r="M1005" s="5">
        <f>K1005/7</f>
        <v>0.8571428571428571</v>
      </c>
    </row>
    <row r="1006" spans="1:13" x14ac:dyDescent="0.25">
      <c r="A1006" s="125">
        <v>2610</v>
      </c>
      <c r="B1006" s="46" t="s">
        <v>18</v>
      </c>
      <c r="C1006" s="46" t="s">
        <v>194</v>
      </c>
      <c r="D1006" s="46" t="s">
        <v>40</v>
      </c>
      <c r="E1006" s="46" t="s">
        <v>13</v>
      </c>
      <c r="F1006" s="35">
        <v>1014001</v>
      </c>
      <c r="G1006" t="s">
        <v>543</v>
      </c>
      <c r="H1006" s="4"/>
      <c r="J1006" s="71"/>
      <c r="K1006"/>
      <c r="L1006" s="5"/>
      <c r="M1006"/>
    </row>
    <row r="1007" spans="1:13" x14ac:dyDescent="0.25">
      <c r="A1007" s="16">
        <v>2611</v>
      </c>
      <c r="B1007" s="6" t="s">
        <v>18</v>
      </c>
      <c r="C1007" s="6" t="s">
        <v>194</v>
      </c>
      <c r="D1007" s="6" t="s">
        <v>40</v>
      </c>
      <c r="E1007" s="4" t="s">
        <v>13</v>
      </c>
      <c r="F1007" s="3">
        <v>1652002001</v>
      </c>
      <c r="G1007" s="11" t="s">
        <v>292</v>
      </c>
      <c r="H1007" s="11" t="s">
        <v>338</v>
      </c>
      <c r="I1007" s="4" t="s">
        <v>290</v>
      </c>
      <c r="J1007" s="4" t="s">
        <v>267</v>
      </c>
      <c r="K1007" s="71">
        <v>2</v>
      </c>
      <c r="L1007" t="s">
        <v>17</v>
      </c>
      <c r="M1007" s="5">
        <f>K1007/7</f>
        <v>0.2857142857142857</v>
      </c>
    </row>
    <row r="1008" spans="1:13" x14ac:dyDescent="0.25">
      <c r="A1008" s="16">
        <v>2612</v>
      </c>
      <c r="B1008" s="6" t="s">
        <v>18</v>
      </c>
      <c r="C1008" s="6" t="s">
        <v>194</v>
      </c>
      <c r="D1008" s="6" t="s">
        <v>40</v>
      </c>
      <c r="E1008" s="4" t="s">
        <v>13</v>
      </c>
      <c r="F1008" s="3">
        <v>1023006</v>
      </c>
      <c r="G1008" s="11" t="s">
        <v>307</v>
      </c>
      <c r="H1008" t="s">
        <v>338</v>
      </c>
      <c r="I1008" s="4" t="s">
        <v>231</v>
      </c>
      <c r="J1008" s="4" t="s">
        <v>231</v>
      </c>
      <c r="K1008" s="71">
        <v>0</v>
      </c>
      <c r="L1008" t="str">
        <f>J1008</f>
        <v>back up</v>
      </c>
      <c r="M1008" s="5">
        <v>0</v>
      </c>
    </row>
    <row r="1009" spans="1:13" x14ac:dyDescent="0.25">
      <c r="A1009" s="94">
        <v>2613</v>
      </c>
      <c r="B1009" s="57" t="s">
        <v>119</v>
      </c>
      <c r="C1009" s="57" t="s">
        <v>726</v>
      </c>
      <c r="D1009" s="57" t="s">
        <v>727</v>
      </c>
      <c r="E1009" s="4" t="s">
        <v>13</v>
      </c>
      <c r="F1009" s="54">
        <v>3265001000</v>
      </c>
      <c r="G1009" s="8" t="s">
        <v>599</v>
      </c>
      <c r="H1009" s="8" t="s">
        <v>842</v>
      </c>
      <c r="I1009" s="7"/>
      <c r="J1009" s="7"/>
      <c r="K1009" s="106"/>
      <c r="L1009" s="8"/>
      <c r="M1009" s="8"/>
    </row>
    <row r="1010" spans="1:13" x14ac:dyDescent="0.25">
      <c r="A1010" s="125">
        <v>2614</v>
      </c>
      <c r="B1010" s="46" t="s">
        <v>119</v>
      </c>
      <c r="C1010" s="46" t="s">
        <v>726</v>
      </c>
      <c r="D1010" s="46" t="s">
        <v>727</v>
      </c>
      <c r="E1010" s="46" t="s">
        <v>13</v>
      </c>
      <c r="F1010" s="35">
        <v>1014002</v>
      </c>
      <c r="G1010" t="s">
        <v>564</v>
      </c>
      <c r="H1010" s="4"/>
      <c r="J1010" s="71"/>
      <c r="K1010"/>
      <c r="L1010" s="5"/>
      <c r="M1010"/>
    </row>
    <row r="1011" spans="1:13" x14ac:dyDescent="0.25">
      <c r="A1011" s="16">
        <v>2620</v>
      </c>
      <c r="B1011" s="6" t="s">
        <v>10</v>
      </c>
      <c r="C1011" s="6" t="s">
        <v>59</v>
      </c>
      <c r="D1011" s="6" t="s">
        <v>60</v>
      </c>
      <c r="E1011" s="4" t="s">
        <v>13</v>
      </c>
      <c r="F1011" s="3">
        <v>3212001000</v>
      </c>
      <c r="G1011" s="11" t="s">
        <v>371</v>
      </c>
      <c r="H1011" s="11" t="s">
        <v>350</v>
      </c>
      <c r="I1011" s="4" t="s">
        <v>369</v>
      </c>
      <c r="J1011" s="4" t="s">
        <v>353</v>
      </c>
      <c r="K1011" s="105">
        <f>40/60</f>
        <v>0.66666666666666663</v>
      </c>
      <c r="L1011" t="s">
        <v>17</v>
      </c>
      <c r="M1011" s="5">
        <f>K1011/7</f>
        <v>9.5238095238095233E-2</v>
      </c>
    </row>
    <row r="1012" spans="1:13" x14ac:dyDescent="0.25">
      <c r="A1012" s="125">
        <v>2621</v>
      </c>
      <c r="B1012" s="46" t="s">
        <v>10</v>
      </c>
      <c r="C1012" s="46" t="s">
        <v>59</v>
      </c>
      <c r="D1012" s="46" t="s">
        <v>60</v>
      </c>
      <c r="E1012" s="4" t="s">
        <v>13</v>
      </c>
      <c r="F1012" s="46">
        <v>1068016000</v>
      </c>
      <c r="G1012" t="s">
        <v>608</v>
      </c>
      <c r="H1012" t="s">
        <v>857</v>
      </c>
      <c r="I1012" s="4" t="s">
        <v>239</v>
      </c>
      <c r="J1012" s="4" t="s">
        <v>523</v>
      </c>
      <c r="K1012" s="71">
        <v>1</v>
      </c>
      <c r="L1012" t="s">
        <v>17</v>
      </c>
      <c r="M1012" s="5">
        <f>K1012/7</f>
        <v>0.14285714285714285</v>
      </c>
    </row>
    <row r="1013" spans="1:13" x14ac:dyDescent="0.25">
      <c r="A1013" s="123">
        <v>2622</v>
      </c>
      <c r="B1013" s="76" t="s">
        <v>10</v>
      </c>
      <c r="C1013" s="76" t="s">
        <v>59</v>
      </c>
      <c r="D1013" s="76" t="s">
        <v>60</v>
      </c>
      <c r="E1013" s="4" t="s">
        <v>13</v>
      </c>
      <c r="F1013" s="76">
        <v>2886003000</v>
      </c>
      <c r="G1013" t="s">
        <v>556</v>
      </c>
      <c r="H1013" t="s">
        <v>467</v>
      </c>
      <c r="I1013" s="4" t="s">
        <v>239</v>
      </c>
      <c r="J1013" s="4" t="s">
        <v>235</v>
      </c>
      <c r="K1013" s="71">
        <v>2</v>
      </c>
      <c r="L1013" t="s">
        <v>17</v>
      </c>
      <c r="M1013">
        <f>K1013/7</f>
        <v>0.2857142857142857</v>
      </c>
    </row>
    <row r="1014" spans="1:13" x14ac:dyDescent="0.25">
      <c r="A1014" s="16">
        <v>2623</v>
      </c>
      <c r="B1014" s="6" t="s">
        <v>10</v>
      </c>
      <c r="C1014" s="6" t="s">
        <v>59</v>
      </c>
      <c r="D1014" s="6" t="s">
        <v>60</v>
      </c>
      <c r="E1014" s="4" t="s">
        <v>13</v>
      </c>
      <c r="F1014" s="3">
        <v>2514001000</v>
      </c>
      <c r="G1014" s="11" t="s">
        <v>435</v>
      </c>
      <c r="H1014" t="s">
        <v>428</v>
      </c>
      <c r="I1014" s="4" t="s">
        <v>231</v>
      </c>
      <c r="J1014" s="4" t="s">
        <v>231</v>
      </c>
      <c r="K1014" s="71">
        <v>0</v>
      </c>
      <c r="L1014" t="str">
        <f>J1014</f>
        <v>back up</v>
      </c>
      <c r="M1014" s="5">
        <f>K1014</f>
        <v>0</v>
      </c>
    </row>
    <row r="1015" spans="1:13" x14ac:dyDescent="0.25">
      <c r="A1015" s="94">
        <v>2624</v>
      </c>
      <c r="B1015" s="39" t="s">
        <v>10</v>
      </c>
      <c r="C1015" s="39" t="s">
        <v>59</v>
      </c>
      <c r="D1015" s="39" t="s">
        <v>60</v>
      </c>
      <c r="E1015" s="4" t="s">
        <v>13</v>
      </c>
      <c r="F1015" s="33">
        <v>2044029000</v>
      </c>
      <c r="G1015" s="33" t="s">
        <v>382</v>
      </c>
      <c r="H1015" s="8" t="s">
        <v>380</v>
      </c>
      <c r="I1015" s="7"/>
      <c r="J1015" s="7" t="s">
        <v>542</v>
      </c>
      <c r="K1015" s="106"/>
      <c r="L1015" s="8"/>
      <c r="M1015" s="30"/>
    </row>
    <row r="1016" spans="1:13" x14ac:dyDescent="0.25">
      <c r="A1016" s="123">
        <v>2625</v>
      </c>
      <c r="B1016" s="76" t="s">
        <v>10</v>
      </c>
      <c r="C1016" s="76" t="s">
        <v>59</v>
      </c>
      <c r="D1016" s="76" t="s">
        <v>60</v>
      </c>
      <c r="E1016" s="4" t="s">
        <v>13</v>
      </c>
      <c r="F1016" s="76">
        <v>66011000</v>
      </c>
      <c r="G1016" t="s">
        <v>548</v>
      </c>
      <c r="H1016" t="s">
        <v>889</v>
      </c>
      <c r="I1016" s="4">
        <v>1</v>
      </c>
      <c r="J1016" s="4" t="s">
        <v>487</v>
      </c>
      <c r="K1016" s="71">
        <v>1</v>
      </c>
      <c r="L1016" t="s">
        <v>17</v>
      </c>
      <c r="M1016">
        <f t="shared" ref="M1016:M1022" si="6">K1016/7</f>
        <v>0.14285714285714285</v>
      </c>
    </row>
    <row r="1017" spans="1:13" x14ac:dyDescent="0.25">
      <c r="A1017" s="16">
        <v>2626</v>
      </c>
      <c r="B1017" s="6" t="s">
        <v>10</v>
      </c>
      <c r="C1017" s="6" t="s">
        <v>59</v>
      </c>
      <c r="D1017" s="6" t="s">
        <v>60</v>
      </c>
      <c r="E1017" s="4" t="s">
        <v>13</v>
      </c>
      <c r="F1017" s="3">
        <v>2995001000</v>
      </c>
      <c r="G1017" s="11" t="s">
        <v>455</v>
      </c>
      <c r="H1017" s="11" t="s">
        <v>467</v>
      </c>
      <c r="I1017" s="4" t="s">
        <v>234</v>
      </c>
      <c r="J1017" s="4" t="s">
        <v>487</v>
      </c>
      <c r="K1017" s="105">
        <f>40/60</f>
        <v>0.66666666666666663</v>
      </c>
      <c r="L1017" t="s">
        <v>17</v>
      </c>
      <c r="M1017" s="5">
        <f t="shared" si="6"/>
        <v>9.5238095238095233E-2</v>
      </c>
    </row>
    <row r="1018" spans="1:13" x14ac:dyDescent="0.25">
      <c r="A1018" s="16">
        <v>2627</v>
      </c>
      <c r="B1018" s="6" t="s">
        <v>10</v>
      </c>
      <c r="C1018" s="6" t="s">
        <v>59</v>
      </c>
      <c r="D1018" s="6" t="s">
        <v>60</v>
      </c>
      <c r="E1018" s="4" t="s">
        <v>13</v>
      </c>
      <c r="F1018" s="3">
        <v>165001000</v>
      </c>
      <c r="G1018" s="11" t="s">
        <v>319</v>
      </c>
      <c r="H1018" s="11" t="s">
        <v>338</v>
      </c>
      <c r="I1018" s="4" t="s">
        <v>320</v>
      </c>
      <c r="J1018" s="4" t="s">
        <v>17</v>
      </c>
      <c r="K1018" s="71">
        <v>26</v>
      </c>
      <c r="L1018" t="s">
        <v>17</v>
      </c>
      <c r="M1018" s="5">
        <f t="shared" si="6"/>
        <v>3.7142857142857144</v>
      </c>
    </row>
    <row r="1019" spans="1:13" x14ac:dyDescent="0.25">
      <c r="A1019" s="16">
        <v>2628</v>
      </c>
      <c r="B1019" s="6" t="s">
        <v>10</v>
      </c>
      <c r="C1019" s="6" t="s">
        <v>59</v>
      </c>
      <c r="D1019" s="6" t="s">
        <v>60</v>
      </c>
      <c r="E1019" s="4" t="s">
        <v>13</v>
      </c>
      <c r="F1019" s="3">
        <v>1652002001</v>
      </c>
      <c r="G1019" s="11" t="s">
        <v>292</v>
      </c>
      <c r="H1019" s="11" t="s">
        <v>338</v>
      </c>
      <c r="I1019" s="4" t="s">
        <v>296</v>
      </c>
      <c r="J1019" s="4" t="s">
        <v>297</v>
      </c>
      <c r="K1019" s="71">
        <v>0.67</v>
      </c>
      <c r="L1019" t="s">
        <v>17</v>
      </c>
      <c r="M1019" s="5">
        <f t="shared" si="6"/>
        <v>9.5714285714285724E-2</v>
      </c>
    </row>
    <row r="1020" spans="1:13" x14ac:dyDescent="0.25">
      <c r="A1020" s="16">
        <v>2630</v>
      </c>
      <c r="B1020" s="6" t="s">
        <v>10</v>
      </c>
      <c r="C1020" s="6" t="s">
        <v>328</v>
      </c>
      <c r="E1020" s="4" t="s">
        <v>13</v>
      </c>
      <c r="F1020" s="3">
        <v>165001000</v>
      </c>
      <c r="G1020" s="11" t="s">
        <v>319</v>
      </c>
      <c r="H1020" s="11" t="s">
        <v>338</v>
      </c>
      <c r="I1020" s="4" t="s">
        <v>320</v>
      </c>
      <c r="J1020" s="4" t="s">
        <v>17</v>
      </c>
      <c r="K1020" s="71">
        <v>26</v>
      </c>
      <c r="L1020" t="s">
        <v>17</v>
      </c>
      <c r="M1020" s="5">
        <f t="shared" si="6"/>
        <v>3.7142857142857144</v>
      </c>
    </row>
    <row r="1021" spans="1:13" x14ac:dyDescent="0.25">
      <c r="A1021" s="16">
        <v>2632</v>
      </c>
      <c r="B1021" s="6" t="s">
        <v>10</v>
      </c>
      <c r="C1021" s="6" t="s">
        <v>59</v>
      </c>
      <c r="E1021" s="4" t="s">
        <v>13</v>
      </c>
      <c r="F1021" s="3">
        <v>165001000</v>
      </c>
      <c r="G1021" s="11" t="s">
        <v>319</v>
      </c>
      <c r="H1021" s="11" t="s">
        <v>338</v>
      </c>
      <c r="I1021" s="4" t="s">
        <v>320</v>
      </c>
      <c r="J1021" s="4" t="s">
        <v>17</v>
      </c>
      <c r="K1021" s="71">
        <v>26</v>
      </c>
      <c r="L1021" t="s">
        <v>17</v>
      </c>
      <c r="M1021" s="5">
        <f t="shared" si="6"/>
        <v>3.7142857142857144</v>
      </c>
    </row>
    <row r="1022" spans="1:13" x14ac:dyDescent="0.25">
      <c r="A1022" s="16">
        <v>2633</v>
      </c>
      <c r="B1022" s="6" t="s">
        <v>10</v>
      </c>
      <c r="C1022" s="6" t="s">
        <v>59</v>
      </c>
      <c r="D1022" s="6" t="s">
        <v>60</v>
      </c>
      <c r="E1022" s="4" t="s">
        <v>13</v>
      </c>
      <c r="F1022" s="3">
        <v>1165000000</v>
      </c>
      <c r="G1022" s="11" t="s">
        <v>216</v>
      </c>
      <c r="H1022" s="11" t="s">
        <v>215</v>
      </c>
      <c r="I1022" s="4">
        <v>3</v>
      </c>
      <c r="J1022" s="4" t="s">
        <v>16</v>
      </c>
      <c r="K1022" s="71">
        <v>3</v>
      </c>
      <c r="L1022" t="s">
        <v>17</v>
      </c>
      <c r="M1022" s="5">
        <f t="shared" si="6"/>
        <v>0.42857142857142855</v>
      </c>
    </row>
    <row r="1023" spans="1:13" x14ac:dyDescent="0.25">
      <c r="A1023" s="94">
        <v>2634</v>
      </c>
      <c r="B1023" s="6" t="s">
        <v>10</v>
      </c>
      <c r="C1023" s="6" t="s">
        <v>59</v>
      </c>
      <c r="D1023" s="6" t="s">
        <v>60</v>
      </c>
      <c r="E1023" s="4" t="s">
        <v>13</v>
      </c>
      <c r="F1023" s="3">
        <v>2798001000</v>
      </c>
      <c r="G1023" s="11" t="s">
        <v>346</v>
      </c>
      <c r="H1023" s="11" t="s">
        <v>342</v>
      </c>
      <c r="I1023" s="19" t="s">
        <v>280</v>
      </c>
      <c r="J1023" s="4" t="s">
        <v>348</v>
      </c>
      <c r="K1023" s="71">
        <v>2</v>
      </c>
      <c r="L1023" t="s">
        <v>37</v>
      </c>
      <c r="M1023" s="5">
        <f>K1023</f>
        <v>2</v>
      </c>
    </row>
    <row r="1024" spans="1:13" x14ac:dyDescent="0.25">
      <c r="A1024" s="125">
        <v>2644</v>
      </c>
      <c r="B1024" s="46" t="s">
        <v>31</v>
      </c>
      <c r="C1024" s="46" t="s">
        <v>729</v>
      </c>
      <c r="D1024" s="46" t="s">
        <v>40</v>
      </c>
      <c r="E1024" s="46" t="s">
        <v>13</v>
      </c>
      <c r="F1024" s="35">
        <v>1009015</v>
      </c>
      <c r="G1024" t="s">
        <v>730</v>
      </c>
      <c r="H1024" s="4"/>
      <c r="J1024" s="71"/>
      <c r="K1024"/>
      <c r="L1024" s="5"/>
      <c r="M1024"/>
    </row>
    <row r="1025" spans="1:13" x14ac:dyDescent="0.25">
      <c r="A1025" s="16">
        <v>2653</v>
      </c>
      <c r="B1025" s="6" t="s">
        <v>119</v>
      </c>
      <c r="C1025" s="6" t="s">
        <v>82</v>
      </c>
      <c r="D1025" s="6" t="s">
        <v>157</v>
      </c>
      <c r="E1025" s="4" t="s">
        <v>13</v>
      </c>
      <c r="F1025" s="3">
        <v>1176003000</v>
      </c>
      <c r="G1025" s="11" t="s">
        <v>158</v>
      </c>
      <c r="H1025" s="11" t="s">
        <v>337</v>
      </c>
      <c r="I1025" s="15" t="s">
        <v>138</v>
      </c>
      <c r="J1025" s="15" t="s">
        <v>159</v>
      </c>
      <c r="K1025" s="71">
        <v>2</v>
      </c>
      <c r="L1025" t="s">
        <v>160</v>
      </c>
      <c r="M1025" s="5">
        <f>K1025/60</f>
        <v>3.3333333333333333E-2</v>
      </c>
    </row>
    <row r="1026" spans="1:13" x14ac:dyDescent="0.25">
      <c r="A1026" s="16">
        <v>2654</v>
      </c>
      <c r="B1026" s="6" t="s">
        <v>43</v>
      </c>
      <c r="C1026" s="6" t="s">
        <v>82</v>
      </c>
      <c r="D1026" s="6" t="s">
        <v>83</v>
      </c>
      <c r="E1026" s="4" t="s">
        <v>13</v>
      </c>
      <c r="F1026" s="3">
        <v>18001000</v>
      </c>
      <c r="G1026" t="s">
        <v>825</v>
      </c>
      <c r="H1026" s="11" t="s">
        <v>64</v>
      </c>
      <c r="I1026" s="4">
        <v>20</v>
      </c>
      <c r="J1026" s="4" t="s">
        <v>75</v>
      </c>
      <c r="K1026" s="71">
        <v>20</v>
      </c>
      <c r="L1026" t="s">
        <v>21</v>
      </c>
      <c r="M1026" s="5">
        <f>K1026/30</f>
        <v>0.66666666666666663</v>
      </c>
    </row>
    <row r="1027" spans="1:13" x14ac:dyDescent="0.25">
      <c r="A1027" s="16">
        <v>2655</v>
      </c>
      <c r="B1027" s="46" t="s">
        <v>284</v>
      </c>
      <c r="C1027" s="46" t="s">
        <v>395</v>
      </c>
      <c r="D1027" s="46" t="s">
        <v>731</v>
      </c>
      <c r="E1027" s="4" t="s">
        <v>13</v>
      </c>
      <c r="F1027" s="46">
        <v>18001000</v>
      </c>
      <c r="G1027" t="s">
        <v>566</v>
      </c>
      <c r="H1027" s="11" t="s">
        <v>64</v>
      </c>
      <c r="I1027" s="4" t="s">
        <v>483</v>
      </c>
      <c r="J1027" s="4" t="s">
        <v>484</v>
      </c>
      <c r="K1027" s="71">
        <v>3</v>
      </c>
      <c r="L1027" t="s">
        <v>17</v>
      </c>
      <c r="M1027" s="5">
        <f>K1027/7</f>
        <v>0.42857142857142855</v>
      </c>
    </row>
    <row r="1028" spans="1:13" x14ac:dyDescent="0.25">
      <c r="A1028" s="16">
        <v>2658</v>
      </c>
      <c r="B1028" s="6" t="s">
        <v>10</v>
      </c>
      <c r="C1028" s="6" t="s">
        <v>59</v>
      </c>
      <c r="D1028" s="6" t="s">
        <v>60</v>
      </c>
      <c r="E1028" s="4" t="s">
        <v>13</v>
      </c>
      <c r="F1028" s="3">
        <v>2514001000</v>
      </c>
      <c r="G1028" s="11" t="s">
        <v>435</v>
      </c>
      <c r="H1028" t="s">
        <v>428</v>
      </c>
      <c r="I1028" s="4" t="s">
        <v>231</v>
      </c>
      <c r="J1028" s="4" t="s">
        <v>231</v>
      </c>
      <c r="K1028" s="71">
        <v>0</v>
      </c>
      <c r="L1028" t="str">
        <f>J1028</f>
        <v>back up</v>
      </c>
      <c r="M1028" s="5">
        <f>K1028</f>
        <v>0</v>
      </c>
    </row>
    <row r="1029" spans="1:13" x14ac:dyDescent="0.25">
      <c r="A1029" s="16">
        <v>2659</v>
      </c>
      <c r="B1029" s="6" t="s">
        <v>10</v>
      </c>
      <c r="C1029" s="6" t="s">
        <v>59</v>
      </c>
      <c r="D1029" s="6" t="s">
        <v>60</v>
      </c>
      <c r="E1029" s="4" t="s">
        <v>13</v>
      </c>
      <c r="F1029" s="46">
        <v>3260001000</v>
      </c>
      <c r="G1029" t="s">
        <v>732</v>
      </c>
      <c r="H1029" s="11" t="s">
        <v>549</v>
      </c>
      <c r="I1029" s="4">
        <v>4</v>
      </c>
      <c r="J1029" s="4" t="s">
        <v>17</v>
      </c>
      <c r="K1029" s="71">
        <v>4</v>
      </c>
      <c r="L1029" t="s">
        <v>17</v>
      </c>
      <c r="M1029" s="5">
        <f>K1029/7</f>
        <v>0.5714285714285714</v>
      </c>
    </row>
    <row r="1030" spans="1:13" x14ac:dyDescent="0.25">
      <c r="A1030" s="123">
        <v>2662</v>
      </c>
      <c r="B1030" s="79" t="s">
        <v>10</v>
      </c>
      <c r="C1030" s="79" t="s">
        <v>59</v>
      </c>
      <c r="D1030" s="79" t="s">
        <v>60</v>
      </c>
      <c r="E1030" s="4" t="s">
        <v>13</v>
      </c>
      <c r="F1030" s="76">
        <v>3168001000</v>
      </c>
      <c r="G1030" t="s">
        <v>693</v>
      </c>
      <c r="H1030" t="s">
        <v>883</v>
      </c>
      <c r="I1030" s="4" t="s">
        <v>885</v>
      </c>
      <c r="J1030" s="4" t="s">
        <v>885</v>
      </c>
      <c r="K1030" s="71">
        <v>0</v>
      </c>
      <c r="L1030" t="str">
        <f>J1030</f>
        <v xml:space="preserve">back up </v>
      </c>
      <c r="M1030" s="5">
        <v>0</v>
      </c>
    </row>
    <row r="1031" spans="1:13" x14ac:dyDescent="0.25">
      <c r="A1031" s="16">
        <v>2663</v>
      </c>
      <c r="B1031" s="6" t="s">
        <v>119</v>
      </c>
      <c r="C1031" s="6" t="s">
        <v>82</v>
      </c>
      <c r="D1031" s="6" t="s">
        <v>157</v>
      </c>
      <c r="E1031" s="4" t="s">
        <v>13</v>
      </c>
      <c r="F1031" s="3">
        <v>66011000</v>
      </c>
      <c r="G1031" s="11" t="s">
        <v>440</v>
      </c>
      <c r="H1031" t="s">
        <v>521</v>
      </c>
      <c r="I1031" s="4" t="s">
        <v>522</v>
      </c>
      <c r="J1031" s="4" t="s">
        <v>522</v>
      </c>
      <c r="K1031" s="71">
        <v>0</v>
      </c>
      <c r="L1031" t="str">
        <f>J1031</f>
        <v>Operativos</v>
      </c>
      <c r="M1031" s="5">
        <f>K1031</f>
        <v>0</v>
      </c>
    </row>
    <row r="1032" spans="1:13" x14ac:dyDescent="0.25">
      <c r="A1032" s="16">
        <v>2669</v>
      </c>
      <c r="B1032" s="6" t="s">
        <v>70</v>
      </c>
      <c r="C1032" s="6" t="s">
        <v>395</v>
      </c>
      <c r="D1032" s="6" t="s">
        <v>469</v>
      </c>
      <c r="E1032" s="4" t="s">
        <v>13</v>
      </c>
      <c r="F1032" s="3">
        <v>2126003000</v>
      </c>
      <c r="G1032" s="11" t="s">
        <v>468</v>
      </c>
      <c r="H1032" s="11" t="s">
        <v>467</v>
      </c>
      <c r="I1032" s="4">
        <v>3</v>
      </c>
      <c r="J1032" s="4" t="s">
        <v>487</v>
      </c>
      <c r="K1032" s="71">
        <v>3</v>
      </c>
      <c r="L1032" t="s">
        <v>17</v>
      </c>
      <c r="M1032" s="5">
        <f>K1032/7</f>
        <v>0.42857142857142855</v>
      </c>
    </row>
    <row r="1033" spans="1:13" x14ac:dyDescent="0.25">
      <c r="A1033" s="16">
        <v>2678</v>
      </c>
      <c r="B1033" s="6" t="s">
        <v>70</v>
      </c>
      <c r="C1033" s="6" t="s">
        <v>22</v>
      </c>
      <c r="D1033" s="6" t="s">
        <v>40</v>
      </c>
      <c r="E1033" s="4" t="s">
        <v>13</v>
      </c>
      <c r="F1033" s="3">
        <v>66011000</v>
      </c>
      <c r="G1033" s="11" t="s">
        <v>440</v>
      </c>
      <c r="H1033" t="s">
        <v>521</v>
      </c>
      <c r="I1033" s="4" t="s">
        <v>522</v>
      </c>
      <c r="J1033" s="4" t="s">
        <v>522</v>
      </c>
      <c r="K1033" s="71">
        <v>0</v>
      </c>
      <c r="L1033" t="str">
        <f>J1033</f>
        <v>Operativos</v>
      </c>
      <c r="M1033" s="5">
        <f>K1033</f>
        <v>0</v>
      </c>
    </row>
    <row r="1034" spans="1:13" x14ac:dyDescent="0.25">
      <c r="A1034" s="16">
        <v>2679</v>
      </c>
      <c r="B1034" s="6" t="s">
        <v>10</v>
      </c>
      <c r="C1034" s="6" t="s">
        <v>59</v>
      </c>
      <c r="D1034" s="6" t="s">
        <v>60</v>
      </c>
      <c r="E1034" s="4" t="s">
        <v>13</v>
      </c>
      <c r="F1034" s="3">
        <v>2548079000</v>
      </c>
      <c r="G1034" s="11" t="s">
        <v>61</v>
      </c>
      <c r="H1034" s="11" t="s">
        <v>339</v>
      </c>
      <c r="I1034" s="4" t="s">
        <v>15</v>
      </c>
      <c r="J1034" s="4" t="s">
        <v>20</v>
      </c>
      <c r="K1034" s="71">
        <v>0.5</v>
      </c>
      <c r="L1034" t="s">
        <v>21</v>
      </c>
      <c r="M1034" s="5">
        <f>K1034/30</f>
        <v>1.6666666666666666E-2</v>
      </c>
    </row>
    <row r="1035" spans="1:13" x14ac:dyDescent="0.25">
      <c r="A1035" s="16">
        <v>2684</v>
      </c>
      <c r="B1035" s="6" t="s">
        <v>10</v>
      </c>
      <c r="C1035" s="6" t="s">
        <v>59</v>
      </c>
      <c r="D1035" s="6" t="s">
        <v>60</v>
      </c>
      <c r="E1035" s="4" t="s">
        <v>13</v>
      </c>
      <c r="F1035" s="3">
        <v>165001000</v>
      </c>
      <c r="G1035" s="11" t="s">
        <v>319</v>
      </c>
      <c r="H1035" s="11" t="s">
        <v>338</v>
      </c>
      <c r="I1035" s="4" t="s">
        <v>320</v>
      </c>
      <c r="J1035" s="4" t="s">
        <v>17</v>
      </c>
      <c r="K1035" s="71">
        <v>26</v>
      </c>
      <c r="L1035" t="s">
        <v>17</v>
      </c>
      <c r="M1035" s="5">
        <f>K1035/7</f>
        <v>3.7142857142857144</v>
      </c>
    </row>
    <row r="1036" spans="1:13" x14ac:dyDescent="0.25">
      <c r="A1036" s="16">
        <v>2697</v>
      </c>
      <c r="B1036" s="6" t="s">
        <v>31</v>
      </c>
      <c r="C1036" s="6" t="s">
        <v>32</v>
      </c>
      <c r="D1036" s="6" t="s">
        <v>33</v>
      </c>
      <c r="E1036" s="4" t="s">
        <v>13</v>
      </c>
      <c r="F1036" s="3">
        <v>3300200000</v>
      </c>
      <c r="G1036" s="11" t="s">
        <v>89</v>
      </c>
      <c r="H1036" s="11" t="s">
        <v>64</v>
      </c>
      <c r="J1036" s="4" t="s">
        <v>91</v>
      </c>
      <c r="K1036" s="71">
        <v>60</v>
      </c>
      <c r="L1036" t="s">
        <v>21</v>
      </c>
      <c r="M1036" s="5">
        <f>K1036/30</f>
        <v>2</v>
      </c>
    </row>
    <row r="1037" spans="1:13" x14ac:dyDescent="0.25">
      <c r="A1037" s="16">
        <v>2710</v>
      </c>
      <c r="B1037" s="6" t="s">
        <v>199</v>
      </c>
      <c r="C1037" s="6" t="s">
        <v>200</v>
      </c>
      <c r="D1037" s="6" t="s">
        <v>40</v>
      </c>
      <c r="E1037" s="4" t="s">
        <v>13</v>
      </c>
      <c r="F1037" s="3">
        <v>2126001000</v>
      </c>
      <c r="G1037" s="11" t="s">
        <v>264</v>
      </c>
      <c r="H1037" s="11" t="s">
        <v>265</v>
      </c>
      <c r="I1037" s="19" t="s">
        <v>266</v>
      </c>
      <c r="J1037" s="19" t="s">
        <v>267</v>
      </c>
      <c r="K1037" s="71">
        <v>12</v>
      </c>
      <c r="L1037" t="s">
        <v>17</v>
      </c>
      <c r="M1037" s="5">
        <f>K1037/7</f>
        <v>1.7142857142857142</v>
      </c>
    </row>
    <row r="1038" spans="1:13" x14ac:dyDescent="0.25">
      <c r="A1038" s="16">
        <v>2712</v>
      </c>
      <c r="B1038" s="6" t="s">
        <v>119</v>
      </c>
      <c r="C1038" s="6" t="s">
        <v>82</v>
      </c>
      <c r="D1038" s="6" t="s">
        <v>157</v>
      </c>
      <c r="E1038" s="4" t="s">
        <v>13</v>
      </c>
      <c r="F1038" s="3">
        <v>1165000000</v>
      </c>
      <c r="G1038" s="11" t="s">
        <v>216</v>
      </c>
      <c r="H1038" s="11" t="s">
        <v>215</v>
      </c>
      <c r="I1038" s="4">
        <v>3</v>
      </c>
      <c r="J1038" s="4" t="s">
        <v>16</v>
      </c>
      <c r="K1038" s="71">
        <v>3</v>
      </c>
      <c r="L1038" t="s">
        <v>17</v>
      </c>
      <c r="M1038" s="5">
        <f>K1038/7</f>
        <v>0.42857142857142855</v>
      </c>
    </row>
    <row r="1039" spans="1:13" x14ac:dyDescent="0.25">
      <c r="A1039" s="16">
        <v>2714</v>
      </c>
      <c r="B1039" s="6" t="s">
        <v>31</v>
      </c>
      <c r="C1039" s="6" t="s">
        <v>32</v>
      </c>
      <c r="D1039" s="6" t="s">
        <v>213</v>
      </c>
      <c r="E1039" s="4" t="s">
        <v>13</v>
      </c>
      <c r="F1039" s="3">
        <v>2126001000</v>
      </c>
      <c r="G1039" s="11" t="s">
        <v>264</v>
      </c>
      <c r="H1039" t="s">
        <v>265</v>
      </c>
      <c r="I1039" s="4" t="s">
        <v>231</v>
      </c>
      <c r="J1039" s="4" t="s">
        <v>231</v>
      </c>
      <c r="K1039" s="71">
        <v>0</v>
      </c>
      <c r="L1039" t="str">
        <f>J1039</f>
        <v>back up</v>
      </c>
      <c r="M1039" s="5">
        <v>0</v>
      </c>
    </row>
    <row r="1040" spans="1:13" x14ac:dyDescent="0.25">
      <c r="A1040" s="16">
        <v>2716</v>
      </c>
      <c r="B1040" s="6" t="s">
        <v>10</v>
      </c>
      <c r="C1040" s="6" t="s">
        <v>59</v>
      </c>
      <c r="D1040" s="6" t="s">
        <v>73</v>
      </c>
      <c r="E1040" s="4" t="s">
        <v>13</v>
      </c>
      <c r="F1040" s="3">
        <v>1817001000</v>
      </c>
      <c r="G1040" s="11" t="s">
        <v>453</v>
      </c>
      <c r="H1040" s="11" t="s">
        <v>467</v>
      </c>
      <c r="I1040" s="4" t="s">
        <v>486</v>
      </c>
      <c r="J1040" s="4" t="s">
        <v>487</v>
      </c>
      <c r="K1040" s="105">
        <f>20/60</f>
        <v>0.33333333333333331</v>
      </c>
      <c r="L1040" t="s">
        <v>17</v>
      </c>
      <c r="M1040" s="5">
        <f>K1040/7</f>
        <v>4.7619047619047616E-2</v>
      </c>
    </row>
    <row r="1041" spans="1:13" x14ac:dyDescent="0.25">
      <c r="A1041" s="123">
        <v>2717</v>
      </c>
      <c r="B1041" s="76" t="s">
        <v>10</v>
      </c>
      <c r="C1041" s="76" t="s">
        <v>59</v>
      </c>
      <c r="D1041" s="76" t="s">
        <v>60</v>
      </c>
      <c r="E1041" s="4" t="s">
        <v>13</v>
      </c>
      <c r="F1041" s="76">
        <v>2916001000</v>
      </c>
      <c r="G1041" t="s">
        <v>612</v>
      </c>
      <c r="H1041" t="s">
        <v>380</v>
      </c>
      <c r="I1041" s="4" t="s">
        <v>493</v>
      </c>
      <c r="J1041" s="4" t="s">
        <v>523</v>
      </c>
      <c r="K1041" s="71">
        <v>2</v>
      </c>
      <c r="L1041" t="s">
        <v>17</v>
      </c>
      <c r="M1041">
        <f>K1041/7</f>
        <v>0.2857142857142857</v>
      </c>
    </row>
    <row r="1042" spans="1:13" x14ac:dyDescent="0.25">
      <c r="A1042" s="16">
        <v>2723</v>
      </c>
      <c r="B1042" s="3" t="s">
        <v>10</v>
      </c>
      <c r="C1042" s="3" t="s">
        <v>59</v>
      </c>
      <c r="D1042" s="3" t="s">
        <v>60</v>
      </c>
      <c r="E1042" s="4" t="s">
        <v>13</v>
      </c>
      <c r="F1042" s="3">
        <v>2548066000</v>
      </c>
      <c r="G1042" t="s">
        <v>737</v>
      </c>
      <c r="H1042" s="11" t="s">
        <v>829</v>
      </c>
      <c r="I1042" s="4">
        <v>10</v>
      </c>
      <c r="J1042" s="4" t="s">
        <v>115</v>
      </c>
      <c r="K1042" s="71">
        <v>10</v>
      </c>
      <c r="L1042" t="s">
        <v>21</v>
      </c>
      <c r="M1042" s="5">
        <f>K1042/30</f>
        <v>0.33333333333333331</v>
      </c>
    </row>
    <row r="1043" spans="1:13" x14ac:dyDescent="0.25">
      <c r="A1043" s="16">
        <v>2724</v>
      </c>
      <c r="B1043" s="6" t="s">
        <v>10</v>
      </c>
      <c r="C1043" s="6" t="s">
        <v>59</v>
      </c>
      <c r="D1043" s="6" t="s">
        <v>60</v>
      </c>
      <c r="E1043" s="4" t="s">
        <v>13</v>
      </c>
      <c r="F1043" s="3">
        <v>1652002001</v>
      </c>
      <c r="G1043" s="11" t="s">
        <v>292</v>
      </c>
      <c r="H1043" s="11" t="s">
        <v>338</v>
      </c>
      <c r="I1043" s="4" t="s">
        <v>294</v>
      </c>
      <c r="J1043" s="4" t="s">
        <v>293</v>
      </c>
      <c r="K1043" s="71">
        <v>0.5</v>
      </c>
      <c r="L1043" t="s">
        <v>17</v>
      </c>
      <c r="M1043" s="5">
        <f>K1043/7</f>
        <v>7.1428571428571425E-2</v>
      </c>
    </row>
    <row r="1044" spans="1:13" x14ac:dyDescent="0.25">
      <c r="A1044" s="16">
        <v>2725</v>
      </c>
      <c r="B1044" s="6" t="s">
        <v>10</v>
      </c>
      <c r="C1044" s="6" t="s">
        <v>59</v>
      </c>
      <c r="D1044" s="6" t="s">
        <v>60</v>
      </c>
      <c r="E1044" s="4" t="s">
        <v>13</v>
      </c>
      <c r="F1044" s="3">
        <v>1023006</v>
      </c>
      <c r="G1044" s="11" t="s">
        <v>307</v>
      </c>
      <c r="H1044" t="s">
        <v>338</v>
      </c>
      <c r="I1044" s="4" t="s">
        <v>231</v>
      </c>
      <c r="J1044" s="4" t="s">
        <v>231</v>
      </c>
      <c r="K1044" s="71">
        <v>0</v>
      </c>
      <c r="L1044" t="str">
        <f>J1044</f>
        <v>back up</v>
      </c>
      <c r="M1044" s="5">
        <v>0</v>
      </c>
    </row>
    <row r="1045" spans="1:13" x14ac:dyDescent="0.25">
      <c r="A1045" s="16">
        <v>2726</v>
      </c>
      <c r="B1045" s="6" t="s">
        <v>18</v>
      </c>
      <c r="C1045" s="6" t="s">
        <v>11</v>
      </c>
      <c r="D1045" s="6" t="s">
        <v>19</v>
      </c>
      <c r="E1045" s="4" t="s">
        <v>13</v>
      </c>
      <c r="F1045" s="3">
        <v>3182003000</v>
      </c>
      <c r="G1045" s="11" t="s">
        <v>398</v>
      </c>
      <c r="H1045" s="11" t="s">
        <v>380</v>
      </c>
      <c r="I1045" s="4" t="s">
        <v>290</v>
      </c>
      <c r="J1045" s="4" t="s">
        <v>353</v>
      </c>
      <c r="K1045" s="71">
        <v>2</v>
      </c>
      <c r="L1045" t="s">
        <v>17</v>
      </c>
      <c r="M1045" s="5">
        <f>K1045/7</f>
        <v>0.2857142857142857</v>
      </c>
    </row>
    <row r="1046" spans="1:13" x14ac:dyDescent="0.25">
      <c r="A1046" s="16">
        <v>2730</v>
      </c>
      <c r="B1046" s="6" t="s">
        <v>199</v>
      </c>
      <c r="C1046" s="6" t="s">
        <v>200</v>
      </c>
      <c r="D1046" s="6" t="s">
        <v>40</v>
      </c>
      <c r="E1046" s="4" t="s">
        <v>13</v>
      </c>
      <c r="F1046" s="3">
        <v>2126001000</v>
      </c>
      <c r="G1046" s="11" t="s">
        <v>264</v>
      </c>
      <c r="H1046" s="11" t="s">
        <v>265</v>
      </c>
      <c r="I1046" s="19" t="s">
        <v>266</v>
      </c>
      <c r="J1046" s="19" t="s">
        <v>267</v>
      </c>
      <c r="K1046" s="71">
        <v>12</v>
      </c>
      <c r="L1046" t="s">
        <v>17</v>
      </c>
      <c r="M1046" s="5">
        <f>K1046/7</f>
        <v>1.7142857142857142</v>
      </c>
    </row>
    <row r="1047" spans="1:13" x14ac:dyDescent="0.25">
      <c r="A1047" s="16">
        <v>2731</v>
      </c>
      <c r="B1047" s="6" t="s">
        <v>199</v>
      </c>
      <c r="C1047" s="6" t="s">
        <v>200</v>
      </c>
      <c r="D1047" s="6" t="s">
        <v>40</v>
      </c>
      <c r="E1047" s="4" t="s">
        <v>13</v>
      </c>
      <c r="F1047" s="3">
        <v>2126001000</v>
      </c>
      <c r="G1047" s="11" t="s">
        <v>264</v>
      </c>
      <c r="H1047" s="11" t="s">
        <v>265</v>
      </c>
      <c r="I1047" s="19" t="s">
        <v>266</v>
      </c>
      <c r="J1047" s="19" t="s">
        <v>267</v>
      </c>
      <c r="K1047" s="71">
        <v>12</v>
      </c>
      <c r="L1047" t="s">
        <v>17</v>
      </c>
      <c r="M1047" s="5">
        <f>K1047/7</f>
        <v>1.7142857142857142</v>
      </c>
    </row>
    <row r="1048" spans="1:13" x14ac:dyDescent="0.25">
      <c r="A1048" s="16">
        <v>2732</v>
      </c>
      <c r="B1048" s="6" t="s">
        <v>199</v>
      </c>
      <c r="C1048" s="6" t="s">
        <v>200</v>
      </c>
      <c r="D1048" s="6" t="s">
        <v>40</v>
      </c>
      <c r="E1048" s="4" t="s">
        <v>13</v>
      </c>
      <c r="F1048" s="3">
        <v>2126001000</v>
      </c>
      <c r="G1048" s="11" t="s">
        <v>264</v>
      </c>
      <c r="H1048" t="s">
        <v>265</v>
      </c>
      <c r="I1048" s="4" t="s">
        <v>231</v>
      </c>
      <c r="J1048" s="4" t="s">
        <v>231</v>
      </c>
      <c r="K1048" s="71">
        <v>0</v>
      </c>
      <c r="L1048" t="str">
        <f t="shared" ref="L1048:L1053" si="7">J1048</f>
        <v>back up</v>
      </c>
      <c r="M1048" s="5">
        <v>0</v>
      </c>
    </row>
    <row r="1049" spans="1:13" x14ac:dyDescent="0.25">
      <c r="A1049" s="16">
        <v>2733</v>
      </c>
      <c r="B1049" s="6" t="s">
        <v>199</v>
      </c>
      <c r="C1049" s="6" t="s">
        <v>200</v>
      </c>
      <c r="D1049" s="6" t="s">
        <v>40</v>
      </c>
      <c r="E1049" s="4" t="s">
        <v>13</v>
      </c>
      <c r="F1049" s="3">
        <v>2126001000</v>
      </c>
      <c r="G1049" s="11" t="s">
        <v>264</v>
      </c>
      <c r="H1049" t="s">
        <v>265</v>
      </c>
      <c r="I1049" s="4" t="s">
        <v>231</v>
      </c>
      <c r="J1049" s="4" t="s">
        <v>231</v>
      </c>
      <c r="K1049" s="71">
        <v>0</v>
      </c>
      <c r="L1049" t="str">
        <f t="shared" si="7"/>
        <v>back up</v>
      </c>
      <c r="M1049" s="5">
        <v>0</v>
      </c>
    </row>
    <row r="1050" spans="1:13" x14ac:dyDescent="0.25">
      <c r="A1050" s="16">
        <v>2734</v>
      </c>
      <c r="B1050" s="6" t="s">
        <v>199</v>
      </c>
      <c r="C1050" s="6" t="s">
        <v>200</v>
      </c>
      <c r="D1050" s="6" t="s">
        <v>40</v>
      </c>
      <c r="E1050" s="4" t="s">
        <v>13</v>
      </c>
      <c r="F1050" s="3">
        <v>2126001000</v>
      </c>
      <c r="G1050" s="11" t="s">
        <v>264</v>
      </c>
      <c r="H1050" t="s">
        <v>265</v>
      </c>
      <c r="I1050" s="4" t="s">
        <v>231</v>
      </c>
      <c r="J1050" s="4" t="s">
        <v>231</v>
      </c>
      <c r="K1050" s="71">
        <v>0</v>
      </c>
      <c r="L1050" t="str">
        <f t="shared" si="7"/>
        <v>back up</v>
      </c>
      <c r="M1050" s="5">
        <v>0</v>
      </c>
    </row>
    <row r="1051" spans="1:13" x14ac:dyDescent="0.25">
      <c r="A1051" s="16">
        <v>2735</v>
      </c>
      <c r="B1051" s="6" t="s">
        <v>199</v>
      </c>
      <c r="C1051" s="6" t="s">
        <v>200</v>
      </c>
      <c r="D1051" s="6" t="s">
        <v>40</v>
      </c>
      <c r="E1051" s="4" t="s">
        <v>13</v>
      </c>
      <c r="F1051" s="3">
        <v>2126001000</v>
      </c>
      <c r="G1051" s="11" t="s">
        <v>264</v>
      </c>
      <c r="H1051" t="s">
        <v>265</v>
      </c>
      <c r="I1051" s="4" t="s">
        <v>231</v>
      </c>
      <c r="J1051" s="4" t="s">
        <v>231</v>
      </c>
      <c r="K1051" s="71">
        <v>0</v>
      </c>
      <c r="L1051" t="str">
        <f t="shared" si="7"/>
        <v>back up</v>
      </c>
      <c r="M1051" s="5">
        <v>0</v>
      </c>
    </row>
    <row r="1052" spans="1:13" x14ac:dyDescent="0.25">
      <c r="A1052" s="16">
        <v>2741</v>
      </c>
      <c r="B1052" s="6" t="s">
        <v>199</v>
      </c>
      <c r="C1052" s="6" t="s">
        <v>200</v>
      </c>
      <c r="D1052" s="6" t="s">
        <v>40</v>
      </c>
      <c r="E1052" s="4" t="s">
        <v>13</v>
      </c>
      <c r="F1052" s="3">
        <v>66011000</v>
      </c>
      <c r="G1052" s="11" t="s">
        <v>440</v>
      </c>
      <c r="H1052" t="s">
        <v>521</v>
      </c>
      <c r="I1052" s="4" t="s">
        <v>522</v>
      </c>
      <c r="J1052" s="4" t="s">
        <v>522</v>
      </c>
      <c r="K1052" s="71">
        <v>0</v>
      </c>
      <c r="L1052" t="str">
        <f t="shared" si="7"/>
        <v>Operativos</v>
      </c>
      <c r="M1052" s="5">
        <f>K1052</f>
        <v>0</v>
      </c>
    </row>
    <row r="1053" spans="1:13" x14ac:dyDescent="0.25">
      <c r="A1053" s="125">
        <v>2752</v>
      </c>
      <c r="B1053" s="74" t="s">
        <v>738</v>
      </c>
      <c r="C1053" s="74" t="s">
        <v>739</v>
      </c>
      <c r="D1053" s="74" t="s">
        <v>740</v>
      </c>
      <c r="E1053" s="4" t="s">
        <v>13</v>
      </c>
      <c r="F1053" s="74">
        <v>2514001000</v>
      </c>
      <c r="G1053" s="75" t="s">
        <v>623</v>
      </c>
      <c r="H1053" s="75" t="s">
        <v>428</v>
      </c>
      <c r="I1053" s="103" t="s">
        <v>1062</v>
      </c>
      <c r="J1053" s="103" t="s">
        <v>1062</v>
      </c>
      <c r="K1053" s="71">
        <v>0</v>
      </c>
      <c r="L1053" t="str">
        <f t="shared" si="7"/>
        <v xml:space="preserve">A pedido </v>
      </c>
      <c r="M1053" s="5">
        <v>0</v>
      </c>
    </row>
    <row r="1054" spans="1:13" x14ac:dyDescent="0.25">
      <c r="A1054" s="16">
        <v>2754</v>
      </c>
      <c r="B1054" s="40" t="s">
        <v>163</v>
      </c>
      <c r="C1054" s="40" t="s">
        <v>164</v>
      </c>
      <c r="D1054" s="40" t="s">
        <v>40</v>
      </c>
      <c r="E1054" s="4" t="s">
        <v>13</v>
      </c>
      <c r="F1054" s="61">
        <v>1000011</v>
      </c>
      <c r="G1054" s="12" t="s">
        <v>165</v>
      </c>
      <c r="H1054" s="9"/>
      <c r="I1054" s="10"/>
      <c r="J1054" s="10"/>
      <c r="K1054" s="107">
        <v>0</v>
      </c>
      <c r="L1054" s="9"/>
      <c r="M1054" s="13"/>
    </row>
    <row r="1055" spans="1:13" x14ac:dyDescent="0.25">
      <c r="A1055" s="110">
        <v>2755</v>
      </c>
      <c r="B1055" s="20" t="s">
        <v>31</v>
      </c>
      <c r="C1055" s="20" t="s">
        <v>288</v>
      </c>
      <c r="D1055" s="20">
        <v>330</v>
      </c>
      <c r="E1055" s="4" t="s">
        <v>13</v>
      </c>
      <c r="F1055" s="3">
        <v>2126001000</v>
      </c>
      <c r="G1055" s="11" t="s">
        <v>264</v>
      </c>
      <c r="H1055" t="s">
        <v>265</v>
      </c>
      <c r="I1055" s="4" t="s">
        <v>231</v>
      </c>
      <c r="J1055" s="4" t="s">
        <v>231</v>
      </c>
      <c r="K1055" s="71">
        <v>0</v>
      </c>
      <c r="L1055" t="str">
        <f>J1055</f>
        <v>back up</v>
      </c>
      <c r="M1055" s="5">
        <v>0</v>
      </c>
    </row>
    <row r="1056" spans="1:13" x14ac:dyDescent="0.25">
      <c r="A1056" s="16">
        <v>2758</v>
      </c>
      <c r="B1056" s="6" t="s">
        <v>10</v>
      </c>
      <c r="C1056" s="6" t="s">
        <v>11</v>
      </c>
      <c r="D1056" s="6" t="s">
        <v>73</v>
      </c>
      <c r="E1056" s="4" t="s">
        <v>13</v>
      </c>
      <c r="F1056" s="3">
        <v>165001000</v>
      </c>
      <c r="G1056" s="11" t="s">
        <v>319</v>
      </c>
      <c r="H1056" s="11" t="s">
        <v>338</v>
      </c>
      <c r="I1056" s="4" t="s">
        <v>320</v>
      </c>
      <c r="J1056" s="4" t="s">
        <v>17</v>
      </c>
      <c r="K1056" s="71">
        <v>26</v>
      </c>
      <c r="L1056" t="s">
        <v>17</v>
      </c>
      <c r="M1056" s="5">
        <f>K1056/7</f>
        <v>3.7142857142857144</v>
      </c>
    </row>
    <row r="1057" spans="1:13" x14ac:dyDescent="0.25">
      <c r="A1057" s="16">
        <v>2759</v>
      </c>
      <c r="B1057" s="6" t="s">
        <v>10</v>
      </c>
      <c r="C1057" s="6" t="s">
        <v>11</v>
      </c>
      <c r="D1057" s="6" t="s">
        <v>73</v>
      </c>
      <c r="E1057" s="4" t="s">
        <v>13</v>
      </c>
      <c r="F1057" s="3">
        <v>165001000</v>
      </c>
      <c r="G1057" s="11" t="s">
        <v>319</v>
      </c>
      <c r="H1057" s="11" t="s">
        <v>338</v>
      </c>
      <c r="I1057" s="4" t="s">
        <v>320</v>
      </c>
      <c r="J1057" s="4" t="s">
        <v>17</v>
      </c>
      <c r="K1057" s="71">
        <v>26</v>
      </c>
      <c r="L1057" t="s">
        <v>17</v>
      </c>
      <c r="M1057" s="5">
        <f>K1057/7</f>
        <v>3.7142857142857144</v>
      </c>
    </row>
    <row r="1058" spans="1:13" x14ac:dyDescent="0.25">
      <c r="A1058" s="125">
        <v>2760</v>
      </c>
      <c r="B1058" s="46" t="s">
        <v>10</v>
      </c>
      <c r="C1058" s="46" t="s">
        <v>11</v>
      </c>
      <c r="D1058" s="46" t="s">
        <v>73</v>
      </c>
      <c r="E1058" s="46" t="s">
        <v>13</v>
      </c>
      <c r="F1058" s="35">
        <v>1014001</v>
      </c>
      <c r="G1058" t="s">
        <v>543</v>
      </c>
      <c r="H1058" s="4"/>
      <c r="J1058" s="71"/>
      <c r="K1058"/>
      <c r="L1058" s="5"/>
      <c r="M1058"/>
    </row>
    <row r="1059" spans="1:13" x14ac:dyDescent="0.25">
      <c r="A1059" s="127">
        <v>2762</v>
      </c>
      <c r="B1059" s="46" t="s">
        <v>932</v>
      </c>
      <c r="C1059" s="46" t="s">
        <v>933</v>
      </c>
      <c r="D1059" s="46" t="s">
        <v>934</v>
      </c>
      <c r="E1059" s="46" t="s">
        <v>13</v>
      </c>
      <c r="F1059" s="35">
        <v>66011000</v>
      </c>
      <c r="G1059" t="s">
        <v>548</v>
      </c>
      <c r="H1059" s="4"/>
      <c r="J1059" s="71"/>
      <c r="K1059"/>
      <c r="L1059" s="5"/>
      <c r="M1059"/>
    </row>
    <row r="1060" spans="1:13" x14ac:dyDescent="0.25">
      <c r="A1060" s="16">
        <v>2768</v>
      </c>
      <c r="B1060" s="6" t="s">
        <v>10</v>
      </c>
      <c r="C1060" s="6" t="s">
        <v>161</v>
      </c>
      <c r="D1060" s="6">
        <v>15</v>
      </c>
      <c r="E1060" s="4" t="s">
        <v>13</v>
      </c>
      <c r="F1060" s="3">
        <v>3178002000</v>
      </c>
      <c r="G1060" s="11" t="s">
        <v>168</v>
      </c>
      <c r="H1060" s="11" t="s">
        <v>337</v>
      </c>
      <c r="I1060" s="4" t="s">
        <v>144</v>
      </c>
      <c r="J1060" s="4" t="s">
        <v>139</v>
      </c>
      <c r="K1060" s="71">
        <v>1</v>
      </c>
      <c r="L1060" t="s">
        <v>17</v>
      </c>
      <c r="M1060" s="5">
        <f>K1060/7</f>
        <v>0.14285714285714285</v>
      </c>
    </row>
    <row r="1061" spans="1:13" x14ac:dyDescent="0.25">
      <c r="A1061" s="16">
        <v>2769</v>
      </c>
      <c r="B1061" s="6" t="s">
        <v>10</v>
      </c>
      <c r="C1061" s="6" t="s">
        <v>161</v>
      </c>
      <c r="D1061" s="6">
        <v>15</v>
      </c>
      <c r="E1061" s="4" t="s">
        <v>13</v>
      </c>
      <c r="F1061" s="3">
        <v>1176003000</v>
      </c>
      <c r="G1061" s="11" t="s">
        <v>158</v>
      </c>
      <c r="H1061" s="11" t="s">
        <v>337</v>
      </c>
      <c r="I1061" s="15" t="s">
        <v>138</v>
      </c>
      <c r="J1061" s="15" t="s">
        <v>143</v>
      </c>
      <c r="K1061" s="71">
        <v>2</v>
      </c>
      <c r="L1061" t="s">
        <v>37</v>
      </c>
      <c r="M1061" s="5">
        <f>K1061</f>
        <v>2</v>
      </c>
    </row>
    <row r="1062" spans="1:13" x14ac:dyDescent="0.25">
      <c r="A1062" s="16">
        <v>2770</v>
      </c>
      <c r="B1062" s="6" t="s">
        <v>10</v>
      </c>
      <c r="C1062" s="6" t="s">
        <v>161</v>
      </c>
      <c r="D1062" s="6">
        <v>15</v>
      </c>
      <c r="E1062" s="4" t="s">
        <v>13</v>
      </c>
      <c r="F1062" s="3">
        <v>1176003000</v>
      </c>
      <c r="G1062" s="11" t="s">
        <v>158</v>
      </c>
      <c r="H1062" s="11" t="s">
        <v>337</v>
      </c>
      <c r="I1062" s="15" t="s">
        <v>144</v>
      </c>
      <c r="J1062" s="15" t="s">
        <v>143</v>
      </c>
      <c r="K1062" s="71">
        <v>1</v>
      </c>
      <c r="L1062" t="s">
        <v>37</v>
      </c>
      <c r="M1062" s="5">
        <f>K1062</f>
        <v>1</v>
      </c>
    </row>
    <row r="1063" spans="1:13" x14ac:dyDescent="0.25">
      <c r="A1063" s="16">
        <v>2772</v>
      </c>
      <c r="B1063" s="6" t="s">
        <v>70</v>
      </c>
      <c r="C1063" s="6" t="s">
        <v>162</v>
      </c>
      <c r="D1063" s="6">
        <v>165</v>
      </c>
      <c r="E1063" s="4" t="s">
        <v>13</v>
      </c>
      <c r="F1063" s="3">
        <v>1176003000</v>
      </c>
      <c r="G1063" s="11" t="s">
        <v>158</v>
      </c>
      <c r="H1063" s="11" t="s">
        <v>337</v>
      </c>
      <c r="I1063" s="15" t="s">
        <v>144</v>
      </c>
      <c r="J1063" s="15" t="s">
        <v>139</v>
      </c>
      <c r="K1063" s="71">
        <v>1</v>
      </c>
      <c r="L1063" t="s">
        <v>17</v>
      </c>
      <c r="M1063" s="5">
        <f>K1063/7</f>
        <v>0.14285714285714285</v>
      </c>
    </row>
    <row r="1064" spans="1:13" x14ac:dyDescent="0.25">
      <c r="A1064" s="16">
        <v>2773</v>
      </c>
      <c r="B1064" s="6" t="s">
        <v>43</v>
      </c>
      <c r="C1064" s="6" t="s">
        <v>162</v>
      </c>
      <c r="D1064" s="6">
        <v>1200</v>
      </c>
      <c r="E1064" s="4" t="s">
        <v>13</v>
      </c>
      <c r="F1064" s="3">
        <v>1176003000</v>
      </c>
      <c r="G1064" s="11" t="s">
        <v>158</v>
      </c>
      <c r="H1064" s="11" t="s">
        <v>337</v>
      </c>
      <c r="I1064" s="15" t="s">
        <v>144</v>
      </c>
      <c r="J1064" s="15" t="s">
        <v>139</v>
      </c>
      <c r="K1064" s="71">
        <v>1</v>
      </c>
      <c r="L1064" t="s">
        <v>17</v>
      </c>
      <c r="M1064" s="5">
        <f>K1064/7</f>
        <v>0.14285714285714285</v>
      </c>
    </row>
    <row r="1065" spans="1:13" x14ac:dyDescent="0.25">
      <c r="A1065" s="16">
        <v>2788</v>
      </c>
      <c r="B1065" s="6" t="s">
        <v>402</v>
      </c>
      <c r="C1065" s="6" t="s">
        <v>32</v>
      </c>
      <c r="D1065" s="6" t="s">
        <v>40</v>
      </c>
      <c r="E1065" s="4" t="s">
        <v>13</v>
      </c>
      <c r="F1065" s="3">
        <v>2905001000</v>
      </c>
      <c r="G1065" s="11" t="s">
        <v>400</v>
      </c>
      <c r="H1065" t="s">
        <v>380</v>
      </c>
      <c r="I1065" s="4" t="s">
        <v>231</v>
      </c>
      <c r="J1065" s="4" t="s">
        <v>231</v>
      </c>
      <c r="K1065" s="71">
        <v>0</v>
      </c>
      <c r="L1065" t="str">
        <f>J1065</f>
        <v>back up</v>
      </c>
      <c r="M1065" s="5">
        <v>0</v>
      </c>
    </row>
    <row r="1066" spans="1:13" x14ac:dyDescent="0.25">
      <c r="A1066" s="16">
        <v>2790</v>
      </c>
      <c r="B1066" s="6" t="s">
        <v>31</v>
      </c>
      <c r="C1066" s="6" t="s">
        <v>32</v>
      </c>
      <c r="D1066" s="6" t="s">
        <v>213</v>
      </c>
      <c r="E1066" s="4" t="s">
        <v>13</v>
      </c>
      <c r="F1066" s="3">
        <v>66011000</v>
      </c>
      <c r="G1066" s="11" t="s">
        <v>440</v>
      </c>
      <c r="H1066" s="11" t="s">
        <v>521</v>
      </c>
      <c r="I1066" s="4" t="s">
        <v>494</v>
      </c>
      <c r="J1066" s="4" t="s">
        <v>523</v>
      </c>
      <c r="K1066" s="71">
        <v>4</v>
      </c>
      <c r="L1066" t="s">
        <v>17</v>
      </c>
      <c r="M1066" s="5">
        <f>K1066/7</f>
        <v>0.5714285714285714</v>
      </c>
    </row>
    <row r="1067" spans="1:13" x14ac:dyDescent="0.25">
      <c r="A1067" s="125">
        <v>2791</v>
      </c>
      <c r="B1067" s="46" t="s">
        <v>695</v>
      </c>
      <c r="C1067" s="46" t="s">
        <v>32</v>
      </c>
      <c r="D1067" s="46" t="s">
        <v>742</v>
      </c>
      <c r="E1067" s="4" t="s">
        <v>13</v>
      </c>
      <c r="F1067" s="46">
        <v>43001000</v>
      </c>
      <c r="G1067" t="s">
        <v>553</v>
      </c>
      <c r="H1067" t="s">
        <v>504</v>
      </c>
      <c r="I1067" s="4" t="s">
        <v>494</v>
      </c>
      <c r="J1067" s="4" t="s">
        <v>523</v>
      </c>
      <c r="K1067" s="71">
        <v>4</v>
      </c>
      <c r="L1067" t="s">
        <v>17</v>
      </c>
      <c r="M1067" s="5">
        <f>K1067/7</f>
        <v>0.5714285714285714</v>
      </c>
    </row>
    <row r="1068" spans="1:13" x14ac:dyDescent="0.25">
      <c r="A1068" s="16">
        <v>2796</v>
      </c>
      <c r="B1068" s="6" t="s">
        <v>199</v>
      </c>
      <c r="C1068" s="6" t="s">
        <v>200</v>
      </c>
      <c r="D1068" s="6"/>
      <c r="E1068" s="4" t="s">
        <v>13</v>
      </c>
      <c r="F1068" s="3">
        <v>2814003000</v>
      </c>
      <c r="G1068" s="11" t="s">
        <v>201</v>
      </c>
      <c r="H1068" s="11" t="s">
        <v>337</v>
      </c>
      <c r="I1068" s="4" t="s">
        <v>142</v>
      </c>
      <c r="J1068" s="4" t="s">
        <v>139</v>
      </c>
      <c r="K1068" s="71">
        <v>4</v>
      </c>
      <c r="L1068" t="s">
        <v>17</v>
      </c>
      <c r="M1068" s="5">
        <f>K1068/7</f>
        <v>0.5714285714285714</v>
      </c>
    </row>
    <row r="1069" spans="1:13" x14ac:dyDescent="0.25">
      <c r="A1069" s="16">
        <v>2801</v>
      </c>
      <c r="B1069" s="40" t="s">
        <v>10</v>
      </c>
      <c r="C1069" s="40" t="s">
        <v>32</v>
      </c>
      <c r="D1069" s="40" t="s">
        <v>153</v>
      </c>
      <c r="E1069" s="4" t="s">
        <v>13</v>
      </c>
      <c r="F1069" s="61">
        <v>165001000</v>
      </c>
      <c r="G1069" s="12"/>
      <c r="H1069" s="9"/>
      <c r="I1069" s="10"/>
      <c r="J1069" s="10" t="s">
        <v>544</v>
      </c>
      <c r="K1069" s="107">
        <v>0</v>
      </c>
      <c r="L1069" s="9"/>
      <c r="M1069" s="13"/>
    </row>
    <row r="1070" spans="1:13" x14ac:dyDescent="0.25">
      <c r="A1070" s="16">
        <v>2803</v>
      </c>
      <c r="B1070" s="6" t="s">
        <v>10</v>
      </c>
      <c r="C1070" s="6" t="s">
        <v>32</v>
      </c>
      <c r="E1070" s="4" t="s">
        <v>13</v>
      </c>
      <c r="F1070" s="3">
        <v>165001000</v>
      </c>
      <c r="G1070" s="11" t="s">
        <v>319</v>
      </c>
      <c r="H1070" s="11" t="s">
        <v>338</v>
      </c>
      <c r="I1070" s="4" t="s">
        <v>335</v>
      </c>
      <c r="J1070" s="4" t="s">
        <v>17</v>
      </c>
      <c r="K1070" s="71">
        <v>24</v>
      </c>
      <c r="L1070" t="s">
        <v>17</v>
      </c>
      <c r="M1070" s="5">
        <f>K1070/7</f>
        <v>3.4285714285714284</v>
      </c>
    </row>
    <row r="1071" spans="1:13" x14ac:dyDescent="0.25">
      <c r="A1071" s="16">
        <v>2804</v>
      </c>
      <c r="B1071" s="6" t="s">
        <v>10</v>
      </c>
      <c r="C1071" s="6" t="s">
        <v>32</v>
      </c>
      <c r="D1071" s="6" t="s">
        <v>153</v>
      </c>
      <c r="E1071" s="4" t="s">
        <v>13</v>
      </c>
      <c r="F1071" s="3">
        <v>66011000</v>
      </c>
      <c r="G1071" s="11" t="s">
        <v>440</v>
      </c>
      <c r="H1071" s="11" t="s">
        <v>521</v>
      </c>
      <c r="I1071" s="4" t="s">
        <v>242</v>
      </c>
      <c r="J1071" s="4" t="s">
        <v>523</v>
      </c>
      <c r="K1071" s="71">
        <v>1</v>
      </c>
      <c r="L1071" t="s">
        <v>17</v>
      </c>
      <c r="M1071" s="5">
        <f>K1071/7</f>
        <v>0.14285714285714285</v>
      </c>
    </row>
    <row r="1072" spans="1:13" x14ac:dyDescent="0.25">
      <c r="A1072" s="16">
        <v>2805</v>
      </c>
      <c r="B1072" s="6" t="s">
        <v>10</v>
      </c>
      <c r="C1072" s="6" t="s">
        <v>32</v>
      </c>
      <c r="D1072" s="6" t="s">
        <v>153</v>
      </c>
      <c r="E1072" s="4" t="s">
        <v>13</v>
      </c>
      <c r="F1072" s="3">
        <v>165001000</v>
      </c>
      <c r="G1072" s="11" t="s">
        <v>319</v>
      </c>
      <c r="H1072" s="11" t="s">
        <v>338</v>
      </c>
      <c r="I1072" s="4" t="s">
        <v>320</v>
      </c>
      <c r="J1072" s="4" t="s">
        <v>17</v>
      </c>
      <c r="K1072" s="71">
        <v>26</v>
      </c>
      <c r="L1072" t="s">
        <v>17</v>
      </c>
      <c r="M1072" s="5">
        <f>K1072/7</f>
        <v>3.7142857142857144</v>
      </c>
    </row>
    <row r="1073" spans="1:13" x14ac:dyDescent="0.25">
      <c r="A1073" s="16">
        <v>2812</v>
      </c>
      <c r="B1073" s="6" t="s">
        <v>403</v>
      </c>
      <c r="C1073" s="6" t="s">
        <v>32</v>
      </c>
      <c r="D1073" s="6" t="s">
        <v>404</v>
      </c>
      <c r="E1073" s="4" t="s">
        <v>13</v>
      </c>
      <c r="F1073" s="3">
        <v>3135001000</v>
      </c>
      <c r="G1073" s="11" t="s">
        <v>462</v>
      </c>
      <c r="H1073" s="11" t="s">
        <v>463</v>
      </c>
      <c r="I1073" s="4" t="s">
        <v>38</v>
      </c>
      <c r="J1073" s="4" t="s">
        <v>492</v>
      </c>
      <c r="K1073" s="71">
        <v>3</v>
      </c>
      <c r="L1073" t="s">
        <v>37</v>
      </c>
      <c r="M1073" s="5">
        <f>K1073</f>
        <v>3</v>
      </c>
    </row>
    <row r="1074" spans="1:13" x14ac:dyDescent="0.25">
      <c r="A1074" s="94">
        <v>2815</v>
      </c>
      <c r="B1074" s="40" t="s">
        <v>403</v>
      </c>
      <c r="C1074" s="40" t="s">
        <v>32</v>
      </c>
      <c r="D1074" s="40" t="s">
        <v>404</v>
      </c>
      <c r="E1074" s="4" t="s">
        <v>13</v>
      </c>
      <c r="F1074" s="61">
        <v>2905001000</v>
      </c>
      <c r="G1074" s="12"/>
      <c r="H1074" s="9"/>
      <c r="I1074" s="10"/>
      <c r="J1074" s="10" t="s">
        <v>544</v>
      </c>
      <c r="K1074" s="107"/>
      <c r="L1074" s="9"/>
      <c r="M1074" s="13"/>
    </row>
    <row r="1075" spans="1:13" x14ac:dyDescent="0.25">
      <c r="A1075" s="125">
        <v>2817</v>
      </c>
      <c r="B1075" s="46" t="s">
        <v>18</v>
      </c>
      <c r="C1075" s="46" t="s">
        <v>11</v>
      </c>
      <c r="D1075" s="46" t="s">
        <v>19</v>
      </c>
      <c r="E1075" s="4" t="s">
        <v>13</v>
      </c>
      <c r="F1075" s="46">
        <v>43006000</v>
      </c>
      <c r="G1075" t="s">
        <v>555</v>
      </c>
      <c r="H1075" t="s">
        <v>504</v>
      </c>
      <c r="I1075" s="4" t="s">
        <v>494</v>
      </c>
      <c r="J1075" s="4" t="s">
        <v>523</v>
      </c>
      <c r="K1075" s="71">
        <v>4</v>
      </c>
      <c r="L1075" t="s">
        <v>17</v>
      </c>
      <c r="M1075" s="5">
        <f>K1075/7</f>
        <v>0.5714285714285714</v>
      </c>
    </row>
    <row r="1076" spans="1:13" x14ac:dyDescent="0.25">
      <c r="A1076" s="16">
        <v>2820</v>
      </c>
      <c r="B1076" s="6" t="s">
        <v>18</v>
      </c>
      <c r="C1076" s="6" t="s">
        <v>39</v>
      </c>
      <c r="D1076" s="6" t="s">
        <v>40</v>
      </c>
      <c r="E1076" s="4" t="s">
        <v>13</v>
      </c>
      <c r="F1076" s="3">
        <v>153002000</v>
      </c>
      <c r="G1076" s="11" t="s">
        <v>497</v>
      </c>
      <c r="H1076" s="11" t="s">
        <v>498</v>
      </c>
      <c r="I1076" s="4">
        <v>8</v>
      </c>
      <c r="J1076" s="4" t="s">
        <v>20</v>
      </c>
      <c r="K1076" s="71">
        <f>I1076</f>
        <v>8</v>
      </c>
      <c r="L1076" t="s">
        <v>21</v>
      </c>
      <c r="M1076" s="5">
        <f>K1076/30</f>
        <v>0.26666666666666666</v>
      </c>
    </row>
    <row r="1077" spans="1:13" x14ac:dyDescent="0.25">
      <c r="A1077" s="125">
        <v>2821</v>
      </c>
      <c r="B1077" s="46" t="s">
        <v>148</v>
      </c>
      <c r="C1077" s="46" t="s">
        <v>32</v>
      </c>
      <c r="D1077" s="46" t="s">
        <v>743</v>
      </c>
      <c r="E1077" s="4" t="s">
        <v>13</v>
      </c>
      <c r="F1077" s="46">
        <v>43006000</v>
      </c>
      <c r="G1077" t="s">
        <v>555</v>
      </c>
      <c r="H1077" t="s">
        <v>504</v>
      </c>
      <c r="I1077" s="4" t="s">
        <v>494</v>
      </c>
      <c r="J1077" s="4" t="s">
        <v>523</v>
      </c>
      <c r="K1077" s="71">
        <v>4</v>
      </c>
      <c r="L1077" t="s">
        <v>17</v>
      </c>
      <c r="M1077" s="5">
        <f>K1077/7</f>
        <v>0.5714285714285714</v>
      </c>
    </row>
    <row r="1078" spans="1:13" x14ac:dyDescent="0.25">
      <c r="A1078" s="16">
        <v>2822</v>
      </c>
      <c r="B1078" s="6" t="s">
        <v>70</v>
      </c>
      <c r="C1078" s="6" t="s">
        <v>11</v>
      </c>
      <c r="D1078" s="6" t="s">
        <v>19</v>
      </c>
      <c r="E1078" s="4" t="s">
        <v>13</v>
      </c>
      <c r="F1078" s="3">
        <v>1176003000</v>
      </c>
      <c r="G1078" s="11" t="s">
        <v>158</v>
      </c>
      <c r="H1078" s="11" t="s">
        <v>337</v>
      </c>
      <c r="I1078" s="15" t="s">
        <v>144</v>
      </c>
      <c r="J1078" s="15" t="s">
        <v>159</v>
      </c>
      <c r="K1078" s="71">
        <v>1</v>
      </c>
      <c r="L1078" t="s">
        <v>160</v>
      </c>
      <c r="M1078" s="5">
        <f>K1078/60</f>
        <v>1.6666666666666666E-2</v>
      </c>
    </row>
    <row r="1079" spans="1:13" x14ac:dyDescent="0.25">
      <c r="A1079" s="16">
        <v>2834</v>
      </c>
      <c r="B1079" s="6" t="s">
        <v>10</v>
      </c>
      <c r="C1079" s="6" t="s">
        <v>68</v>
      </c>
      <c r="D1079" s="6" t="s">
        <v>471</v>
      </c>
      <c r="E1079" s="4" t="s">
        <v>13</v>
      </c>
      <c r="F1079" s="3">
        <v>2126006000</v>
      </c>
      <c r="G1079" s="11" t="s">
        <v>470</v>
      </c>
      <c r="H1079" s="11" t="s">
        <v>467</v>
      </c>
      <c r="I1079" s="4">
        <v>2</v>
      </c>
      <c r="J1079" s="4" t="s">
        <v>492</v>
      </c>
      <c r="K1079" s="71">
        <v>2</v>
      </c>
      <c r="L1079" t="s">
        <v>37</v>
      </c>
      <c r="M1079" s="5">
        <f>K1079</f>
        <v>2</v>
      </c>
    </row>
    <row r="1080" spans="1:13" x14ac:dyDescent="0.25">
      <c r="A1080" s="125">
        <v>2836</v>
      </c>
      <c r="B1080" s="46" t="s">
        <v>695</v>
      </c>
      <c r="C1080" s="46" t="s">
        <v>32</v>
      </c>
      <c r="E1080" s="46" t="s">
        <v>13</v>
      </c>
      <c r="F1080" s="35">
        <v>1000002</v>
      </c>
      <c r="G1080" t="s">
        <v>576</v>
      </c>
      <c r="H1080" s="4"/>
      <c r="J1080" s="71"/>
      <c r="K1080"/>
      <c r="L1080" s="5"/>
      <c r="M1080"/>
    </row>
    <row r="1081" spans="1:13" x14ac:dyDescent="0.25">
      <c r="A1081" s="16">
        <v>2845</v>
      </c>
      <c r="B1081" s="6" t="s">
        <v>10</v>
      </c>
      <c r="C1081" s="6" t="s">
        <v>11</v>
      </c>
      <c r="D1081" s="6" t="s">
        <v>73</v>
      </c>
      <c r="E1081" s="4" t="s">
        <v>13</v>
      </c>
      <c r="F1081" s="46">
        <v>2762002000</v>
      </c>
      <c r="G1081" t="s">
        <v>745</v>
      </c>
      <c r="H1081" s="11" t="s">
        <v>338</v>
      </c>
      <c r="I1081" s="4" t="s">
        <v>290</v>
      </c>
      <c r="J1081" s="4" t="s">
        <v>291</v>
      </c>
      <c r="K1081" s="71">
        <v>1</v>
      </c>
      <c r="L1081" t="s">
        <v>17</v>
      </c>
      <c r="M1081" s="5">
        <f>K1081/7</f>
        <v>0.14285714285714285</v>
      </c>
    </row>
    <row r="1082" spans="1:13" x14ac:dyDescent="0.25">
      <c r="A1082" s="16">
        <v>2846</v>
      </c>
      <c r="B1082" s="6" t="s">
        <v>10</v>
      </c>
      <c r="C1082" s="6" t="s">
        <v>11</v>
      </c>
      <c r="D1082" s="6" t="s">
        <v>73</v>
      </c>
      <c r="E1082" s="4" t="s">
        <v>13</v>
      </c>
      <c r="F1082" s="3">
        <v>1068001000</v>
      </c>
      <c r="G1082" s="11" t="s">
        <v>386</v>
      </c>
      <c r="H1082" s="11" t="s">
        <v>380</v>
      </c>
      <c r="I1082" s="4" t="s">
        <v>304</v>
      </c>
      <c r="J1082" s="4" t="s">
        <v>352</v>
      </c>
      <c r="K1082" s="71">
        <v>3</v>
      </c>
      <c r="L1082" t="s">
        <v>17</v>
      </c>
      <c r="M1082" s="5">
        <f>K1082/7</f>
        <v>0.42857142857142855</v>
      </c>
    </row>
    <row r="1083" spans="1:13" x14ac:dyDescent="0.25">
      <c r="A1083" s="16">
        <v>2848</v>
      </c>
      <c r="B1083" s="3" t="s">
        <v>10</v>
      </c>
      <c r="C1083" s="3" t="s">
        <v>59</v>
      </c>
      <c r="D1083" s="3" t="s">
        <v>60</v>
      </c>
      <c r="E1083" s="4" t="s">
        <v>13</v>
      </c>
      <c r="F1083" s="3">
        <v>157002000</v>
      </c>
      <c r="G1083" t="s">
        <v>846</v>
      </c>
      <c r="H1083" s="4" t="s">
        <v>845</v>
      </c>
      <c r="I1083" s="4">
        <v>20</v>
      </c>
      <c r="J1083" s="4" t="s">
        <v>75</v>
      </c>
      <c r="K1083" s="71">
        <v>20</v>
      </c>
      <c r="L1083" t="s">
        <v>21</v>
      </c>
      <c r="M1083">
        <f>K1083/30</f>
        <v>0.66666666666666663</v>
      </c>
    </row>
    <row r="1084" spans="1:13" x14ac:dyDescent="0.25">
      <c r="A1084" s="125">
        <v>2849</v>
      </c>
      <c r="B1084" s="46" t="s">
        <v>10</v>
      </c>
      <c r="C1084" s="46" t="s">
        <v>59</v>
      </c>
      <c r="D1084" s="46" t="s">
        <v>60</v>
      </c>
      <c r="E1084" s="46" t="s">
        <v>13</v>
      </c>
      <c r="F1084" s="35">
        <v>1000002</v>
      </c>
      <c r="G1084" t="s">
        <v>576</v>
      </c>
      <c r="H1084" s="4"/>
      <c r="J1084" s="71"/>
      <c r="K1084"/>
      <c r="L1084" s="5"/>
      <c r="M1084"/>
    </row>
    <row r="1085" spans="1:13" x14ac:dyDescent="0.25">
      <c r="A1085" s="16">
        <v>2850</v>
      </c>
      <c r="B1085" s="3" t="s">
        <v>10</v>
      </c>
      <c r="C1085" s="3" t="s">
        <v>59</v>
      </c>
      <c r="D1085" s="3" t="s">
        <v>60</v>
      </c>
      <c r="E1085" s="4" t="s">
        <v>13</v>
      </c>
      <c r="F1085" s="3">
        <v>157001000</v>
      </c>
      <c r="G1085" t="s">
        <v>847</v>
      </c>
      <c r="H1085" s="4" t="s">
        <v>845</v>
      </c>
      <c r="I1085" s="4">
        <v>20</v>
      </c>
      <c r="J1085" s="4" t="s">
        <v>75</v>
      </c>
      <c r="K1085" s="71">
        <v>20</v>
      </c>
      <c r="L1085" t="s">
        <v>21</v>
      </c>
      <c r="M1085">
        <f>K1085/30</f>
        <v>0.66666666666666663</v>
      </c>
    </row>
    <row r="1086" spans="1:13" x14ac:dyDescent="0.25">
      <c r="A1086" s="16">
        <v>2855</v>
      </c>
      <c r="B1086" s="6" t="s">
        <v>199</v>
      </c>
      <c r="C1086" s="6" t="s">
        <v>200</v>
      </c>
      <c r="D1086" s="6" t="s">
        <v>40</v>
      </c>
      <c r="E1086" s="4" t="s">
        <v>13</v>
      </c>
      <c r="F1086" s="3">
        <v>66011000</v>
      </c>
      <c r="G1086" s="11" t="s">
        <v>440</v>
      </c>
      <c r="H1086" t="s">
        <v>521</v>
      </c>
      <c r="I1086" s="4" t="s">
        <v>522</v>
      </c>
      <c r="J1086" s="4" t="s">
        <v>522</v>
      </c>
      <c r="K1086" s="71">
        <v>0</v>
      </c>
      <c r="L1086" t="str">
        <f>J1086</f>
        <v>Operativos</v>
      </c>
      <c r="M1086" s="5">
        <f>K1086</f>
        <v>0</v>
      </c>
    </row>
    <row r="1087" spans="1:13" x14ac:dyDescent="0.25">
      <c r="A1087" s="16">
        <v>2857</v>
      </c>
      <c r="B1087" s="6" t="s">
        <v>10</v>
      </c>
      <c r="C1087" s="6" t="s">
        <v>59</v>
      </c>
      <c r="D1087" s="6" t="s">
        <v>60</v>
      </c>
      <c r="E1087" s="4" t="s">
        <v>13</v>
      </c>
      <c r="F1087" s="3">
        <v>1685002000</v>
      </c>
      <c r="G1087" s="11" t="s">
        <v>131</v>
      </c>
      <c r="H1087" s="11" t="s">
        <v>64</v>
      </c>
      <c r="I1087" s="4">
        <v>40</v>
      </c>
      <c r="J1087" s="4" t="s">
        <v>90</v>
      </c>
      <c r="K1087" s="71">
        <v>40</v>
      </c>
      <c r="L1087" t="s">
        <v>21</v>
      </c>
      <c r="M1087" s="5">
        <f>K1087/30</f>
        <v>1.3333333333333333</v>
      </c>
    </row>
    <row r="1088" spans="1:13" x14ac:dyDescent="0.25">
      <c r="A1088" s="16">
        <v>2863</v>
      </c>
      <c r="B1088" s="6" t="s">
        <v>140</v>
      </c>
      <c r="C1088" s="6" t="s">
        <v>141</v>
      </c>
      <c r="D1088" s="6"/>
      <c r="E1088" s="4" t="s">
        <v>13</v>
      </c>
      <c r="F1088" s="3">
        <v>66034000</v>
      </c>
      <c r="G1088" s="11" t="s">
        <v>171</v>
      </c>
      <c r="H1088" s="11" t="s">
        <v>337</v>
      </c>
      <c r="I1088" s="4" t="s">
        <v>142</v>
      </c>
      <c r="J1088" s="4" t="s">
        <v>143</v>
      </c>
      <c r="K1088" s="71">
        <v>4</v>
      </c>
      <c r="L1088" t="s">
        <v>37</v>
      </c>
      <c r="M1088" s="5">
        <f>K1088</f>
        <v>4</v>
      </c>
    </row>
    <row r="1089" spans="1:13" x14ac:dyDescent="0.25">
      <c r="A1089" s="16">
        <v>2872</v>
      </c>
      <c r="B1089" s="6" t="s">
        <v>140</v>
      </c>
      <c r="C1089" s="6" t="s">
        <v>141</v>
      </c>
      <c r="D1089" s="6"/>
      <c r="E1089" s="4" t="s">
        <v>13</v>
      </c>
      <c r="F1089" s="3">
        <v>3042058002</v>
      </c>
      <c r="G1089" s="11" t="s">
        <v>210</v>
      </c>
      <c r="H1089" s="11" t="s">
        <v>211</v>
      </c>
      <c r="I1089" s="4" t="s">
        <v>138</v>
      </c>
      <c r="J1089" s="4" t="s">
        <v>143</v>
      </c>
      <c r="K1089" s="71">
        <v>2</v>
      </c>
      <c r="L1089" t="s">
        <v>37</v>
      </c>
      <c r="M1089" s="5">
        <f>K1089</f>
        <v>2</v>
      </c>
    </row>
    <row r="1090" spans="1:13" x14ac:dyDescent="0.25">
      <c r="A1090" s="16">
        <v>2881</v>
      </c>
      <c r="B1090" s="6" t="s">
        <v>10</v>
      </c>
      <c r="C1090" s="6" t="s">
        <v>11</v>
      </c>
      <c r="D1090" s="6" t="s">
        <v>73</v>
      </c>
      <c r="E1090" s="4" t="s">
        <v>13</v>
      </c>
      <c r="F1090" s="56">
        <v>3260001000</v>
      </c>
      <c r="G1090" s="11" t="s">
        <v>540</v>
      </c>
      <c r="H1090" t="s">
        <v>549</v>
      </c>
      <c r="I1090" s="4" t="s">
        <v>231</v>
      </c>
      <c r="J1090" s="4" t="s">
        <v>231</v>
      </c>
      <c r="K1090" s="71">
        <v>0</v>
      </c>
      <c r="L1090" t="str">
        <f>J1090</f>
        <v>back up</v>
      </c>
      <c r="M1090" s="5">
        <f>K1090/7</f>
        <v>0</v>
      </c>
    </row>
    <row r="1091" spans="1:13" x14ac:dyDescent="0.25">
      <c r="A1091" s="126">
        <v>2882</v>
      </c>
      <c r="B1091" s="41" t="s">
        <v>10</v>
      </c>
      <c r="C1091" s="6" t="s">
        <v>11</v>
      </c>
      <c r="D1091" s="6" t="s">
        <v>73</v>
      </c>
      <c r="E1091" s="4" t="s">
        <v>13</v>
      </c>
      <c r="F1091" s="3">
        <v>157005000</v>
      </c>
      <c r="G1091" s="11" t="s">
        <v>526</v>
      </c>
      <c r="H1091" t="s">
        <v>227</v>
      </c>
      <c r="I1091" s="4" t="s">
        <v>231</v>
      </c>
      <c r="J1091" s="4" t="s">
        <v>231</v>
      </c>
      <c r="K1091" s="71">
        <v>0</v>
      </c>
      <c r="L1091" t="str">
        <f>J1091</f>
        <v>back up</v>
      </c>
      <c r="M1091" s="5">
        <v>0</v>
      </c>
    </row>
    <row r="1092" spans="1:13" x14ac:dyDescent="0.25">
      <c r="A1092" s="16">
        <v>2883</v>
      </c>
      <c r="B1092" s="6" t="s">
        <v>148</v>
      </c>
      <c r="C1092" s="6" t="s">
        <v>32</v>
      </c>
      <c r="E1092" s="4" t="s">
        <v>13</v>
      </c>
      <c r="F1092" s="3">
        <v>165001000</v>
      </c>
      <c r="G1092" s="11" t="s">
        <v>319</v>
      </c>
      <c r="H1092" s="11" t="s">
        <v>338</v>
      </c>
      <c r="I1092" s="4" t="s">
        <v>336</v>
      </c>
      <c r="J1092" s="4" t="s">
        <v>17</v>
      </c>
      <c r="K1092" s="71">
        <v>26</v>
      </c>
      <c r="L1092" t="s">
        <v>17</v>
      </c>
      <c r="M1092" s="5">
        <f>K1092/7</f>
        <v>3.7142857142857144</v>
      </c>
    </row>
    <row r="1093" spans="1:13" x14ac:dyDescent="0.25">
      <c r="A1093" s="125">
        <v>2884</v>
      </c>
      <c r="B1093" s="46" t="s">
        <v>695</v>
      </c>
      <c r="C1093" s="46" t="s">
        <v>32</v>
      </c>
      <c r="D1093" s="46" t="s">
        <v>742</v>
      </c>
      <c r="E1093" s="4" t="s">
        <v>13</v>
      </c>
      <c r="F1093" s="46">
        <v>2499001000</v>
      </c>
      <c r="G1093" t="s">
        <v>665</v>
      </c>
      <c r="H1093" t="s">
        <v>504</v>
      </c>
      <c r="I1093" s="4" t="s">
        <v>231</v>
      </c>
      <c r="J1093" s="4" t="s">
        <v>231</v>
      </c>
      <c r="K1093" s="71">
        <v>0</v>
      </c>
      <c r="L1093" t="str">
        <f>J1093</f>
        <v>back up</v>
      </c>
      <c r="M1093" s="5">
        <v>0</v>
      </c>
    </row>
    <row r="1094" spans="1:13" x14ac:dyDescent="0.25">
      <c r="A1094" s="16">
        <v>2885</v>
      </c>
      <c r="B1094" s="6" t="s">
        <v>43</v>
      </c>
      <c r="C1094" s="6" t="s">
        <v>46</v>
      </c>
      <c r="D1094" s="6">
        <v>1500</v>
      </c>
      <c r="E1094" s="4" t="s">
        <v>13</v>
      </c>
      <c r="F1094" s="3">
        <v>165001000</v>
      </c>
      <c r="G1094" s="11" t="s">
        <v>319</v>
      </c>
      <c r="H1094" s="11" t="s">
        <v>338</v>
      </c>
      <c r="I1094" s="4" t="s">
        <v>324</v>
      </c>
      <c r="J1094" s="4" t="s">
        <v>17</v>
      </c>
      <c r="K1094" s="71">
        <v>18</v>
      </c>
      <c r="L1094" t="s">
        <v>17</v>
      </c>
      <c r="M1094" s="5">
        <f>K1094/7</f>
        <v>2.5714285714285716</v>
      </c>
    </row>
    <row r="1095" spans="1:13" x14ac:dyDescent="0.25">
      <c r="A1095" s="16">
        <v>2886</v>
      </c>
      <c r="B1095" s="6" t="s">
        <v>31</v>
      </c>
      <c r="C1095" s="6" t="s">
        <v>32</v>
      </c>
      <c r="D1095" s="6" t="s">
        <v>213</v>
      </c>
      <c r="E1095" s="4" t="s">
        <v>13</v>
      </c>
      <c r="F1095" s="3">
        <v>2514002000</v>
      </c>
      <c r="G1095" s="11" t="s">
        <v>434</v>
      </c>
      <c r="H1095" s="11" t="s">
        <v>428</v>
      </c>
      <c r="I1095" s="4" t="s">
        <v>432</v>
      </c>
      <c r="J1095" s="4" t="s">
        <v>316</v>
      </c>
      <c r="K1095" s="71">
        <v>1.5</v>
      </c>
      <c r="L1095" t="s">
        <v>37</v>
      </c>
      <c r="M1095" s="5">
        <f>K1095</f>
        <v>1.5</v>
      </c>
    </row>
    <row r="1096" spans="1:13" x14ac:dyDescent="0.25">
      <c r="A1096" s="16">
        <v>2887</v>
      </c>
      <c r="B1096" s="3" t="s">
        <v>43</v>
      </c>
      <c r="C1096" s="3" t="s">
        <v>46</v>
      </c>
      <c r="D1096" s="3">
        <v>1500</v>
      </c>
      <c r="E1096" s="4" t="s">
        <v>13</v>
      </c>
      <c r="F1096" s="3">
        <v>3265001000</v>
      </c>
      <c r="G1096" t="s">
        <v>843</v>
      </c>
      <c r="H1096" s="4" t="s">
        <v>842</v>
      </c>
      <c r="I1096" s="4">
        <v>60</v>
      </c>
      <c r="J1096" s="4" t="s">
        <v>98</v>
      </c>
      <c r="K1096" s="71">
        <v>60</v>
      </c>
      <c r="L1096" t="s">
        <v>21</v>
      </c>
      <c r="M1096">
        <f>K1096/30</f>
        <v>2</v>
      </c>
    </row>
    <row r="1097" spans="1:13" x14ac:dyDescent="0.25">
      <c r="A1097" s="16">
        <v>2889</v>
      </c>
      <c r="B1097" s="6" t="s">
        <v>10</v>
      </c>
      <c r="C1097" s="6" t="s">
        <v>59</v>
      </c>
      <c r="D1097" s="6" t="s">
        <v>258</v>
      </c>
      <c r="E1097" s="4" t="s">
        <v>13</v>
      </c>
      <c r="F1097" s="3">
        <v>3101001000</v>
      </c>
      <c r="G1097" s="11" t="s">
        <v>259</v>
      </c>
      <c r="H1097" s="11" t="s">
        <v>339</v>
      </c>
      <c r="I1097" s="4" t="s">
        <v>252</v>
      </c>
      <c r="J1097" s="4" t="s">
        <v>260</v>
      </c>
      <c r="K1097" s="71">
        <v>1</v>
      </c>
      <c r="L1097" t="s">
        <v>37</v>
      </c>
      <c r="M1097" s="5">
        <f>K1097</f>
        <v>1</v>
      </c>
    </row>
    <row r="1098" spans="1:13" x14ac:dyDescent="0.25">
      <c r="A1098" s="16">
        <v>2892</v>
      </c>
      <c r="B1098" s="3" t="s">
        <v>10</v>
      </c>
      <c r="C1098" s="3" t="s">
        <v>11</v>
      </c>
      <c r="D1098" s="3" t="s">
        <v>73</v>
      </c>
      <c r="E1098" s="4" t="s">
        <v>13</v>
      </c>
      <c r="F1098" s="3">
        <v>953011000</v>
      </c>
      <c r="G1098" t="s">
        <v>844</v>
      </c>
      <c r="H1098" s="4" t="s">
        <v>845</v>
      </c>
      <c r="I1098" s="4">
        <v>30</v>
      </c>
      <c r="J1098" s="4" t="s">
        <v>125</v>
      </c>
      <c r="K1098" s="71">
        <v>30</v>
      </c>
      <c r="L1098" t="s">
        <v>21</v>
      </c>
      <c r="M1098">
        <f>K1098/30</f>
        <v>1</v>
      </c>
    </row>
    <row r="1099" spans="1:13" x14ac:dyDescent="0.25">
      <c r="A1099" s="16">
        <v>2898</v>
      </c>
      <c r="B1099" s="6" t="s">
        <v>10</v>
      </c>
      <c r="C1099" s="6" t="s">
        <v>11</v>
      </c>
      <c r="D1099" s="6" t="s">
        <v>73</v>
      </c>
      <c r="E1099" s="4" t="s">
        <v>13</v>
      </c>
      <c r="F1099" s="3">
        <v>2994001000</v>
      </c>
      <c r="G1099" s="11" t="s">
        <v>106</v>
      </c>
      <c r="H1099" s="11" t="s">
        <v>64</v>
      </c>
      <c r="I1099" s="4">
        <v>60</v>
      </c>
      <c r="J1099" s="4" t="s">
        <v>91</v>
      </c>
      <c r="K1099" s="71">
        <v>60</v>
      </c>
      <c r="L1099" t="s">
        <v>21</v>
      </c>
      <c r="M1099" s="5">
        <f>K1099/30</f>
        <v>2</v>
      </c>
    </row>
    <row r="1100" spans="1:13" x14ac:dyDescent="0.25">
      <c r="A1100" s="16">
        <v>2899</v>
      </c>
      <c r="B1100" s="6" t="s">
        <v>10</v>
      </c>
      <c r="C1100" s="6" t="s">
        <v>11</v>
      </c>
      <c r="D1100" s="6" t="s">
        <v>73</v>
      </c>
      <c r="E1100" s="4" t="s">
        <v>13</v>
      </c>
      <c r="F1100" s="3">
        <v>2994001000</v>
      </c>
      <c r="G1100" s="11" t="s">
        <v>106</v>
      </c>
      <c r="H1100" s="11" t="s">
        <v>64</v>
      </c>
      <c r="I1100" s="4">
        <v>30</v>
      </c>
      <c r="J1100" s="4" t="s">
        <v>108</v>
      </c>
      <c r="K1100" s="71">
        <v>30</v>
      </c>
      <c r="L1100" t="s">
        <v>21</v>
      </c>
      <c r="M1100" s="5">
        <f>K1100/30</f>
        <v>1</v>
      </c>
    </row>
    <row r="1101" spans="1:13" x14ac:dyDescent="0.25">
      <c r="A1101" s="123">
        <v>2900</v>
      </c>
      <c r="B1101" s="76" t="s">
        <v>10</v>
      </c>
      <c r="C1101" s="76" t="s">
        <v>11</v>
      </c>
      <c r="D1101" s="76" t="s">
        <v>73</v>
      </c>
      <c r="E1101" s="4" t="s">
        <v>13</v>
      </c>
      <c r="F1101" s="76">
        <v>1967012000</v>
      </c>
      <c r="G1101" t="s">
        <v>615</v>
      </c>
      <c r="H1101" t="s">
        <v>467</v>
      </c>
      <c r="I1101" s="4" t="s">
        <v>867</v>
      </c>
      <c r="J1101" s="4" t="s">
        <v>492</v>
      </c>
      <c r="K1101" s="71">
        <v>3</v>
      </c>
      <c r="L1101" t="s">
        <v>37</v>
      </c>
      <c r="M1101">
        <f>K1101</f>
        <v>3</v>
      </c>
    </row>
    <row r="1102" spans="1:13" x14ac:dyDescent="0.25">
      <c r="A1102" s="16">
        <v>2901</v>
      </c>
      <c r="B1102" s="6" t="s">
        <v>10</v>
      </c>
      <c r="C1102" s="6" t="s">
        <v>11</v>
      </c>
      <c r="D1102" s="6" t="s">
        <v>73</v>
      </c>
      <c r="E1102" s="4" t="s">
        <v>13</v>
      </c>
      <c r="F1102" s="3">
        <v>1978003000</v>
      </c>
      <c r="G1102" s="11" t="s">
        <v>438</v>
      </c>
      <c r="H1102" s="11" t="s">
        <v>428</v>
      </c>
      <c r="I1102" s="4" t="s">
        <v>439</v>
      </c>
      <c r="J1102" s="4" t="s">
        <v>316</v>
      </c>
      <c r="K1102" s="71">
        <v>1</v>
      </c>
      <c r="L1102" t="s">
        <v>37</v>
      </c>
      <c r="M1102" s="5">
        <f>K1102</f>
        <v>1</v>
      </c>
    </row>
    <row r="1103" spans="1:13" x14ac:dyDescent="0.25">
      <c r="A1103" s="16">
        <v>2902</v>
      </c>
      <c r="B1103" s="6" t="s">
        <v>10</v>
      </c>
      <c r="C1103" s="6" t="s">
        <v>11</v>
      </c>
      <c r="D1103" s="6" t="s">
        <v>73</v>
      </c>
      <c r="E1103" s="4" t="s">
        <v>13</v>
      </c>
      <c r="F1103" s="3">
        <v>2994001000</v>
      </c>
      <c r="G1103" s="11" t="s">
        <v>106</v>
      </c>
      <c r="H1103" t="s">
        <v>64</v>
      </c>
      <c r="I1103" s="4" t="s">
        <v>231</v>
      </c>
      <c r="J1103" s="4" t="s">
        <v>231</v>
      </c>
      <c r="K1103" s="71">
        <v>0</v>
      </c>
      <c r="L1103" t="str">
        <f>J1103</f>
        <v>back up</v>
      </c>
      <c r="M1103" s="5">
        <v>0</v>
      </c>
    </row>
    <row r="1104" spans="1:13" x14ac:dyDescent="0.25">
      <c r="A1104" s="123">
        <v>2903</v>
      </c>
      <c r="B1104" s="76" t="s">
        <v>10</v>
      </c>
      <c r="C1104" s="76" t="s">
        <v>11</v>
      </c>
      <c r="D1104" s="76" t="s">
        <v>73</v>
      </c>
      <c r="E1104" s="4" t="s">
        <v>13</v>
      </c>
      <c r="F1104" s="76">
        <v>2995001000</v>
      </c>
      <c r="G1104" t="s">
        <v>621</v>
      </c>
      <c r="H1104" t="s">
        <v>467</v>
      </c>
      <c r="I1104" s="4" t="s">
        <v>239</v>
      </c>
      <c r="J1104" s="4" t="s">
        <v>492</v>
      </c>
      <c r="K1104" s="71">
        <v>1</v>
      </c>
      <c r="L1104" t="s">
        <v>37</v>
      </c>
      <c r="M1104">
        <f>K1104</f>
        <v>1</v>
      </c>
    </row>
    <row r="1105" spans="1:13" x14ac:dyDescent="0.25">
      <c r="A1105" s="16">
        <v>2905</v>
      </c>
      <c r="B1105" s="6" t="s">
        <v>10</v>
      </c>
      <c r="C1105" s="6" t="s">
        <v>32</v>
      </c>
      <c r="D1105" s="6" t="s">
        <v>109</v>
      </c>
      <c r="E1105" s="4" t="s">
        <v>13</v>
      </c>
      <c r="F1105" s="3">
        <v>2994001000</v>
      </c>
      <c r="G1105" s="11" t="s">
        <v>106</v>
      </c>
      <c r="H1105" s="11" t="s">
        <v>64</v>
      </c>
      <c r="I1105" s="4">
        <v>40</v>
      </c>
      <c r="J1105" s="4" t="s">
        <v>90</v>
      </c>
      <c r="K1105" s="71">
        <v>40</v>
      </c>
      <c r="L1105" t="s">
        <v>21</v>
      </c>
      <c r="M1105" s="5">
        <f>K1105/30</f>
        <v>1.3333333333333333</v>
      </c>
    </row>
    <row r="1106" spans="1:13" x14ac:dyDescent="0.25">
      <c r="A1106" s="16">
        <v>2908</v>
      </c>
      <c r="B1106" s="6" t="s">
        <v>31</v>
      </c>
      <c r="C1106" s="6" t="s">
        <v>32</v>
      </c>
      <c r="D1106" s="6" t="s">
        <v>213</v>
      </c>
      <c r="E1106" s="4" t="s">
        <v>13</v>
      </c>
      <c r="F1106" s="3">
        <v>2499001000</v>
      </c>
      <c r="G1106" s="11" t="s">
        <v>457</v>
      </c>
      <c r="H1106" s="11" t="s">
        <v>504</v>
      </c>
      <c r="I1106" s="4" t="s">
        <v>489</v>
      </c>
      <c r="J1106" s="4" t="s">
        <v>490</v>
      </c>
      <c r="K1106" s="71">
        <v>8</v>
      </c>
      <c r="L1106" t="s">
        <v>17</v>
      </c>
      <c r="M1106" s="5">
        <f>K1106/7</f>
        <v>1.1428571428571428</v>
      </c>
    </row>
    <row r="1107" spans="1:13" x14ac:dyDescent="0.25">
      <c r="A1107" s="16">
        <v>2909</v>
      </c>
      <c r="B1107" s="6" t="s">
        <v>10</v>
      </c>
      <c r="C1107" s="6" t="s">
        <v>11</v>
      </c>
      <c r="D1107" s="6" t="s">
        <v>73</v>
      </c>
      <c r="E1107" s="4" t="s">
        <v>13</v>
      </c>
      <c r="F1107" s="3">
        <v>1165000000</v>
      </c>
      <c r="G1107" s="11" t="s">
        <v>216</v>
      </c>
      <c r="H1107" s="11" t="s">
        <v>215</v>
      </c>
      <c r="I1107" s="4">
        <v>3</v>
      </c>
      <c r="J1107" s="4" t="s">
        <v>16</v>
      </c>
      <c r="K1107" s="71">
        <v>3</v>
      </c>
      <c r="L1107" t="s">
        <v>17</v>
      </c>
      <c r="M1107" s="5">
        <f>K1107/7</f>
        <v>0.42857142857142855</v>
      </c>
    </row>
    <row r="1108" spans="1:13" x14ac:dyDescent="0.25">
      <c r="A1108" s="16">
        <v>2910</v>
      </c>
      <c r="B1108" s="6" t="s">
        <v>10</v>
      </c>
      <c r="C1108" s="6" t="s">
        <v>11</v>
      </c>
      <c r="D1108" s="6" t="s">
        <v>73</v>
      </c>
      <c r="E1108" s="4" t="s">
        <v>13</v>
      </c>
      <c r="F1108" s="3">
        <v>3300202000</v>
      </c>
      <c r="G1108" s="11" t="s">
        <v>354</v>
      </c>
      <c r="H1108" s="11" t="s">
        <v>350</v>
      </c>
      <c r="I1108" s="4" t="s">
        <v>358</v>
      </c>
      <c r="J1108" s="4" t="s">
        <v>353</v>
      </c>
      <c r="K1108" s="71">
        <v>1</v>
      </c>
      <c r="L1108" t="s">
        <v>17</v>
      </c>
      <c r="M1108" s="5">
        <f>K1108/7</f>
        <v>0.14285714285714285</v>
      </c>
    </row>
    <row r="1109" spans="1:13" x14ac:dyDescent="0.25">
      <c r="A1109" s="16">
        <v>2911</v>
      </c>
      <c r="B1109" s="6" t="s">
        <v>10</v>
      </c>
      <c r="C1109" s="6" t="s">
        <v>11</v>
      </c>
      <c r="D1109" s="6" t="s">
        <v>73</v>
      </c>
      <c r="E1109" s="4" t="s">
        <v>13</v>
      </c>
      <c r="F1109" s="3">
        <v>3370001000</v>
      </c>
      <c r="G1109" s="11" t="s">
        <v>517</v>
      </c>
      <c r="H1109" s="11" t="s">
        <v>337</v>
      </c>
      <c r="I1109" s="4">
        <v>1</v>
      </c>
      <c r="J1109" s="4" t="s">
        <v>487</v>
      </c>
      <c r="K1109" s="71">
        <v>1</v>
      </c>
      <c r="L1109" t="s">
        <v>17</v>
      </c>
      <c r="M1109" s="5">
        <f>K1109/7</f>
        <v>0.14285714285714285</v>
      </c>
    </row>
    <row r="1110" spans="1:13" x14ac:dyDescent="0.25">
      <c r="A1110" s="16">
        <v>2912</v>
      </c>
      <c r="B1110" s="39" t="s">
        <v>10</v>
      </c>
      <c r="C1110" s="39" t="s">
        <v>11</v>
      </c>
      <c r="D1110" s="39" t="s">
        <v>73</v>
      </c>
      <c r="E1110" s="4" t="s">
        <v>13</v>
      </c>
      <c r="F1110" s="54">
        <v>3370009000</v>
      </c>
      <c r="G1110" s="8" t="s">
        <v>747</v>
      </c>
      <c r="H1110" s="8"/>
      <c r="I1110" s="7"/>
      <c r="J1110" s="7"/>
      <c r="K1110" s="106">
        <v>0</v>
      </c>
      <c r="L1110" s="8"/>
      <c r="M1110" s="30">
        <v>0</v>
      </c>
    </row>
    <row r="1111" spans="1:13" x14ac:dyDescent="0.25">
      <c r="A1111" s="125">
        <v>2912</v>
      </c>
      <c r="B1111" s="46" t="s">
        <v>10</v>
      </c>
      <c r="C1111" s="46" t="s">
        <v>11</v>
      </c>
      <c r="D1111" s="46" t="s">
        <v>73</v>
      </c>
      <c r="E1111" s="4" t="s">
        <v>13</v>
      </c>
      <c r="F1111" s="46">
        <v>3370009000</v>
      </c>
      <c r="G1111" t="s">
        <v>747</v>
      </c>
      <c r="H1111" t="s">
        <v>870</v>
      </c>
      <c r="I1111" s="4" t="s">
        <v>493</v>
      </c>
      <c r="J1111" s="4" t="s">
        <v>523</v>
      </c>
      <c r="K1111" s="71">
        <v>2</v>
      </c>
      <c r="L1111" t="s">
        <v>17</v>
      </c>
      <c r="M1111" s="5">
        <f>K1111/7</f>
        <v>0.2857142857142857</v>
      </c>
    </row>
    <row r="1112" spans="1:13" x14ac:dyDescent="0.25">
      <c r="A1112" s="16">
        <v>2913</v>
      </c>
      <c r="B1112" s="6" t="s">
        <v>10</v>
      </c>
      <c r="C1112" s="6" t="s">
        <v>11</v>
      </c>
      <c r="D1112" s="6" t="s">
        <v>73</v>
      </c>
      <c r="E1112" s="4" t="s">
        <v>13</v>
      </c>
      <c r="F1112" s="3">
        <v>2789001000</v>
      </c>
      <c r="G1112" s="11" t="s">
        <v>364</v>
      </c>
      <c r="H1112" s="11" t="s">
        <v>350</v>
      </c>
      <c r="I1112" s="4" t="s">
        <v>290</v>
      </c>
      <c r="J1112" s="4" t="s">
        <v>365</v>
      </c>
      <c r="K1112" s="71">
        <v>1</v>
      </c>
      <c r="L1112" t="s">
        <v>17</v>
      </c>
      <c r="M1112" s="5">
        <f>K1112/7</f>
        <v>0.14285714285714285</v>
      </c>
    </row>
    <row r="1113" spans="1:13" x14ac:dyDescent="0.25">
      <c r="A1113" s="16">
        <v>2914</v>
      </c>
      <c r="B1113" s="6" t="s">
        <v>10</v>
      </c>
      <c r="C1113" s="6" t="s">
        <v>11</v>
      </c>
      <c r="D1113" s="6" t="s">
        <v>73</v>
      </c>
      <c r="E1113" s="4" t="s">
        <v>13</v>
      </c>
      <c r="F1113" s="3">
        <v>2499009000</v>
      </c>
      <c r="G1113" s="11" t="s">
        <v>422</v>
      </c>
      <c r="H1113" s="11" t="s">
        <v>407</v>
      </c>
      <c r="I1113" s="4" t="s">
        <v>296</v>
      </c>
      <c r="J1113" s="4" t="s">
        <v>381</v>
      </c>
      <c r="K1113" s="71">
        <v>0.67</v>
      </c>
      <c r="L1113" t="s">
        <v>37</v>
      </c>
      <c r="M1113" s="5">
        <f>K1113</f>
        <v>0.67</v>
      </c>
    </row>
    <row r="1114" spans="1:13" x14ac:dyDescent="0.25">
      <c r="A1114" s="16">
        <v>2923</v>
      </c>
      <c r="B1114" s="6" t="s">
        <v>31</v>
      </c>
      <c r="C1114" s="6" t="s">
        <v>32</v>
      </c>
      <c r="D1114" s="6" t="s">
        <v>213</v>
      </c>
      <c r="E1114" s="4" t="s">
        <v>13</v>
      </c>
      <c r="F1114" s="3">
        <v>3042058002</v>
      </c>
      <c r="G1114" s="11" t="s">
        <v>210</v>
      </c>
      <c r="H1114" s="11" t="s">
        <v>211</v>
      </c>
      <c r="I1114" s="4" t="s">
        <v>138</v>
      </c>
      <c r="J1114" s="4" t="s">
        <v>166</v>
      </c>
      <c r="K1114" s="71">
        <v>4</v>
      </c>
      <c r="L1114" t="s">
        <v>17</v>
      </c>
      <c r="M1114" s="5">
        <f>K1114/7</f>
        <v>0.5714285714285714</v>
      </c>
    </row>
    <row r="1115" spans="1:13" x14ac:dyDescent="0.25">
      <c r="A1115" s="125">
        <v>2926</v>
      </c>
      <c r="B1115" s="46" t="s">
        <v>148</v>
      </c>
      <c r="C1115" s="46" t="s">
        <v>751</v>
      </c>
      <c r="D1115" s="46" t="s">
        <v>751</v>
      </c>
      <c r="E1115" s="46" t="s">
        <v>13</v>
      </c>
      <c r="F1115" s="35">
        <v>1000003</v>
      </c>
      <c r="G1115" t="s">
        <v>602</v>
      </c>
      <c r="H1115" s="4"/>
      <c r="J1115" s="71"/>
      <c r="K1115"/>
      <c r="L1115" s="5"/>
      <c r="M1115"/>
    </row>
    <row r="1116" spans="1:13" x14ac:dyDescent="0.25">
      <c r="A1116" s="16">
        <v>2929</v>
      </c>
      <c r="B1116" s="6" t="s">
        <v>443</v>
      </c>
      <c r="C1116" s="6" t="s">
        <v>11</v>
      </c>
      <c r="D1116" s="6">
        <v>500</v>
      </c>
      <c r="E1116" s="4" t="s">
        <v>13</v>
      </c>
      <c r="F1116" s="3">
        <v>66011000</v>
      </c>
      <c r="G1116" s="11" t="s">
        <v>440</v>
      </c>
      <c r="H1116" s="11" t="s">
        <v>521</v>
      </c>
      <c r="I1116" s="4" t="s">
        <v>239</v>
      </c>
      <c r="J1116" s="4" t="s">
        <v>492</v>
      </c>
      <c r="K1116" s="71">
        <v>1</v>
      </c>
      <c r="L1116" t="s">
        <v>37</v>
      </c>
      <c r="M1116" s="5">
        <f>K1116</f>
        <v>1</v>
      </c>
    </row>
    <row r="1117" spans="1:13" x14ac:dyDescent="0.25">
      <c r="A1117" s="123">
        <v>2930</v>
      </c>
      <c r="B1117" s="76" t="s">
        <v>443</v>
      </c>
      <c r="C1117" s="76" t="s">
        <v>22</v>
      </c>
      <c r="D1117" s="76">
        <v>500</v>
      </c>
      <c r="E1117" s="4" t="s">
        <v>13</v>
      </c>
      <c r="F1117" s="76">
        <v>66011000</v>
      </c>
      <c r="G1117" t="s">
        <v>548</v>
      </c>
      <c r="H1117" t="s">
        <v>889</v>
      </c>
      <c r="I1117" s="4">
        <v>1</v>
      </c>
      <c r="J1117" s="4" t="s">
        <v>492</v>
      </c>
      <c r="K1117" s="71">
        <v>1</v>
      </c>
      <c r="L1117" t="s">
        <v>37</v>
      </c>
      <c r="M1117">
        <f>K1117</f>
        <v>1</v>
      </c>
    </row>
    <row r="1118" spans="1:13" x14ac:dyDescent="0.25">
      <c r="A1118" s="16">
        <v>2944</v>
      </c>
      <c r="B1118" s="6" t="s">
        <v>43</v>
      </c>
      <c r="C1118" s="6" t="s">
        <v>395</v>
      </c>
      <c r="D1118" s="6" t="s">
        <v>436</v>
      </c>
      <c r="E1118" s="4" t="s">
        <v>13</v>
      </c>
      <c r="F1118" s="3">
        <v>2514001000</v>
      </c>
      <c r="G1118" s="11" t="s">
        <v>435</v>
      </c>
      <c r="H1118" t="s">
        <v>428</v>
      </c>
      <c r="I1118" s="4" t="s">
        <v>231</v>
      </c>
      <c r="J1118" s="4" t="s">
        <v>231</v>
      </c>
      <c r="K1118" s="71">
        <v>0</v>
      </c>
      <c r="L1118" t="str">
        <f>J1118</f>
        <v>back up</v>
      </c>
      <c r="M1118" s="5">
        <f>K1118</f>
        <v>0</v>
      </c>
    </row>
    <row r="1119" spans="1:13" x14ac:dyDescent="0.25">
      <c r="A1119" s="16">
        <v>2952</v>
      </c>
      <c r="B1119" s="6" t="s">
        <v>10</v>
      </c>
      <c r="C1119" s="6" t="s">
        <v>11</v>
      </c>
      <c r="D1119" s="6" t="s">
        <v>73</v>
      </c>
      <c r="E1119" s="4" t="s">
        <v>13</v>
      </c>
      <c r="F1119" s="3">
        <v>1967012000</v>
      </c>
      <c r="G1119" s="11" t="s">
        <v>454</v>
      </c>
      <c r="H1119" s="11" t="s">
        <v>467</v>
      </c>
      <c r="I1119" s="4">
        <v>3</v>
      </c>
      <c r="J1119" s="4" t="s">
        <v>492</v>
      </c>
      <c r="K1119" s="71">
        <v>3</v>
      </c>
      <c r="L1119" t="s">
        <v>37</v>
      </c>
      <c r="M1119" s="5">
        <f>K1119</f>
        <v>3</v>
      </c>
    </row>
    <row r="1120" spans="1:13" x14ac:dyDescent="0.25">
      <c r="A1120" s="16">
        <v>2953</v>
      </c>
      <c r="B1120" s="6" t="s">
        <v>10</v>
      </c>
      <c r="C1120" s="6" t="s">
        <v>11</v>
      </c>
      <c r="D1120" s="6" t="s">
        <v>73</v>
      </c>
      <c r="E1120" s="4" t="s">
        <v>13</v>
      </c>
      <c r="F1120" s="3">
        <v>3152001000</v>
      </c>
      <c r="G1120" s="11" t="s">
        <v>417</v>
      </c>
      <c r="H1120" s="11" t="s">
        <v>407</v>
      </c>
      <c r="I1120" s="4" t="s">
        <v>290</v>
      </c>
      <c r="J1120" s="4" t="s">
        <v>352</v>
      </c>
      <c r="K1120" s="71">
        <v>1</v>
      </c>
      <c r="L1120" t="s">
        <v>17</v>
      </c>
      <c r="M1120" s="5">
        <f>K1120/7</f>
        <v>0.14285714285714285</v>
      </c>
    </row>
    <row r="1121" spans="1:13" x14ac:dyDescent="0.25">
      <c r="A1121" s="16">
        <v>2954</v>
      </c>
      <c r="B1121" s="6" t="s">
        <v>10</v>
      </c>
      <c r="C1121" s="6" t="s">
        <v>11</v>
      </c>
      <c r="D1121" s="6" t="s">
        <v>73</v>
      </c>
      <c r="E1121" s="4" t="s">
        <v>13</v>
      </c>
      <c r="F1121" s="3">
        <v>1967007000</v>
      </c>
      <c r="G1121" s="11" t="s">
        <v>466</v>
      </c>
      <c r="H1121" s="11" t="s">
        <v>467</v>
      </c>
      <c r="I1121" s="4">
        <v>2</v>
      </c>
      <c r="J1121" s="4" t="s">
        <v>492</v>
      </c>
      <c r="K1121" s="71">
        <v>2</v>
      </c>
      <c r="L1121" t="s">
        <v>37</v>
      </c>
      <c r="M1121" s="5">
        <f>K1121</f>
        <v>2</v>
      </c>
    </row>
    <row r="1122" spans="1:13" x14ac:dyDescent="0.25">
      <c r="A1122" s="16">
        <v>2955</v>
      </c>
      <c r="B1122" s="6" t="s">
        <v>10</v>
      </c>
      <c r="C1122" s="6" t="s">
        <v>11</v>
      </c>
      <c r="D1122" s="6" t="s">
        <v>73</v>
      </c>
      <c r="E1122" s="4" t="s">
        <v>13</v>
      </c>
      <c r="F1122" s="3">
        <v>1967007000</v>
      </c>
      <c r="G1122" s="11" t="s">
        <v>466</v>
      </c>
      <c r="H1122" s="11" t="s">
        <v>467</v>
      </c>
      <c r="I1122" s="4">
        <v>2</v>
      </c>
      <c r="J1122" s="4" t="s">
        <v>492</v>
      </c>
      <c r="K1122" s="71">
        <v>2</v>
      </c>
      <c r="L1122" t="s">
        <v>37</v>
      </c>
      <c r="M1122" s="5">
        <f>K1122</f>
        <v>2</v>
      </c>
    </row>
    <row r="1123" spans="1:13" x14ac:dyDescent="0.25">
      <c r="A1123" s="16">
        <v>2959</v>
      </c>
      <c r="B1123" s="6" t="s">
        <v>31</v>
      </c>
      <c r="C1123" s="6" t="s">
        <v>32</v>
      </c>
      <c r="D1123" s="6" t="s">
        <v>110</v>
      </c>
      <c r="E1123" s="4" t="s">
        <v>13</v>
      </c>
      <c r="F1123" s="3">
        <v>2994001000</v>
      </c>
      <c r="G1123" s="11" t="s">
        <v>106</v>
      </c>
      <c r="H1123" s="11" t="s">
        <v>64</v>
      </c>
      <c r="I1123" s="4">
        <v>10</v>
      </c>
      <c r="J1123" s="4" t="s">
        <v>111</v>
      </c>
      <c r="K1123" s="71">
        <v>10</v>
      </c>
      <c r="L1123" t="s">
        <v>21</v>
      </c>
      <c r="M1123" s="5">
        <f>K1123/30</f>
        <v>0.33333333333333331</v>
      </c>
    </row>
    <row r="1124" spans="1:13" x14ac:dyDescent="0.25">
      <c r="A1124" s="16">
        <v>2966</v>
      </c>
      <c r="B1124" s="6" t="s">
        <v>444</v>
      </c>
      <c r="C1124" s="6" t="s">
        <v>32</v>
      </c>
      <c r="D1124" s="6" t="s">
        <v>40</v>
      </c>
      <c r="E1124" s="4" t="s">
        <v>13</v>
      </c>
      <c r="F1124" s="3">
        <v>66011000</v>
      </c>
      <c r="G1124" s="11" t="s">
        <v>440</v>
      </c>
      <c r="H1124" t="s">
        <v>521</v>
      </c>
      <c r="I1124" s="4" t="s">
        <v>522</v>
      </c>
      <c r="J1124" s="4" t="s">
        <v>522</v>
      </c>
      <c r="K1124" s="71">
        <v>0</v>
      </c>
      <c r="L1124" t="str">
        <f>J1124</f>
        <v>Operativos</v>
      </c>
      <c r="M1124" s="5">
        <f>K1124</f>
        <v>0</v>
      </c>
    </row>
    <row r="1125" spans="1:13" x14ac:dyDescent="0.25">
      <c r="A1125" s="16">
        <v>2969</v>
      </c>
      <c r="B1125" s="3" t="s">
        <v>31</v>
      </c>
      <c r="C1125" s="3" t="s">
        <v>32</v>
      </c>
      <c r="D1125" s="3" t="s">
        <v>110</v>
      </c>
      <c r="E1125" s="4" t="s">
        <v>13</v>
      </c>
      <c r="F1125" s="3">
        <v>953011000</v>
      </c>
      <c r="G1125" t="s">
        <v>844</v>
      </c>
      <c r="H1125" s="4" t="s">
        <v>845</v>
      </c>
      <c r="I1125" s="4">
        <v>10</v>
      </c>
      <c r="J1125" s="4" t="s">
        <v>103</v>
      </c>
      <c r="K1125" s="71">
        <v>10</v>
      </c>
      <c r="L1125" t="s">
        <v>21</v>
      </c>
      <c r="M1125">
        <f>K1125/30</f>
        <v>0.33333333333333331</v>
      </c>
    </row>
    <row r="1126" spans="1:13" x14ac:dyDescent="0.25">
      <c r="A1126" s="16">
        <v>2970</v>
      </c>
      <c r="B1126" s="6" t="s">
        <v>31</v>
      </c>
      <c r="C1126" s="6" t="s">
        <v>32</v>
      </c>
      <c r="D1126" s="6" t="s">
        <v>33</v>
      </c>
      <c r="E1126" s="4" t="s">
        <v>13</v>
      </c>
      <c r="F1126" s="3">
        <v>193012000</v>
      </c>
      <c r="G1126" s="11" t="s">
        <v>34</v>
      </c>
      <c r="H1126" s="11" t="s">
        <v>339</v>
      </c>
      <c r="I1126" s="4" t="s">
        <v>35</v>
      </c>
      <c r="J1126" s="4" t="s">
        <v>36</v>
      </c>
      <c r="K1126" s="71">
        <v>2</v>
      </c>
      <c r="L1126" t="s">
        <v>37</v>
      </c>
      <c r="M1126" s="5">
        <f>K1126</f>
        <v>2</v>
      </c>
    </row>
    <row r="1127" spans="1:13" x14ac:dyDescent="0.25">
      <c r="A1127" s="16">
        <v>2975</v>
      </c>
      <c r="B1127" s="6" t="s">
        <v>199</v>
      </c>
      <c r="C1127" s="6" t="s">
        <v>200</v>
      </c>
      <c r="D1127" s="6" t="s">
        <v>40</v>
      </c>
      <c r="E1127" s="4" t="s">
        <v>13</v>
      </c>
      <c r="F1127" s="3">
        <v>1025002</v>
      </c>
      <c r="G1127" s="11" t="s">
        <v>420</v>
      </c>
      <c r="H1127" t="s">
        <v>407</v>
      </c>
      <c r="I1127" s="4" t="s">
        <v>522</v>
      </c>
      <c r="J1127" s="4" t="s">
        <v>522</v>
      </c>
      <c r="K1127" s="71">
        <v>0</v>
      </c>
      <c r="L1127" t="str">
        <f>J1127</f>
        <v>Operativos</v>
      </c>
      <c r="M1127" s="5">
        <v>0</v>
      </c>
    </row>
    <row r="1128" spans="1:13" x14ac:dyDescent="0.25">
      <c r="A1128" s="126">
        <v>2977</v>
      </c>
      <c r="B1128" s="58" t="s">
        <v>10</v>
      </c>
      <c r="C1128" s="58" t="s">
        <v>200</v>
      </c>
      <c r="D1128" s="58" t="s">
        <v>40</v>
      </c>
      <c r="E1128" s="4" t="s">
        <v>13</v>
      </c>
      <c r="F1128" s="58">
        <v>165008000</v>
      </c>
      <c r="G1128" s="45" t="s">
        <v>855</v>
      </c>
      <c r="H1128" t="s">
        <v>64</v>
      </c>
      <c r="I1128" s="4" t="s">
        <v>231</v>
      </c>
      <c r="J1128" s="4" t="s">
        <v>231</v>
      </c>
      <c r="K1128" s="71">
        <v>0</v>
      </c>
      <c r="L1128" t="str">
        <f>J1128</f>
        <v>back up</v>
      </c>
      <c r="M1128">
        <v>0</v>
      </c>
    </row>
    <row r="1129" spans="1:13" x14ac:dyDescent="0.25">
      <c r="A1129" s="125">
        <v>2978</v>
      </c>
      <c r="B1129" s="46" t="s">
        <v>753</v>
      </c>
      <c r="C1129" s="46" t="s">
        <v>756</v>
      </c>
      <c r="D1129" s="46">
        <v>7876817</v>
      </c>
      <c r="E1129" s="46" t="s">
        <v>13</v>
      </c>
      <c r="F1129" s="35">
        <v>1014002</v>
      </c>
      <c r="G1129" t="s">
        <v>564</v>
      </c>
      <c r="H1129" s="4"/>
      <c r="J1129" s="71"/>
      <c r="K1129"/>
      <c r="L1129" s="5"/>
      <c r="M1129"/>
    </row>
    <row r="1130" spans="1:13" x14ac:dyDescent="0.25">
      <c r="A1130" s="110">
        <v>2981</v>
      </c>
      <c r="B1130" s="20" t="s">
        <v>31</v>
      </c>
      <c r="C1130" s="20" t="s">
        <v>32</v>
      </c>
      <c r="D1130" s="20" t="s">
        <v>289</v>
      </c>
      <c r="E1130" s="110" t="s">
        <v>13</v>
      </c>
      <c r="F1130" s="3">
        <v>2126001000</v>
      </c>
      <c r="G1130" s="11" t="s">
        <v>264</v>
      </c>
      <c r="H1130" s="11" t="s">
        <v>265</v>
      </c>
      <c r="I1130" s="19" t="s">
        <v>266</v>
      </c>
      <c r="J1130" s="19" t="s">
        <v>274</v>
      </c>
      <c r="K1130" s="71">
        <v>6</v>
      </c>
      <c r="L1130" t="s">
        <v>17</v>
      </c>
      <c r="M1130" s="5">
        <f>K1130/7</f>
        <v>0.8571428571428571</v>
      </c>
    </row>
    <row r="1131" spans="1:13" x14ac:dyDescent="0.25">
      <c r="A1131" s="16">
        <v>2986</v>
      </c>
      <c r="B1131" s="6" t="s">
        <v>334</v>
      </c>
      <c r="C1131" s="6" t="s">
        <v>32</v>
      </c>
      <c r="E1131" s="4" t="s">
        <v>13</v>
      </c>
      <c r="F1131" s="3">
        <v>165001000</v>
      </c>
      <c r="G1131" s="11" t="s">
        <v>319</v>
      </c>
      <c r="H1131" s="11" t="s">
        <v>338</v>
      </c>
      <c r="I1131" s="4" t="s">
        <v>333</v>
      </c>
      <c r="J1131" s="4" t="s">
        <v>17</v>
      </c>
      <c r="K1131" s="71">
        <v>20</v>
      </c>
      <c r="L1131" t="s">
        <v>17</v>
      </c>
      <c r="M1131" s="5">
        <f>K1131/7</f>
        <v>2.8571428571428572</v>
      </c>
    </row>
    <row r="1132" spans="1:13" x14ac:dyDescent="0.25">
      <c r="A1132" s="16">
        <v>2988</v>
      </c>
      <c r="B1132" s="6" t="s">
        <v>10</v>
      </c>
      <c r="C1132" s="6" t="s">
        <v>11</v>
      </c>
      <c r="D1132" s="6" t="s">
        <v>73</v>
      </c>
      <c r="E1132" s="4" t="s">
        <v>13</v>
      </c>
      <c r="F1132" s="3">
        <v>153002000</v>
      </c>
      <c r="G1132" s="11" t="s">
        <v>497</v>
      </c>
      <c r="H1132" s="11" t="s">
        <v>498</v>
      </c>
      <c r="I1132" s="4">
        <v>60</v>
      </c>
      <c r="J1132" s="4" t="s">
        <v>20</v>
      </c>
      <c r="K1132" s="71">
        <f>I1132</f>
        <v>60</v>
      </c>
      <c r="L1132" t="s">
        <v>21</v>
      </c>
      <c r="M1132" s="5">
        <f>K1132/30</f>
        <v>2</v>
      </c>
    </row>
    <row r="1133" spans="1:13" x14ac:dyDescent="0.25">
      <c r="A1133" s="16">
        <v>2989</v>
      </c>
      <c r="B1133" s="6" t="s">
        <v>10</v>
      </c>
      <c r="C1133" s="6" t="s">
        <v>11</v>
      </c>
      <c r="D1133" s="6" t="s">
        <v>73</v>
      </c>
      <c r="E1133" s="4" t="s">
        <v>13</v>
      </c>
      <c r="F1133" s="3">
        <v>2548013000</v>
      </c>
      <c r="G1133" s="11" t="s">
        <v>179</v>
      </c>
      <c r="H1133" s="11" t="s">
        <v>337</v>
      </c>
      <c r="I1133" s="4" t="s">
        <v>144</v>
      </c>
      <c r="J1133" s="4" t="s">
        <v>145</v>
      </c>
      <c r="K1133" s="71">
        <v>2</v>
      </c>
      <c r="L1133" t="s">
        <v>17</v>
      </c>
      <c r="M1133" s="5">
        <f>K1133/7</f>
        <v>0.2857142857142857</v>
      </c>
    </row>
    <row r="1134" spans="1:13" x14ac:dyDescent="0.25">
      <c r="A1134" s="16">
        <v>2990</v>
      </c>
      <c r="B1134" s="3" t="s">
        <v>10</v>
      </c>
      <c r="C1134" s="3" t="s">
        <v>164</v>
      </c>
      <c r="D1134" s="3"/>
      <c r="E1134" s="4" t="s">
        <v>13</v>
      </c>
      <c r="F1134" s="3">
        <v>3319002000</v>
      </c>
      <c r="G1134" t="s">
        <v>848</v>
      </c>
      <c r="H1134" s="4" t="s">
        <v>845</v>
      </c>
      <c r="I1134" s="4">
        <v>10</v>
      </c>
      <c r="J1134" s="4" t="s">
        <v>103</v>
      </c>
      <c r="K1134" s="71">
        <v>10</v>
      </c>
      <c r="L1134" t="s">
        <v>21</v>
      </c>
      <c r="M1134">
        <f>K1134/30</f>
        <v>0.33333333333333331</v>
      </c>
    </row>
    <row r="1135" spans="1:13" x14ac:dyDescent="0.25">
      <c r="A1135" s="16">
        <v>2993</v>
      </c>
      <c r="B1135" s="6" t="s">
        <v>10</v>
      </c>
      <c r="C1135" s="6" t="s">
        <v>32</v>
      </c>
      <c r="D1135" s="6" t="s">
        <v>388</v>
      </c>
      <c r="E1135" s="4" t="s">
        <v>13</v>
      </c>
      <c r="F1135" s="3">
        <v>3135003000</v>
      </c>
      <c r="G1135" s="11" t="s">
        <v>387</v>
      </c>
      <c r="H1135" s="11" t="s">
        <v>380</v>
      </c>
      <c r="I1135" s="4" t="s">
        <v>358</v>
      </c>
      <c r="J1135" s="4" t="s">
        <v>353</v>
      </c>
      <c r="K1135" s="71">
        <v>1</v>
      </c>
      <c r="L1135" t="s">
        <v>17</v>
      </c>
      <c r="M1135" s="5">
        <f>K1135/7</f>
        <v>0.14285714285714285</v>
      </c>
    </row>
    <row r="1136" spans="1:13" x14ac:dyDescent="0.25">
      <c r="A1136" s="16">
        <v>2994</v>
      </c>
      <c r="B1136" s="3" t="s">
        <v>148</v>
      </c>
      <c r="C1136" s="3" t="s">
        <v>101</v>
      </c>
      <c r="D1136" s="3" t="s">
        <v>40</v>
      </c>
      <c r="E1136" s="4" t="s">
        <v>13</v>
      </c>
      <c r="F1136" s="58">
        <v>165008000</v>
      </c>
      <c r="G1136" t="s">
        <v>855</v>
      </c>
      <c r="H1136" s="11" t="s">
        <v>64</v>
      </c>
      <c r="I1136" s="4">
        <v>10</v>
      </c>
      <c r="J1136" s="4" t="s">
        <v>115</v>
      </c>
      <c r="K1136" s="71">
        <v>10</v>
      </c>
      <c r="L1136" t="s">
        <v>21</v>
      </c>
      <c r="M1136">
        <f>K1136/30</f>
        <v>0.33333333333333331</v>
      </c>
    </row>
    <row r="1137" spans="1:13" x14ac:dyDescent="0.25">
      <c r="A1137" s="29">
        <v>2996</v>
      </c>
      <c r="B1137" s="40" t="s">
        <v>199</v>
      </c>
      <c r="C1137" s="40" t="s">
        <v>479</v>
      </c>
      <c r="D1137" s="40" t="s">
        <v>40</v>
      </c>
      <c r="E1137" s="10" t="s">
        <v>13</v>
      </c>
      <c r="F1137" s="61">
        <v>3118001000</v>
      </c>
      <c r="G1137" s="12" t="s">
        <v>480</v>
      </c>
      <c r="H1137" s="9"/>
      <c r="I1137" s="64" t="s">
        <v>495</v>
      </c>
      <c r="J1137" s="10"/>
      <c r="K1137" s="107">
        <v>0</v>
      </c>
      <c r="L1137" s="9">
        <f>J1137</f>
        <v>0</v>
      </c>
      <c r="M1137" s="13"/>
    </row>
    <row r="1138" spans="1:13" x14ac:dyDescent="0.25">
      <c r="A1138" s="29">
        <v>2997</v>
      </c>
      <c r="B1138" s="40" t="s">
        <v>10</v>
      </c>
      <c r="C1138" s="40" t="s">
        <v>11</v>
      </c>
      <c r="D1138" s="40" t="s">
        <v>481</v>
      </c>
      <c r="E1138" s="10" t="s">
        <v>13</v>
      </c>
      <c r="F1138" s="61">
        <v>3118001000</v>
      </c>
      <c r="G1138" s="12" t="s">
        <v>480</v>
      </c>
      <c r="H1138" s="9"/>
      <c r="I1138" s="64" t="s">
        <v>495</v>
      </c>
      <c r="J1138" s="10"/>
      <c r="K1138" s="107">
        <v>0</v>
      </c>
      <c r="L1138" s="9">
        <f>J1138</f>
        <v>0</v>
      </c>
      <c r="M1138" s="13"/>
    </row>
    <row r="1139" spans="1:13" x14ac:dyDescent="0.25">
      <c r="A1139" s="29">
        <v>2998</v>
      </c>
      <c r="B1139" s="40" t="s">
        <v>10</v>
      </c>
      <c r="C1139" s="40" t="s">
        <v>11</v>
      </c>
      <c r="D1139" s="40" t="s">
        <v>481</v>
      </c>
      <c r="E1139" s="10" t="s">
        <v>13</v>
      </c>
      <c r="F1139" s="61">
        <v>3118001000</v>
      </c>
      <c r="G1139" s="12" t="s">
        <v>480</v>
      </c>
      <c r="H1139" s="9"/>
      <c r="I1139" s="64" t="s">
        <v>495</v>
      </c>
      <c r="J1139" s="10"/>
      <c r="K1139" s="107">
        <v>0</v>
      </c>
      <c r="L1139" s="9">
        <f>J1139</f>
        <v>0</v>
      </c>
      <c r="M1139" s="13"/>
    </row>
    <row r="1140" spans="1:13" x14ac:dyDescent="0.25">
      <c r="A1140" s="29">
        <v>2999</v>
      </c>
      <c r="B1140" s="40" t="s">
        <v>10</v>
      </c>
      <c r="C1140" s="40" t="s">
        <v>11</v>
      </c>
      <c r="D1140" s="40" t="s">
        <v>73</v>
      </c>
      <c r="E1140" s="10" t="s">
        <v>13</v>
      </c>
      <c r="F1140" s="61">
        <v>3118001000</v>
      </c>
      <c r="G1140" s="12" t="s">
        <v>480</v>
      </c>
      <c r="H1140" s="9"/>
      <c r="I1140" s="64" t="s">
        <v>495</v>
      </c>
      <c r="J1140" s="10"/>
      <c r="K1140" s="107">
        <v>0</v>
      </c>
      <c r="L1140" s="9">
        <f>J1140</f>
        <v>0</v>
      </c>
      <c r="M1140" s="13"/>
    </row>
    <row r="1141" spans="1:13" x14ac:dyDescent="0.25">
      <c r="A1141" s="16">
        <v>3000</v>
      </c>
      <c r="B1141" s="6" t="s">
        <v>10</v>
      </c>
      <c r="C1141" s="6" t="s">
        <v>11</v>
      </c>
      <c r="D1141" s="6" t="s">
        <v>73</v>
      </c>
      <c r="E1141" s="4" t="s">
        <v>13</v>
      </c>
      <c r="F1141" s="3">
        <v>3178010000</v>
      </c>
      <c r="G1141" s="11" t="s">
        <v>477</v>
      </c>
      <c r="H1141" s="11" t="s">
        <v>478</v>
      </c>
      <c r="I1141" s="4" t="s">
        <v>232</v>
      </c>
      <c r="J1141" s="4" t="s">
        <v>496</v>
      </c>
      <c r="K1141" s="71">
        <v>1</v>
      </c>
      <c r="L1141" t="s">
        <v>37</v>
      </c>
      <c r="M1141" s="5">
        <f>K1141</f>
        <v>1</v>
      </c>
    </row>
    <row r="1142" spans="1:13" x14ac:dyDescent="0.25">
      <c r="A1142" s="29">
        <v>3004</v>
      </c>
      <c r="B1142" s="40" t="s">
        <v>31</v>
      </c>
      <c r="C1142" s="40" t="s">
        <v>32</v>
      </c>
      <c r="D1142" s="40" t="s">
        <v>445</v>
      </c>
      <c r="E1142" s="10" t="s">
        <v>13</v>
      </c>
      <c r="F1142" s="61">
        <v>3118001000</v>
      </c>
      <c r="G1142" s="12" t="s">
        <v>480</v>
      </c>
      <c r="H1142" s="9"/>
      <c r="I1142" s="64" t="s">
        <v>495</v>
      </c>
      <c r="J1142" s="10"/>
      <c r="K1142" s="107">
        <v>0</v>
      </c>
      <c r="L1142" s="9">
        <f>J1142</f>
        <v>0</v>
      </c>
      <c r="M1142" s="13"/>
    </row>
    <row r="1143" spans="1:13" x14ac:dyDescent="0.25">
      <c r="A1143" s="16">
        <v>3016</v>
      </c>
      <c r="B1143" s="6" t="s">
        <v>31</v>
      </c>
      <c r="C1143" s="6" t="s">
        <v>101</v>
      </c>
      <c r="D1143" s="6" t="s">
        <v>102</v>
      </c>
      <c r="E1143" s="4" t="s">
        <v>13</v>
      </c>
      <c r="F1143" s="3">
        <v>3116001000</v>
      </c>
      <c r="G1143" s="11" t="s">
        <v>96</v>
      </c>
      <c r="H1143" s="11" t="s">
        <v>64</v>
      </c>
      <c r="I1143" s="4">
        <v>10</v>
      </c>
      <c r="J1143" s="4" t="s">
        <v>103</v>
      </c>
      <c r="K1143" s="71">
        <v>10</v>
      </c>
      <c r="L1143" t="s">
        <v>21</v>
      </c>
      <c r="M1143" s="5">
        <f>K1143/30</f>
        <v>0.33333333333333331</v>
      </c>
    </row>
    <row r="1144" spans="1:13" x14ac:dyDescent="0.25">
      <c r="A1144" s="16">
        <v>3017</v>
      </c>
      <c r="B1144" s="6" t="s">
        <v>70</v>
      </c>
      <c r="C1144" s="6" t="s">
        <v>11</v>
      </c>
      <c r="D1144" s="6" t="s">
        <v>19</v>
      </c>
      <c r="E1144" s="4" t="s">
        <v>13</v>
      </c>
      <c r="F1144" s="3">
        <v>1652002001</v>
      </c>
      <c r="G1144" s="11" t="s">
        <v>292</v>
      </c>
      <c r="H1144" s="11" t="s">
        <v>338</v>
      </c>
      <c r="I1144" s="4" t="s">
        <v>290</v>
      </c>
      <c r="J1144" s="4" t="s">
        <v>293</v>
      </c>
      <c r="K1144" s="71">
        <v>1</v>
      </c>
      <c r="L1144" t="s">
        <v>17</v>
      </c>
      <c r="M1144" s="5">
        <f>K1144/7</f>
        <v>0.14285714285714285</v>
      </c>
    </row>
    <row r="1145" spans="1:13" x14ac:dyDescent="0.25">
      <c r="A1145" s="29">
        <v>3018</v>
      </c>
      <c r="B1145" s="40" t="s">
        <v>70</v>
      </c>
      <c r="C1145" s="40" t="s">
        <v>11</v>
      </c>
      <c r="D1145" s="40" t="s">
        <v>19</v>
      </c>
      <c r="E1145" s="10" t="s">
        <v>13</v>
      </c>
      <c r="F1145" s="61">
        <v>3118001000</v>
      </c>
      <c r="G1145" s="12" t="s">
        <v>480</v>
      </c>
      <c r="H1145" s="9"/>
      <c r="I1145" s="64" t="s">
        <v>495</v>
      </c>
      <c r="J1145" s="10"/>
      <c r="K1145" s="107">
        <v>0</v>
      </c>
      <c r="L1145" s="9">
        <f>J1145</f>
        <v>0</v>
      </c>
      <c r="M1145" s="13"/>
    </row>
    <row r="1146" spans="1:13" x14ac:dyDescent="0.25">
      <c r="A1146" s="29">
        <v>3019</v>
      </c>
      <c r="B1146" s="40" t="s">
        <v>70</v>
      </c>
      <c r="C1146" s="40" t="s">
        <v>11</v>
      </c>
      <c r="D1146" s="40" t="s">
        <v>19</v>
      </c>
      <c r="E1146" s="10" t="s">
        <v>13</v>
      </c>
      <c r="F1146" s="61">
        <v>3118001000</v>
      </c>
      <c r="G1146" s="12" t="s">
        <v>480</v>
      </c>
      <c r="H1146" s="9"/>
      <c r="I1146" s="64" t="s">
        <v>495</v>
      </c>
      <c r="J1146" s="10"/>
      <c r="K1146" s="107">
        <v>0</v>
      </c>
      <c r="L1146" s="9">
        <f>J1146</f>
        <v>0</v>
      </c>
      <c r="M1146" s="13"/>
    </row>
    <row r="1147" spans="1:13" x14ac:dyDescent="0.25">
      <c r="A1147" s="16">
        <v>3020</v>
      </c>
      <c r="B1147" s="46" t="s">
        <v>10</v>
      </c>
      <c r="C1147" s="6" t="s">
        <v>11</v>
      </c>
      <c r="D1147" s="46" t="s">
        <v>73</v>
      </c>
      <c r="E1147" s="4" t="s">
        <v>13</v>
      </c>
      <c r="F1147" s="46">
        <v>1068027000</v>
      </c>
      <c r="G1147" t="s">
        <v>759</v>
      </c>
      <c r="H1147" s="11" t="s">
        <v>338</v>
      </c>
      <c r="I1147" s="4" t="s">
        <v>280</v>
      </c>
      <c r="J1147" s="4" t="s">
        <v>143</v>
      </c>
      <c r="K1147" s="71">
        <v>2</v>
      </c>
      <c r="L1147" t="s">
        <v>37</v>
      </c>
      <c r="M1147" s="5">
        <f>K1147</f>
        <v>2</v>
      </c>
    </row>
    <row r="1148" spans="1:13" x14ac:dyDescent="0.25">
      <c r="A1148" s="16">
        <v>3021</v>
      </c>
      <c r="B1148" s="6" t="s">
        <v>10</v>
      </c>
      <c r="C1148" s="6" t="s">
        <v>59</v>
      </c>
      <c r="D1148" s="6" t="s">
        <v>73</v>
      </c>
      <c r="E1148" s="4" t="s">
        <v>13</v>
      </c>
      <c r="F1148" s="3">
        <v>1165000000</v>
      </c>
      <c r="G1148" s="11" t="s">
        <v>216</v>
      </c>
      <c r="H1148" s="11" t="s">
        <v>215</v>
      </c>
      <c r="I1148" s="4">
        <v>3</v>
      </c>
      <c r="J1148" s="4" t="s">
        <v>16</v>
      </c>
      <c r="K1148" s="71">
        <v>3</v>
      </c>
      <c r="L1148" t="s">
        <v>17</v>
      </c>
      <c r="M1148" s="5">
        <f>K1148/7</f>
        <v>0.42857142857142855</v>
      </c>
    </row>
    <row r="1149" spans="1:13" x14ac:dyDescent="0.25">
      <c r="A1149" s="16">
        <v>3022</v>
      </c>
      <c r="B1149" s="6" t="s">
        <v>10</v>
      </c>
      <c r="C1149" s="6" t="s">
        <v>59</v>
      </c>
      <c r="D1149" s="6" t="s">
        <v>73</v>
      </c>
      <c r="E1149" s="4" t="s">
        <v>13</v>
      </c>
      <c r="F1149" s="3">
        <v>1652002001</v>
      </c>
      <c r="G1149" s="11" t="s">
        <v>292</v>
      </c>
      <c r="H1149" s="11" t="s">
        <v>338</v>
      </c>
      <c r="I1149" s="4" t="s">
        <v>298</v>
      </c>
      <c r="J1149" s="4" t="s">
        <v>267</v>
      </c>
      <c r="K1149" s="71">
        <v>1.5</v>
      </c>
      <c r="L1149" t="s">
        <v>17</v>
      </c>
      <c r="M1149" s="5">
        <f>K1149/7</f>
        <v>0.21428571428571427</v>
      </c>
    </row>
    <row r="1150" spans="1:13" x14ac:dyDescent="0.25">
      <c r="A1150" s="125">
        <v>3023</v>
      </c>
      <c r="B1150" s="46" t="s">
        <v>10</v>
      </c>
      <c r="C1150" s="46" t="s">
        <v>59</v>
      </c>
      <c r="D1150" s="46" t="s">
        <v>73</v>
      </c>
      <c r="E1150" s="4" t="s">
        <v>13</v>
      </c>
      <c r="F1150" s="46">
        <v>3370011000</v>
      </c>
      <c r="G1150" t="s">
        <v>691</v>
      </c>
      <c r="H1150" t="s">
        <v>504</v>
      </c>
      <c r="I1150" s="4" t="s">
        <v>866</v>
      </c>
      <c r="J1150" s="4" t="s">
        <v>535</v>
      </c>
      <c r="K1150" s="71">
        <v>1.5</v>
      </c>
      <c r="L1150" t="s">
        <v>17</v>
      </c>
      <c r="M1150" s="5">
        <f>K1150/7</f>
        <v>0.21428571428571427</v>
      </c>
    </row>
    <row r="1151" spans="1:13" x14ac:dyDescent="0.25">
      <c r="A1151" s="125">
        <v>3024</v>
      </c>
      <c r="B1151" s="46" t="s">
        <v>10</v>
      </c>
      <c r="C1151" s="46" t="s">
        <v>59</v>
      </c>
      <c r="D1151" s="46" t="s">
        <v>73</v>
      </c>
      <c r="E1151" s="4" t="s">
        <v>13</v>
      </c>
      <c r="F1151" s="46">
        <v>1925007000</v>
      </c>
      <c r="G1151" t="s">
        <v>721</v>
      </c>
      <c r="H1151" t="s">
        <v>338</v>
      </c>
      <c r="I1151" s="4" t="s">
        <v>867</v>
      </c>
      <c r="J1151" s="4" t="s">
        <v>492</v>
      </c>
      <c r="K1151" s="71">
        <v>3</v>
      </c>
      <c r="L1151" t="s">
        <v>37</v>
      </c>
      <c r="M1151" s="5">
        <f>K1151</f>
        <v>3</v>
      </c>
    </row>
    <row r="1152" spans="1:13" x14ac:dyDescent="0.25">
      <c r="A1152" s="125">
        <v>3025</v>
      </c>
      <c r="B1152" s="46" t="s">
        <v>10</v>
      </c>
      <c r="C1152" s="46" t="s">
        <v>59</v>
      </c>
      <c r="D1152" s="46" t="s">
        <v>73</v>
      </c>
      <c r="E1152" s="4" t="s">
        <v>13</v>
      </c>
      <c r="F1152" s="46">
        <v>2053001000</v>
      </c>
      <c r="G1152" t="s">
        <v>630</v>
      </c>
      <c r="H1152" t="s">
        <v>504</v>
      </c>
      <c r="I1152" s="4" t="s">
        <v>864</v>
      </c>
      <c r="J1152" s="4" t="s">
        <v>871</v>
      </c>
      <c r="K1152" s="71">
        <v>0.75</v>
      </c>
      <c r="L1152" t="s">
        <v>537</v>
      </c>
      <c r="M1152" s="5">
        <f>K1152/15</f>
        <v>0.05</v>
      </c>
    </row>
    <row r="1153" spans="1:13" x14ac:dyDescent="0.25">
      <c r="A1153" s="16">
        <v>3036</v>
      </c>
      <c r="B1153" s="6" t="s">
        <v>10</v>
      </c>
      <c r="C1153" s="6" t="s">
        <v>328</v>
      </c>
      <c r="D1153" s="6" t="s">
        <v>329</v>
      </c>
      <c r="E1153" s="4" t="s">
        <v>13</v>
      </c>
      <c r="F1153" s="3">
        <v>2499001000</v>
      </c>
      <c r="G1153" s="11" t="s">
        <v>457</v>
      </c>
      <c r="H1153" s="11" t="s">
        <v>504</v>
      </c>
      <c r="I1153" s="4" t="s">
        <v>491</v>
      </c>
      <c r="J1153" s="4" t="s">
        <v>492</v>
      </c>
      <c r="K1153" s="71">
        <v>6</v>
      </c>
      <c r="L1153" t="s">
        <v>37</v>
      </c>
      <c r="M1153" s="5">
        <f>K1153</f>
        <v>6</v>
      </c>
    </row>
    <row r="1154" spans="1:13" x14ac:dyDescent="0.25">
      <c r="A1154" s="16">
        <v>3037</v>
      </c>
      <c r="B1154" s="6" t="s">
        <v>10</v>
      </c>
      <c r="C1154" s="6" t="s">
        <v>328</v>
      </c>
      <c r="D1154" s="6" t="s">
        <v>329</v>
      </c>
      <c r="E1154" s="4" t="s">
        <v>13</v>
      </c>
      <c r="F1154" s="3">
        <v>165001000</v>
      </c>
      <c r="G1154" s="11" t="s">
        <v>319</v>
      </c>
      <c r="H1154" s="11" t="s">
        <v>338</v>
      </c>
      <c r="I1154" s="4" t="s">
        <v>320</v>
      </c>
      <c r="J1154" s="4" t="s">
        <v>17</v>
      </c>
      <c r="K1154" s="71">
        <v>26</v>
      </c>
      <c r="L1154" t="s">
        <v>17</v>
      </c>
      <c r="M1154" s="5">
        <f>K1154/7</f>
        <v>3.7142857142857144</v>
      </c>
    </row>
    <row r="1155" spans="1:13" x14ac:dyDescent="0.25">
      <c r="A1155" s="123">
        <v>3038</v>
      </c>
      <c r="B1155" s="79" t="s">
        <v>10</v>
      </c>
      <c r="C1155" s="79" t="s">
        <v>328</v>
      </c>
      <c r="D1155" s="79" t="s">
        <v>329</v>
      </c>
      <c r="E1155" s="4" t="s">
        <v>13</v>
      </c>
      <c r="F1155" s="79">
        <v>1925010000</v>
      </c>
      <c r="G1155" s="80" t="s">
        <v>706</v>
      </c>
      <c r="H1155" s="80" t="s">
        <v>887</v>
      </c>
      <c r="I1155" s="102" t="s">
        <v>1062</v>
      </c>
      <c r="J1155" s="102" t="s">
        <v>1062</v>
      </c>
      <c r="K1155" s="71">
        <v>0</v>
      </c>
      <c r="L1155" t="str">
        <f>J1155</f>
        <v xml:space="preserve">A pedido </v>
      </c>
      <c r="M1155">
        <v>0</v>
      </c>
    </row>
    <row r="1156" spans="1:13" x14ac:dyDescent="0.25">
      <c r="A1156" s="16">
        <v>3040</v>
      </c>
      <c r="B1156" s="6" t="s">
        <v>31</v>
      </c>
      <c r="C1156" s="6" t="s">
        <v>330</v>
      </c>
      <c r="D1156" s="6" t="s">
        <v>331</v>
      </c>
      <c r="E1156" s="4" t="s">
        <v>13</v>
      </c>
      <c r="F1156" s="3">
        <v>3135001000</v>
      </c>
      <c r="G1156" s="11" t="s">
        <v>462</v>
      </c>
      <c r="H1156" s="11" t="s">
        <v>463</v>
      </c>
      <c r="I1156" s="4" t="s">
        <v>491</v>
      </c>
      <c r="J1156" s="4" t="s">
        <v>487</v>
      </c>
      <c r="K1156" s="71">
        <v>6</v>
      </c>
      <c r="L1156" t="s">
        <v>17</v>
      </c>
      <c r="M1156" s="5">
        <f>K1156/7</f>
        <v>0.8571428571428571</v>
      </c>
    </row>
    <row r="1157" spans="1:13" x14ac:dyDescent="0.25">
      <c r="A1157" s="16">
        <v>3041</v>
      </c>
      <c r="B1157" s="6" t="s">
        <v>31</v>
      </c>
      <c r="C1157" s="6" t="s">
        <v>330</v>
      </c>
      <c r="D1157" s="6" t="s">
        <v>331</v>
      </c>
      <c r="E1157" s="4" t="s">
        <v>13</v>
      </c>
      <c r="F1157" s="3">
        <v>3365001000</v>
      </c>
      <c r="G1157" s="11" t="s">
        <v>429</v>
      </c>
      <c r="H1157" s="11" t="s">
        <v>428</v>
      </c>
      <c r="I1157" s="4" t="s">
        <v>290</v>
      </c>
      <c r="J1157" s="4" t="s">
        <v>352</v>
      </c>
      <c r="K1157" s="71">
        <v>1</v>
      </c>
      <c r="L1157" t="s">
        <v>17</v>
      </c>
      <c r="M1157" s="5">
        <f>K1157/7</f>
        <v>0.14285714285714285</v>
      </c>
    </row>
    <row r="1158" spans="1:13" x14ac:dyDescent="0.25">
      <c r="A1158" s="16">
        <v>3042</v>
      </c>
      <c r="B1158" s="6" t="s">
        <v>31</v>
      </c>
      <c r="C1158" s="6" t="s">
        <v>330</v>
      </c>
      <c r="D1158" s="6" t="s">
        <v>331</v>
      </c>
      <c r="E1158" s="4" t="s">
        <v>13</v>
      </c>
      <c r="F1158" s="3">
        <v>165001000</v>
      </c>
      <c r="G1158" s="11" t="s">
        <v>319</v>
      </c>
      <c r="H1158" s="11" t="s">
        <v>338</v>
      </c>
      <c r="I1158" s="4" t="s">
        <v>332</v>
      </c>
      <c r="J1158" s="4" t="s">
        <v>17</v>
      </c>
      <c r="K1158" s="71">
        <v>24</v>
      </c>
      <c r="L1158" t="s">
        <v>17</v>
      </c>
      <c r="M1158" s="5">
        <f>K1158/7</f>
        <v>3.4285714285714284</v>
      </c>
    </row>
    <row r="1159" spans="1:13" x14ac:dyDescent="0.25">
      <c r="A1159" s="16">
        <v>3043</v>
      </c>
      <c r="B1159" s="6" t="s">
        <v>31</v>
      </c>
      <c r="C1159" s="6" t="s">
        <v>330</v>
      </c>
      <c r="D1159" s="6" t="s">
        <v>331</v>
      </c>
      <c r="E1159" s="4" t="s">
        <v>13</v>
      </c>
      <c r="F1159" s="3">
        <v>66035000</v>
      </c>
      <c r="G1159" s="11" t="s">
        <v>460</v>
      </c>
      <c r="H1159" s="11" t="s">
        <v>459</v>
      </c>
      <c r="I1159" s="4" t="s">
        <v>491</v>
      </c>
      <c r="J1159" s="4" t="s">
        <v>487</v>
      </c>
      <c r="K1159" s="71">
        <v>6</v>
      </c>
      <c r="L1159" t="s">
        <v>17</v>
      </c>
      <c r="M1159" s="5">
        <f>K1159/7</f>
        <v>0.8571428571428571</v>
      </c>
    </row>
    <row r="1160" spans="1:13" x14ac:dyDescent="0.25">
      <c r="A1160" s="125">
        <v>3044</v>
      </c>
      <c r="B1160" s="46" t="s">
        <v>695</v>
      </c>
      <c r="C1160" s="46" t="s">
        <v>330</v>
      </c>
      <c r="D1160" s="46" t="s">
        <v>696</v>
      </c>
      <c r="E1160" s="4" t="s">
        <v>13</v>
      </c>
      <c r="F1160" s="46">
        <v>1925007000</v>
      </c>
      <c r="G1160" t="s">
        <v>721</v>
      </c>
      <c r="H1160" t="s">
        <v>338</v>
      </c>
      <c r="I1160" s="4" t="s">
        <v>872</v>
      </c>
      <c r="J1160" s="4" t="s">
        <v>523</v>
      </c>
      <c r="K1160" s="71">
        <v>7</v>
      </c>
      <c r="L1160" t="s">
        <v>17</v>
      </c>
      <c r="M1160" s="5">
        <f>K1160/7</f>
        <v>1</v>
      </c>
    </row>
    <row r="1161" spans="1:13" x14ac:dyDescent="0.25">
      <c r="A1161" s="123">
        <v>3045</v>
      </c>
      <c r="B1161" s="76" t="s">
        <v>10</v>
      </c>
      <c r="C1161" s="76" t="s">
        <v>46</v>
      </c>
      <c r="D1161" s="76" t="s">
        <v>146</v>
      </c>
      <c r="E1161" s="4" t="s">
        <v>13</v>
      </c>
      <c r="F1161" s="76">
        <v>3134001000</v>
      </c>
      <c r="G1161" t="s">
        <v>638</v>
      </c>
      <c r="H1161" t="s">
        <v>467</v>
      </c>
      <c r="I1161" s="4" t="s">
        <v>234</v>
      </c>
      <c r="J1161" s="4" t="s">
        <v>492</v>
      </c>
      <c r="K1161" s="71">
        <f>40/60</f>
        <v>0.66666666666666663</v>
      </c>
      <c r="L1161" t="s">
        <v>37</v>
      </c>
      <c r="M1161">
        <f>K1161</f>
        <v>0.66666666666666663</v>
      </c>
    </row>
    <row r="1162" spans="1:13" x14ac:dyDescent="0.25">
      <c r="A1162" s="123">
        <v>3046</v>
      </c>
      <c r="B1162" s="76" t="s">
        <v>10</v>
      </c>
      <c r="C1162" s="76" t="s">
        <v>46</v>
      </c>
      <c r="D1162" s="76" t="s">
        <v>146</v>
      </c>
      <c r="E1162" s="4" t="s">
        <v>13</v>
      </c>
      <c r="F1162" s="76">
        <v>2147001000</v>
      </c>
      <c r="G1162" t="s">
        <v>700</v>
      </c>
      <c r="H1162" t="s">
        <v>339</v>
      </c>
      <c r="I1162" s="4" t="s">
        <v>866</v>
      </c>
      <c r="J1162" s="4" t="s">
        <v>492</v>
      </c>
      <c r="K1162" s="71">
        <v>0.5</v>
      </c>
      <c r="L1162" t="s">
        <v>37</v>
      </c>
      <c r="M1162">
        <f>K1162</f>
        <v>0.5</v>
      </c>
    </row>
    <row r="1163" spans="1:13" x14ac:dyDescent="0.25">
      <c r="A1163" s="123">
        <v>3047</v>
      </c>
      <c r="B1163" s="76" t="s">
        <v>10</v>
      </c>
      <c r="C1163" s="76" t="s">
        <v>46</v>
      </c>
      <c r="D1163" s="76" t="s">
        <v>146</v>
      </c>
      <c r="E1163" s="4" t="s">
        <v>13</v>
      </c>
      <c r="F1163" s="76">
        <v>3134001000</v>
      </c>
      <c r="G1163" t="s">
        <v>638</v>
      </c>
      <c r="H1163" t="s">
        <v>467</v>
      </c>
      <c r="I1163" s="4" t="s">
        <v>234</v>
      </c>
      <c r="J1163" s="4" t="s">
        <v>492</v>
      </c>
      <c r="K1163" s="71">
        <f>40/60</f>
        <v>0.66666666666666663</v>
      </c>
      <c r="L1163" t="s">
        <v>37</v>
      </c>
      <c r="M1163">
        <f>K1163</f>
        <v>0.66666666666666663</v>
      </c>
    </row>
    <row r="1164" spans="1:13" x14ac:dyDescent="0.25">
      <c r="A1164" s="125">
        <v>3052</v>
      </c>
      <c r="B1164" s="46" t="s">
        <v>31</v>
      </c>
      <c r="C1164" s="46" t="s">
        <v>101</v>
      </c>
      <c r="D1164" s="46" t="s">
        <v>102</v>
      </c>
      <c r="E1164" s="4" t="s">
        <v>13</v>
      </c>
      <c r="F1164" s="46">
        <v>1925007000</v>
      </c>
      <c r="G1164" t="s">
        <v>721</v>
      </c>
      <c r="H1164" t="s">
        <v>338</v>
      </c>
      <c r="I1164" s="4" t="s">
        <v>493</v>
      </c>
      <c r="J1164" s="4" t="s">
        <v>523</v>
      </c>
      <c r="K1164" s="71">
        <v>2</v>
      </c>
      <c r="L1164" t="s">
        <v>17</v>
      </c>
      <c r="M1164" s="5">
        <f>K1164/7</f>
        <v>0.2857142857142857</v>
      </c>
    </row>
    <row r="1165" spans="1:13" x14ac:dyDescent="0.25">
      <c r="A1165" s="16">
        <v>3057</v>
      </c>
      <c r="B1165" s="6" t="s">
        <v>10</v>
      </c>
      <c r="C1165" s="6" t="s">
        <v>46</v>
      </c>
      <c r="D1165" s="6" t="s">
        <v>411</v>
      </c>
      <c r="E1165" s="4" t="s">
        <v>13</v>
      </c>
      <c r="F1165" s="3">
        <v>2499001000</v>
      </c>
      <c r="G1165" s="11" t="s">
        <v>457</v>
      </c>
      <c r="H1165" s="11" t="s">
        <v>504</v>
      </c>
      <c r="I1165" s="4" t="s">
        <v>491</v>
      </c>
      <c r="J1165" s="4" t="s">
        <v>492</v>
      </c>
      <c r="K1165" s="71">
        <v>6</v>
      </c>
      <c r="L1165" t="s">
        <v>37</v>
      </c>
      <c r="M1165" s="5">
        <f>K1165</f>
        <v>6</v>
      </c>
    </row>
    <row r="1166" spans="1:13" x14ac:dyDescent="0.25">
      <c r="A1166" s="16">
        <v>3058</v>
      </c>
      <c r="B1166" s="6" t="s">
        <v>10</v>
      </c>
      <c r="C1166" s="6" t="s">
        <v>46</v>
      </c>
      <c r="D1166" s="6" t="s">
        <v>411</v>
      </c>
      <c r="E1166" s="4" t="s">
        <v>13</v>
      </c>
      <c r="F1166" s="3">
        <v>3135002000</v>
      </c>
      <c r="G1166" s="11" t="s">
        <v>412</v>
      </c>
      <c r="H1166" s="11" t="s">
        <v>407</v>
      </c>
      <c r="I1166" s="4" t="s">
        <v>280</v>
      </c>
      <c r="J1166" s="4" t="s">
        <v>381</v>
      </c>
      <c r="K1166" s="71">
        <v>2</v>
      </c>
      <c r="L1166" t="s">
        <v>37</v>
      </c>
      <c r="M1166" s="5">
        <f>K1166</f>
        <v>2</v>
      </c>
    </row>
    <row r="1167" spans="1:13" x14ac:dyDescent="0.25">
      <c r="A1167" s="125">
        <v>3059</v>
      </c>
      <c r="B1167" s="46" t="s">
        <v>695</v>
      </c>
      <c r="C1167" s="46" t="s">
        <v>330</v>
      </c>
      <c r="D1167" s="46" t="s">
        <v>696</v>
      </c>
      <c r="E1167" s="46" t="s">
        <v>13</v>
      </c>
      <c r="F1167" s="35">
        <v>1014001</v>
      </c>
      <c r="G1167" t="s">
        <v>543</v>
      </c>
      <c r="H1167" s="4"/>
      <c r="J1167" s="71"/>
      <c r="K1167"/>
      <c r="L1167" s="5"/>
      <c r="M1167"/>
    </row>
    <row r="1168" spans="1:13" x14ac:dyDescent="0.25">
      <c r="A1168" s="125">
        <v>3061</v>
      </c>
      <c r="B1168" s="46" t="s">
        <v>10</v>
      </c>
      <c r="C1168" s="46" t="s">
        <v>59</v>
      </c>
      <c r="D1168" s="46" t="s">
        <v>60</v>
      </c>
      <c r="E1168" s="4" t="s">
        <v>13</v>
      </c>
      <c r="F1168" s="46">
        <v>2053001000</v>
      </c>
      <c r="G1168" t="s">
        <v>630</v>
      </c>
      <c r="H1168" t="s">
        <v>504</v>
      </c>
      <c r="I1168" s="4" t="s">
        <v>863</v>
      </c>
      <c r="J1168" s="4" t="s">
        <v>535</v>
      </c>
      <c r="K1168" s="71">
        <v>0.75</v>
      </c>
      <c r="L1168" t="s">
        <v>17</v>
      </c>
      <c r="M1168" s="5">
        <f>K1168/7</f>
        <v>0.10714285714285714</v>
      </c>
    </row>
    <row r="1169" spans="1:13" x14ac:dyDescent="0.25">
      <c r="A1169" s="16">
        <v>3062</v>
      </c>
      <c r="B1169" s="6" t="s">
        <v>10</v>
      </c>
      <c r="C1169" s="6" t="s">
        <v>59</v>
      </c>
      <c r="D1169" s="6" t="s">
        <v>60</v>
      </c>
      <c r="E1169" s="4" t="s">
        <v>13</v>
      </c>
      <c r="F1169" s="3">
        <v>3135005000</v>
      </c>
      <c r="G1169" s="11" t="s">
        <v>410</v>
      </c>
      <c r="H1169" s="11" t="s">
        <v>407</v>
      </c>
      <c r="I1169" s="4" t="s">
        <v>290</v>
      </c>
      <c r="J1169" s="4" t="s">
        <v>393</v>
      </c>
      <c r="K1169" s="71">
        <v>3</v>
      </c>
      <c r="L1169" t="s">
        <v>17</v>
      </c>
      <c r="M1169" s="5">
        <f>K1169/7</f>
        <v>0.42857142857142855</v>
      </c>
    </row>
    <row r="1170" spans="1:13" x14ac:dyDescent="0.25">
      <c r="A1170" s="16">
        <v>3063</v>
      </c>
      <c r="B1170" s="6" t="s">
        <v>10</v>
      </c>
      <c r="C1170" s="6" t="s">
        <v>59</v>
      </c>
      <c r="D1170" s="6" t="s">
        <v>73</v>
      </c>
      <c r="E1170" s="4" t="s">
        <v>13</v>
      </c>
      <c r="F1170" s="3">
        <v>3135001000</v>
      </c>
      <c r="G1170" s="11" t="s">
        <v>462</v>
      </c>
      <c r="H1170" s="11" t="s">
        <v>463</v>
      </c>
      <c r="I1170" s="4" t="s">
        <v>493</v>
      </c>
      <c r="J1170" s="4" t="s">
        <v>492</v>
      </c>
      <c r="K1170" s="71">
        <v>2</v>
      </c>
      <c r="L1170" t="s">
        <v>37</v>
      </c>
      <c r="M1170" s="5">
        <f>K1170</f>
        <v>2</v>
      </c>
    </row>
    <row r="1171" spans="1:13" x14ac:dyDescent="0.25">
      <c r="A1171" s="16">
        <v>3064</v>
      </c>
      <c r="B1171" s="6" t="s">
        <v>10</v>
      </c>
      <c r="C1171" s="6" t="s">
        <v>59</v>
      </c>
      <c r="D1171" s="6" t="s">
        <v>73</v>
      </c>
      <c r="E1171" s="4" t="s">
        <v>13</v>
      </c>
      <c r="F1171" s="3">
        <v>3135003000</v>
      </c>
      <c r="G1171" s="11" t="s">
        <v>387</v>
      </c>
      <c r="H1171" s="11" t="s">
        <v>380</v>
      </c>
      <c r="I1171" s="4" t="s">
        <v>358</v>
      </c>
      <c r="J1171" s="4" t="s">
        <v>353</v>
      </c>
      <c r="K1171" s="71">
        <v>1</v>
      </c>
      <c r="L1171" t="s">
        <v>17</v>
      </c>
      <c r="M1171" s="5">
        <f>K1171/7</f>
        <v>0.14285714285714285</v>
      </c>
    </row>
    <row r="1172" spans="1:13" x14ac:dyDescent="0.25">
      <c r="A1172" s="123">
        <v>3066</v>
      </c>
      <c r="B1172" s="76" t="s">
        <v>148</v>
      </c>
      <c r="C1172" s="76" t="s">
        <v>101</v>
      </c>
      <c r="E1172" s="4" t="s">
        <v>13</v>
      </c>
      <c r="F1172" s="76">
        <v>3134001000</v>
      </c>
      <c r="G1172" t="s">
        <v>638</v>
      </c>
      <c r="H1172" t="s">
        <v>467</v>
      </c>
      <c r="I1172" s="4" t="s">
        <v>239</v>
      </c>
      <c r="J1172" s="4" t="s">
        <v>858</v>
      </c>
      <c r="K1172" s="71">
        <v>1</v>
      </c>
      <c r="L1172" t="s">
        <v>21</v>
      </c>
      <c r="M1172">
        <f>K1172/30</f>
        <v>3.3333333333333333E-2</v>
      </c>
    </row>
    <row r="1173" spans="1:13" x14ac:dyDescent="0.25">
      <c r="A1173" s="16">
        <v>3075</v>
      </c>
      <c r="B1173" s="6" t="s">
        <v>10</v>
      </c>
      <c r="C1173" s="6" t="s">
        <v>32</v>
      </c>
      <c r="D1173" s="6" t="s">
        <v>153</v>
      </c>
      <c r="E1173" s="4" t="s">
        <v>13</v>
      </c>
      <c r="F1173" s="3">
        <v>2499001000</v>
      </c>
      <c r="G1173" s="11" t="s">
        <v>457</v>
      </c>
      <c r="H1173" s="11" t="s">
        <v>504</v>
      </c>
      <c r="I1173" s="4" t="s">
        <v>491</v>
      </c>
      <c r="J1173" s="4" t="s">
        <v>492</v>
      </c>
      <c r="K1173" s="71">
        <v>6</v>
      </c>
      <c r="L1173" t="s">
        <v>37</v>
      </c>
      <c r="M1173" s="5">
        <f>K1173</f>
        <v>6</v>
      </c>
    </row>
    <row r="1174" spans="1:13" x14ac:dyDescent="0.25">
      <c r="A1174" s="16">
        <v>3076</v>
      </c>
      <c r="B1174" s="6" t="s">
        <v>10</v>
      </c>
      <c r="C1174" s="6" t="s">
        <v>46</v>
      </c>
      <c r="D1174" s="6" t="s">
        <v>84</v>
      </c>
      <c r="E1174" s="4" t="s">
        <v>13</v>
      </c>
      <c r="F1174" s="3">
        <v>18001000</v>
      </c>
      <c r="G1174" t="s">
        <v>826</v>
      </c>
      <c r="H1174" s="11" t="s">
        <v>64</v>
      </c>
      <c r="I1174" s="4">
        <v>20</v>
      </c>
      <c r="J1174" s="4" t="s">
        <v>75</v>
      </c>
      <c r="K1174" s="71">
        <v>20</v>
      </c>
      <c r="L1174" t="s">
        <v>21</v>
      </c>
      <c r="M1174" s="5">
        <f>K1174/30</f>
        <v>0.66666666666666663</v>
      </c>
    </row>
    <row r="1175" spans="1:13" x14ac:dyDescent="0.25">
      <c r="A1175" s="125">
        <v>3096</v>
      </c>
      <c r="B1175" s="54" t="s">
        <v>464</v>
      </c>
      <c r="C1175" s="54" t="s">
        <v>761</v>
      </c>
      <c r="D1175" s="54" t="s">
        <v>40</v>
      </c>
      <c r="E1175" s="54" t="s">
        <v>13</v>
      </c>
      <c r="F1175" s="65">
        <v>66011000</v>
      </c>
      <c r="G1175" s="8" t="s">
        <v>548</v>
      </c>
      <c r="H1175" s="4"/>
      <c r="J1175" s="71"/>
      <c r="K1175"/>
      <c r="L1175" s="5"/>
      <c r="M1175"/>
    </row>
    <row r="1176" spans="1:13" x14ac:dyDescent="0.25">
      <c r="A1176" s="16">
        <v>3097</v>
      </c>
      <c r="B1176" s="54" t="s">
        <v>314</v>
      </c>
      <c r="C1176" s="54" t="s">
        <v>200</v>
      </c>
      <c r="D1176" s="54" t="s">
        <v>40</v>
      </c>
      <c r="E1176" s="4" t="s">
        <v>13</v>
      </c>
      <c r="F1176" s="54">
        <v>953015000</v>
      </c>
      <c r="G1176" s="8" t="s">
        <v>762</v>
      </c>
      <c r="H1176" s="8" t="s">
        <v>338</v>
      </c>
      <c r="I1176" s="7" t="s">
        <v>231</v>
      </c>
      <c r="J1176" s="4" t="s">
        <v>231</v>
      </c>
      <c r="K1176" s="106">
        <v>0</v>
      </c>
      <c r="L1176" t="str">
        <f>J1176</f>
        <v>back up</v>
      </c>
      <c r="M1176" s="30">
        <v>0</v>
      </c>
    </row>
    <row r="1177" spans="1:13" x14ac:dyDescent="0.25">
      <c r="A1177" s="125">
        <v>3097</v>
      </c>
      <c r="B1177" s="74" t="s">
        <v>314</v>
      </c>
      <c r="C1177" s="74" t="s">
        <v>200</v>
      </c>
      <c r="D1177" s="74" t="s">
        <v>40</v>
      </c>
      <c r="E1177" s="4" t="s">
        <v>13</v>
      </c>
      <c r="F1177" s="74">
        <v>953015000</v>
      </c>
      <c r="G1177" s="75" t="s">
        <v>762</v>
      </c>
      <c r="H1177" s="75" t="s">
        <v>338</v>
      </c>
      <c r="I1177" s="103" t="s">
        <v>231</v>
      </c>
      <c r="J1177" s="103" t="s">
        <v>231</v>
      </c>
      <c r="K1177" s="71">
        <v>0</v>
      </c>
      <c r="L1177" t="str">
        <f>J1177</f>
        <v>back up</v>
      </c>
      <c r="M1177">
        <v>0</v>
      </c>
    </row>
    <row r="1178" spans="1:13" x14ac:dyDescent="0.25">
      <c r="A1178" s="125">
        <v>3107</v>
      </c>
      <c r="B1178" s="46" t="s">
        <v>31</v>
      </c>
      <c r="C1178" s="46" t="s">
        <v>330</v>
      </c>
      <c r="D1178" s="46" t="s">
        <v>331</v>
      </c>
      <c r="E1178" s="4" t="s">
        <v>13</v>
      </c>
      <c r="F1178" s="46">
        <v>3260001000</v>
      </c>
      <c r="G1178" t="s">
        <v>732</v>
      </c>
      <c r="H1178" t="s">
        <v>549</v>
      </c>
      <c r="I1178" s="4">
        <v>8</v>
      </c>
      <c r="J1178" s="4" t="s">
        <v>21</v>
      </c>
      <c r="K1178" s="71">
        <v>8</v>
      </c>
      <c r="L1178" t="s">
        <v>21</v>
      </c>
      <c r="M1178">
        <f>K1178/30</f>
        <v>0.26666666666666666</v>
      </c>
    </row>
    <row r="1179" spans="1:13" x14ac:dyDescent="0.25">
      <c r="A1179" s="16">
        <v>3112</v>
      </c>
      <c r="B1179" s="6" t="s">
        <v>464</v>
      </c>
      <c r="C1179" s="6" t="s">
        <v>465</v>
      </c>
      <c r="D1179" s="6" t="s">
        <v>40</v>
      </c>
      <c r="E1179" s="4" t="s">
        <v>13</v>
      </c>
      <c r="F1179" s="3">
        <v>3135001000</v>
      </c>
      <c r="G1179" s="11" t="s">
        <v>462</v>
      </c>
      <c r="H1179" t="s">
        <v>463</v>
      </c>
      <c r="I1179" s="103" t="s">
        <v>231</v>
      </c>
      <c r="J1179" s="103" t="s">
        <v>231</v>
      </c>
      <c r="K1179" s="71">
        <v>0</v>
      </c>
      <c r="L1179" t="str">
        <f>J1179</f>
        <v>back up</v>
      </c>
      <c r="M1179" s="5">
        <v>0</v>
      </c>
    </row>
    <row r="1180" spans="1:13" x14ac:dyDescent="0.25">
      <c r="A1180" s="16">
        <v>3127</v>
      </c>
      <c r="B1180" s="6" t="s">
        <v>31</v>
      </c>
      <c r="C1180" s="6" t="s">
        <v>330</v>
      </c>
      <c r="D1180" s="6" t="s">
        <v>40</v>
      </c>
      <c r="E1180" s="4" t="s">
        <v>13</v>
      </c>
      <c r="F1180" s="3">
        <v>66031000</v>
      </c>
      <c r="G1180" s="11" t="s">
        <v>500</v>
      </c>
      <c r="H1180" s="11" t="s">
        <v>498</v>
      </c>
      <c r="I1180" s="4">
        <v>35</v>
      </c>
      <c r="J1180" s="4" t="s">
        <v>20</v>
      </c>
      <c r="K1180" s="71">
        <f>I1180</f>
        <v>35</v>
      </c>
      <c r="L1180" t="s">
        <v>21</v>
      </c>
      <c r="M1180" s="5">
        <f>K1180/30</f>
        <v>1.1666666666666667</v>
      </c>
    </row>
    <row r="1181" spans="1:13" x14ac:dyDescent="0.25">
      <c r="A1181" s="123">
        <v>3131</v>
      </c>
      <c r="B1181" s="79" t="s">
        <v>767</v>
      </c>
      <c r="C1181" s="79" t="s">
        <v>200</v>
      </c>
      <c r="D1181" s="79" t="s">
        <v>40</v>
      </c>
      <c r="E1181" s="4" t="s">
        <v>13</v>
      </c>
      <c r="F1181" s="79">
        <v>1925011000</v>
      </c>
      <c r="G1181" s="80" t="s">
        <v>603</v>
      </c>
      <c r="H1181" s="80" t="s">
        <v>887</v>
      </c>
      <c r="I1181" s="102" t="s">
        <v>1062</v>
      </c>
      <c r="J1181" s="102" t="s">
        <v>1062</v>
      </c>
      <c r="K1181" s="71">
        <v>0</v>
      </c>
      <c r="L1181" t="str">
        <f>J1181</f>
        <v xml:space="preserve">A pedido </v>
      </c>
      <c r="M1181">
        <v>0</v>
      </c>
    </row>
    <row r="1182" spans="1:13" x14ac:dyDescent="0.25">
      <c r="A1182" s="16">
        <v>3152</v>
      </c>
      <c r="B1182" s="6" t="s">
        <v>373</v>
      </c>
      <c r="C1182" s="6" t="s">
        <v>374</v>
      </c>
      <c r="D1182" s="6" t="s">
        <v>375</v>
      </c>
      <c r="E1182" s="4" t="s">
        <v>13</v>
      </c>
      <c r="F1182" s="3">
        <v>3042060001</v>
      </c>
      <c r="G1182" s="11" t="s">
        <v>372</v>
      </c>
      <c r="H1182" s="11" t="s">
        <v>350</v>
      </c>
      <c r="I1182" s="4" t="s">
        <v>369</v>
      </c>
      <c r="J1182" s="4" t="s">
        <v>353</v>
      </c>
      <c r="K1182" s="105">
        <f>40/60</f>
        <v>0.66666666666666663</v>
      </c>
      <c r="L1182" t="s">
        <v>17</v>
      </c>
      <c r="M1182" s="5">
        <f>K1182/7</f>
        <v>9.5238095238095233E-2</v>
      </c>
    </row>
    <row r="1183" spans="1:13" x14ac:dyDescent="0.25">
      <c r="A1183" s="16">
        <v>3158</v>
      </c>
      <c r="B1183" s="6" t="s">
        <v>140</v>
      </c>
      <c r="C1183" s="6" t="s">
        <v>141</v>
      </c>
      <c r="D1183" s="6"/>
      <c r="E1183" s="4" t="s">
        <v>13</v>
      </c>
      <c r="F1183" s="3">
        <v>2548013000</v>
      </c>
      <c r="G1183" s="11" t="s">
        <v>179</v>
      </c>
      <c r="H1183" s="11" t="s">
        <v>337</v>
      </c>
      <c r="I1183" s="4" t="s">
        <v>142</v>
      </c>
      <c r="J1183" s="4" t="s">
        <v>143</v>
      </c>
      <c r="K1183" s="71">
        <v>4</v>
      </c>
      <c r="L1183" t="s">
        <v>37</v>
      </c>
      <c r="M1183" s="5">
        <f>K1183</f>
        <v>4</v>
      </c>
    </row>
    <row r="1184" spans="1:13" x14ac:dyDescent="0.25">
      <c r="A1184" s="16">
        <v>3159</v>
      </c>
      <c r="B1184" s="6" t="s">
        <v>10</v>
      </c>
      <c r="C1184" s="6" t="s">
        <v>149</v>
      </c>
      <c r="D1184" s="6" t="s">
        <v>299</v>
      </c>
      <c r="E1184" s="4" t="s">
        <v>13</v>
      </c>
      <c r="F1184" s="3">
        <v>1652002001</v>
      </c>
      <c r="G1184" s="11" t="s">
        <v>292</v>
      </c>
      <c r="H1184" s="11" t="s">
        <v>338</v>
      </c>
      <c r="I1184" s="4" t="s">
        <v>294</v>
      </c>
      <c r="J1184" s="4" t="s">
        <v>293</v>
      </c>
      <c r="K1184" s="71">
        <v>0.5</v>
      </c>
      <c r="L1184" t="s">
        <v>17</v>
      </c>
      <c r="M1184" s="5">
        <f>K1184/7</f>
        <v>7.1428571428571425E-2</v>
      </c>
    </row>
    <row r="1185" spans="1:13" x14ac:dyDescent="0.25">
      <c r="A1185" s="16">
        <v>3160</v>
      </c>
      <c r="B1185" s="6" t="s">
        <v>10</v>
      </c>
      <c r="C1185" s="6" t="s">
        <v>149</v>
      </c>
      <c r="D1185" s="6" t="s">
        <v>299</v>
      </c>
      <c r="E1185" s="4" t="s">
        <v>13</v>
      </c>
      <c r="F1185" s="3">
        <v>1652002001</v>
      </c>
      <c r="G1185" s="11" t="s">
        <v>292</v>
      </c>
      <c r="H1185" s="11" t="s">
        <v>338</v>
      </c>
      <c r="I1185" s="4" t="s">
        <v>296</v>
      </c>
      <c r="J1185" s="4" t="s">
        <v>267</v>
      </c>
      <c r="K1185" s="71">
        <v>1.5</v>
      </c>
      <c r="L1185" t="s">
        <v>17</v>
      </c>
      <c r="M1185" s="5">
        <f>K1185/7</f>
        <v>0.21428571428571427</v>
      </c>
    </row>
    <row r="1186" spans="1:13" x14ac:dyDescent="0.25">
      <c r="A1186" s="16">
        <v>3161</v>
      </c>
      <c r="B1186" s="6" t="s">
        <v>10</v>
      </c>
      <c r="C1186" s="6" t="s">
        <v>149</v>
      </c>
      <c r="D1186" s="6" t="s">
        <v>299</v>
      </c>
      <c r="E1186" s="4" t="s">
        <v>13</v>
      </c>
      <c r="F1186" s="3">
        <v>1652002001</v>
      </c>
      <c r="G1186" s="11" t="s">
        <v>292</v>
      </c>
      <c r="H1186" s="11" t="s">
        <v>338</v>
      </c>
      <c r="I1186" s="4" t="s">
        <v>294</v>
      </c>
      <c r="J1186" s="4" t="s">
        <v>267</v>
      </c>
      <c r="K1186" s="71">
        <v>1.5</v>
      </c>
      <c r="L1186" t="s">
        <v>17</v>
      </c>
      <c r="M1186" s="5">
        <f>K1186/7</f>
        <v>0.21428571428571427</v>
      </c>
    </row>
    <row r="1187" spans="1:13" x14ac:dyDescent="0.25">
      <c r="A1187" s="16">
        <v>3164</v>
      </c>
      <c r="B1187" s="6" t="s">
        <v>191</v>
      </c>
      <c r="C1187" s="6" t="s">
        <v>192</v>
      </c>
      <c r="D1187" s="6"/>
      <c r="E1187" s="4" t="s">
        <v>13</v>
      </c>
      <c r="F1187" s="3">
        <v>3207001000</v>
      </c>
      <c r="G1187" s="11" t="s">
        <v>190</v>
      </c>
      <c r="H1187" s="11" t="s">
        <v>337</v>
      </c>
      <c r="I1187" s="4" t="s">
        <v>144</v>
      </c>
      <c r="J1187" s="4" t="s">
        <v>169</v>
      </c>
      <c r="K1187" s="71">
        <v>2</v>
      </c>
      <c r="L1187" t="s">
        <v>21</v>
      </c>
      <c r="M1187" s="5">
        <f>K1187/30</f>
        <v>6.6666666666666666E-2</v>
      </c>
    </row>
    <row r="1188" spans="1:13" x14ac:dyDescent="0.25">
      <c r="A1188" s="16">
        <v>3171</v>
      </c>
      <c r="B1188" s="6" t="s">
        <v>31</v>
      </c>
      <c r="C1188" s="6" t="s">
        <v>32</v>
      </c>
      <c r="D1188" s="6" t="s">
        <v>45</v>
      </c>
      <c r="E1188" s="4" t="s">
        <v>13</v>
      </c>
      <c r="F1188" s="3">
        <v>1652002001</v>
      </c>
      <c r="G1188" s="11" t="s">
        <v>292</v>
      </c>
      <c r="H1188" s="11" t="s">
        <v>338</v>
      </c>
      <c r="I1188" s="4" t="s">
        <v>296</v>
      </c>
      <c r="J1188" s="4" t="s">
        <v>300</v>
      </c>
      <c r="K1188" s="71">
        <v>0.67</v>
      </c>
      <c r="L1188" t="s">
        <v>21</v>
      </c>
      <c r="M1188" s="5">
        <f>K1188/30</f>
        <v>2.2333333333333334E-2</v>
      </c>
    </row>
    <row r="1189" spans="1:13" x14ac:dyDescent="0.25">
      <c r="A1189" s="16">
        <v>3172</v>
      </c>
      <c r="B1189" s="46" t="s">
        <v>31</v>
      </c>
      <c r="C1189" s="6" t="s">
        <v>32</v>
      </c>
      <c r="D1189" s="6" t="s">
        <v>45</v>
      </c>
      <c r="E1189" s="4" t="s">
        <v>13</v>
      </c>
      <c r="F1189" s="3">
        <v>1165000000</v>
      </c>
      <c r="G1189" s="11" t="s">
        <v>216</v>
      </c>
      <c r="H1189" s="11" t="s">
        <v>215</v>
      </c>
      <c r="I1189" s="4">
        <v>12</v>
      </c>
      <c r="J1189" s="4" t="s">
        <v>16</v>
      </c>
      <c r="K1189" s="71">
        <v>12</v>
      </c>
      <c r="L1189" t="s">
        <v>17</v>
      </c>
      <c r="M1189" s="5">
        <f>K1189/7</f>
        <v>1.7142857142857142</v>
      </c>
    </row>
    <row r="1190" spans="1:13" x14ac:dyDescent="0.25">
      <c r="A1190" s="125">
        <v>3174</v>
      </c>
      <c r="B1190" s="46" t="s">
        <v>10</v>
      </c>
      <c r="C1190" s="46" t="s">
        <v>46</v>
      </c>
      <c r="D1190" s="46" t="s">
        <v>771</v>
      </c>
      <c r="E1190" s="4" t="s">
        <v>13</v>
      </c>
      <c r="F1190" s="46">
        <v>3034001000</v>
      </c>
      <c r="G1190" t="s">
        <v>662</v>
      </c>
      <c r="H1190" t="s">
        <v>338</v>
      </c>
      <c r="I1190" s="4" t="s">
        <v>494</v>
      </c>
      <c r="J1190" s="4" t="s">
        <v>523</v>
      </c>
      <c r="K1190" s="71">
        <v>4</v>
      </c>
      <c r="L1190" t="s">
        <v>17</v>
      </c>
      <c r="M1190" s="5">
        <f>K1190/7</f>
        <v>0.5714285714285714</v>
      </c>
    </row>
    <row r="1191" spans="1:13" x14ac:dyDescent="0.25">
      <c r="A1191" s="125">
        <v>3175</v>
      </c>
      <c r="B1191" s="46" t="s">
        <v>769</v>
      </c>
      <c r="C1191" s="46" t="s">
        <v>101</v>
      </c>
      <c r="D1191" s="46" t="s">
        <v>770</v>
      </c>
      <c r="E1191" s="4" t="s">
        <v>13</v>
      </c>
      <c r="F1191" s="46">
        <v>2126013000</v>
      </c>
      <c r="G1191" t="s">
        <v>589</v>
      </c>
      <c r="H1191" t="s">
        <v>64</v>
      </c>
      <c r="I1191" s="4" t="s">
        <v>234</v>
      </c>
      <c r="J1191" s="4" t="s">
        <v>492</v>
      </c>
      <c r="K1191" s="71">
        <f>40/60</f>
        <v>0.66666666666666663</v>
      </c>
      <c r="L1191" t="s">
        <v>37</v>
      </c>
      <c r="M1191" s="5">
        <f>K1191</f>
        <v>0.66666666666666663</v>
      </c>
    </row>
    <row r="1192" spans="1:13" x14ac:dyDescent="0.25">
      <c r="A1192" s="16">
        <v>3177</v>
      </c>
      <c r="B1192" s="6" t="s">
        <v>31</v>
      </c>
      <c r="C1192" s="6" t="s">
        <v>32</v>
      </c>
      <c r="D1192" s="6" t="s">
        <v>283</v>
      </c>
      <c r="E1192" s="4" t="s">
        <v>13</v>
      </c>
      <c r="F1192" s="3">
        <v>2126001000</v>
      </c>
      <c r="G1192" s="11" t="s">
        <v>264</v>
      </c>
      <c r="H1192" t="s">
        <v>265</v>
      </c>
      <c r="I1192" s="4" t="s">
        <v>231</v>
      </c>
      <c r="J1192" s="4" t="s">
        <v>231</v>
      </c>
      <c r="K1192" s="71">
        <v>0</v>
      </c>
      <c r="L1192" t="str">
        <f>J1192</f>
        <v>back up</v>
      </c>
      <c r="M1192" s="5">
        <v>0</v>
      </c>
    </row>
    <row r="1193" spans="1:13" x14ac:dyDescent="0.25">
      <c r="A1193" s="110">
        <v>3178</v>
      </c>
      <c r="B1193" s="20" t="s">
        <v>31</v>
      </c>
      <c r="C1193" s="20" t="s">
        <v>32</v>
      </c>
      <c r="D1193" s="20" t="s">
        <v>283</v>
      </c>
      <c r="E1193" s="4" t="s">
        <v>13</v>
      </c>
      <c r="F1193" s="3">
        <v>2126001000</v>
      </c>
      <c r="G1193" s="11" t="s">
        <v>264</v>
      </c>
      <c r="H1193" t="s">
        <v>265</v>
      </c>
      <c r="I1193" s="4" t="s">
        <v>231</v>
      </c>
      <c r="J1193" s="4" t="s">
        <v>231</v>
      </c>
      <c r="K1193" s="71">
        <v>0</v>
      </c>
      <c r="L1193" t="str">
        <f>J1193</f>
        <v>back up</v>
      </c>
      <c r="M1193" s="5">
        <v>0</v>
      </c>
    </row>
    <row r="1194" spans="1:13" x14ac:dyDescent="0.25">
      <c r="A1194" s="16">
        <v>3179</v>
      </c>
      <c r="B1194" s="6" t="s">
        <v>31</v>
      </c>
      <c r="C1194" s="6" t="s">
        <v>32</v>
      </c>
      <c r="D1194" s="6" t="s">
        <v>283</v>
      </c>
      <c r="E1194" s="4" t="s">
        <v>13</v>
      </c>
      <c r="F1194" s="3">
        <v>2126001000</v>
      </c>
      <c r="G1194" s="11" t="s">
        <v>264</v>
      </c>
      <c r="H1194" t="s">
        <v>265</v>
      </c>
      <c r="I1194" s="4" t="s">
        <v>231</v>
      </c>
      <c r="J1194" s="4" t="s">
        <v>231</v>
      </c>
      <c r="K1194" s="71">
        <v>0</v>
      </c>
      <c r="L1194" t="str">
        <f>J1194</f>
        <v>back up</v>
      </c>
      <c r="M1194" s="5">
        <v>0</v>
      </c>
    </row>
    <row r="1195" spans="1:13" x14ac:dyDescent="0.25">
      <c r="A1195" s="16">
        <v>3195</v>
      </c>
      <c r="B1195" s="6" t="s">
        <v>31</v>
      </c>
      <c r="C1195" s="6" t="s">
        <v>32</v>
      </c>
      <c r="D1195" s="6" t="s">
        <v>45</v>
      </c>
      <c r="E1195" s="4" t="s">
        <v>13</v>
      </c>
      <c r="F1195" s="3">
        <v>165001000</v>
      </c>
      <c r="G1195" s="11" t="s">
        <v>319</v>
      </c>
      <c r="H1195" s="11" t="s">
        <v>338</v>
      </c>
      <c r="I1195" s="4" t="s">
        <v>333</v>
      </c>
      <c r="J1195" s="4" t="s">
        <v>17</v>
      </c>
      <c r="K1195" s="71">
        <v>20</v>
      </c>
      <c r="L1195" t="s">
        <v>17</v>
      </c>
      <c r="M1195" s="5">
        <f>K1195/7</f>
        <v>2.8571428571428572</v>
      </c>
    </row>
    <row r="1196" spans="1:13" x14ac:dyDescent="0.25">
      <c r="A1196" s="125">
        <v>3196</v>
      </c>
      <c r="B1196" s="46" t="s">
        <v>31</v>
      </c>
      <c r="C1196" s="46" t="s">
        <v>32</v>
      </c>
      <c r="D1196" s="46" t="s">
        <v>45</v>
      </c>
      <c r="E1196" s="46" t="s">
        <v>13</v>
      </c>
      <c r="F1196" s="35">
        <v>1014001</v>
      </c>
      <c r="G1196" t="s">
        <v>543</v>
      </c>
      <c r="H1196" s="4"/>
      <c r="J1196" s="71"/>
      <c r="K1196"/>
      <c r="L1196" s="5"/>
      <c r="M1196"/>
    </row>
    <row r="1197" spans="1:13" x14ac:dyDescent="0.25">
      <c r="A1197" s="16">
        <v>3207</v>
      </c>
      <c r="B1197" s="6" t="s">
        <v>140</v>
      </c>
      <c r="C1197" s="6" t="s">
        <v>141</v>
      </c>
      <c r="D1197" s="6"/>
      <c r="E1197" s="4" t="s">
        <v>13</v>
      </c>
      <c r="F1197" s="3">
        <v>3042058002</v>
      </c>
      <c r="G1197" s="11" t="s">
        <v>210</v>
      </c>
      <c r="H1197" s="11" t="s">
        <v>211</v>
      </c>
      <c r="I1197" s="4" t="s">
        <v>142</v>
      </c>
      <c r="J1197" s="4" t="s">
        <v>143</v>
      </c>
      <c r="K1197" s="71">
        <v>4</v>
      </c>
      <c r="L1197" t="s">
        <v>37</v>
      </c>
      <c r="M1197" s="5">
        <f>K1197</f>
        <v>4</v>
      </c>
    </row>
    <row r="1198" spans="1:13" x14ac:dyDescent="0.25">
      <c r="A1198" s="110">
        <v>3211</v>
      </c>
      <c r="B1198" s="6" t="s">
        <v>31</v>
      </c>
      <c r="C1198" s="6" t="s">
        <v>32</v>
      </c>
      <c r="D1198" s="6" t="s">
        <v>110</v>
      </c>
      <c r="E1198" s="4" t="s">
        <v>13</v>
      </c>
      <c r="F1198" s="3">
        <v>2126001000</v>
      </c>
      <c r="G1198" s="11" t="s">
        <v>264</v>
      </c>
      <c r="H1198" s="11" t="s">
        <v>265</v>
      </c>
      <c r="I1198" s="19" t="s">
        <v>266</v>
      </c>
      <c r="J1198" s="19" t="s">
        <v>274</v>
      </c>
      <c r="K1198" s="71">
        <v>6</v>
      </c>
      <c r="L1198" t="s">
        <v>17</v>
      </c>
      <c r="M1198" s="5">
        <f>K1198/7</f>
        <v>0.8571428571428571</v>
      </c>
    </row>
    <row r="1199" spans="1:13" x14ac:dyDescent="0.25">
      <c r="A1199" s="16">
        <v>3213</v>
      </c>
      <c r="B1199" s="6" t="s">
        <v>31</v>
      </c>
      <c r="C1199" s="6" t="s">
        <v>32</v>
      </c>
      <c r="D1199" s="6" t="s">
        <v>110</v>
      </c>
      <c r="E1199" s="4" t="s">
        <v>13</v>
      </c>
      <c r="F1199" s="3">
        <v>2126001000</v>
      </c>
      <c r="G1199" s="11" t="s">
        <v>264</v>
      </c>
      <c r="H1199" s="11" t="s">
        <v>265</v>
      </c>
      <c r="I1199" s="19" t="s">
        <v>266</v>
      </c>
      <c r="J1199" s="19" t="s">
        <v>274</v>
      </c>
      <c r="K1199" s="71">
        <v>6</v>
      </c>
      <c r="L1199" t="s">
        <v>17</v>
      </c>
      <c r="M1199" s="5">
        <f>K1199/7</f>
        <v>0.8571428571428571</v>
      </c>
    </row>
    <row r="1200" spans="1:13" x14ac:dyDescent="0.25">
      <c r="A1200" s="127">
        <v>3217</v>
      </c>
      <c r="B1200" s="46" t="s">
        <v>977</v>
      </c>
      <c r="C1200" s="46" t="s">
        <v>200</v>
      </c>
      <c r="D1200" s="46" t="s">
        <v>40</v>
      </c>
      <c r="E1200" s="46" t="s">
        <v>13</v>
      </c>
      <c r="F1200" s="35">
        <v>1014001</v>
      </c>
      <c r="G1200" t="s">
        <v>543</v>
      </c>
      <c r="H1200" s="4"/>
      <c r="J1200" s="71"/>
      <c r="K1200"/>
      <c r="L1200" s="5"/>
      <c r="M1200"/>
    </row>
    <row r="1201" spans="1:13" x14ac:dyDescent="0.25">
      <c r="A1201" s="16">
        <v>3218</v>
      </c>
      <c r="B1201" s="6" t="s">
        <v>31</v>
      </c>
      <c r="C1201" s="6" t="s">
        <v>32</v>
      </c>
      <c r="D1201" s="6" t="s">
        <v>40</v>
      </c>
      <c r="E1201" s="4" t="s">
        <v>13</v>
      </c>
      <c r="F1201" s="3">
        <v>2126013000</v>
      </c>
      <c r="G1201" s="11" t="s">
        <v>123</v>
      </c>
      <c r="H1201" s="11" t="s">
        <v>64</v>
      </c>
      <c r="I1201" s="4">
        <v>15</v>
      </c>
      <c r="J1201" s="4" t="s">
        <v>99</v>
      </c>
      <c r="K1201" s="71">
        <v>15</v>
      </c>
      <c r="L1201" t="s">
        <v>21</v>
      </c>
      <c r="M1201" s="5">
        <f>K1201/30</f>
        <v>0.5</v>
      </c>
    </row>
    <row r="1202" spans="1:13" x14ac:dyDescent="0.25">
      <c r="A1202" s="16">
        <v>3228</v>
      </c>
      <c r="B1202" s="6" t="s">
        <v>43</v>
      </c>
      <c r="C1202" s="6" t="s">
        <v>162</v>
      </c>
      <c r="D1202" s="6">
        <v>165</v>
      </c>
      <c r="E1202" s="4" t="s">
        <v>13</v>
      </c>
      <c r="F1202" s="3">
        <v>1176003000</v>
      </c>
      <c r="G1202" s="11" t="s">
        <v>158</v>
      </c>
      <c r="H1202" s="11" t="s">
        <v>337</v>
      </c>
      <c r="I1202" s="15" t="s">
        <v>144</v>
      </c>
      <c r="J1202" s="15" t="s">
        <v>139</v>
      </c>
      <c r="K1202" s="71">
        <v>1</v>
      </c>
      <c r="L1202" t="s">
        <v>17</v>
      </c>
      <c r="M1202" s="5">
        <f>K1202/7</f>
        <v>0.14285714285714285</v>
      </c>
    </row>
    <row r="1203" spans="1:13" x14ac:dyDescent="0.25">
      <c r="A1203" s="123">
        <v>3234</v>
      </c>
      <c r="B1203" s="76" t="s">
        <v>10</v>
      </c>
      <c r="C1203" s="76" t="s">
        <v>59</v>
      </c>
      <c r="D1203" s="76" t="s">
        <v>40</v>
      </c>
      <c r="E1203" s="4" t="s">
        <v>13</v>
      </c>
      <c r="F1203" s="76">
        <v>3219003000</v>
      </c>
      <c r="G1203" s="81" t="s">
        <v>890</v>
      </c>
      <c r="H1203" t="s">
        <v>879</v>
      </c>
      <c r="I1203" s="4" t="s">
        <v>866</v>
      </c>
      <c r="J1203" s="4" t="s">
        <v>492</v>
      </c>
      <c r="K1203" s="71">
        <v>0.5</v>
      </c>
      <c r="L1203" t="s">
        <v>37</v>
      </c>
      <c r="M1203">
        <f>K1203</f>
        <v>0.5</v>
      </c>
    </row>
    <row r="1204" spans="1:13" x14ac:dyDescent="0.25">
      <c r="A1204" s="16">
        <v>3256</v>
      </c>
      <c r="B1204" s="6" t="s">
        <v>10</v>
      </c>
      <c r="C1204" s="6" t="s">
        <v>11</v>
      </c>
      <c r="D1204" s="6" t="s">
        <v>73</v>
      </c>
      <c r="E1204" s="4" t="s">
        <v>13</v>
      </c>
      <c r="F1204" s="3">
        <v>3178003000</v>
      </c>
      <c r="G1204" s="11" t="s">
        <v>306</v>
      </c>
      <c r="H1204" s="11" t="s">
        <v>338</v>
      </c>
      <c r="I1204" s="4" t="s">
        <v>304</v>
      </c>
      <c r="J1204" s="4" t="s">
        <v>295</v>
      </c>
      <c r="K1204" s="71">
        <v>3</v>
      </c>
      <c r="L1204" t="s">
        <v>21</v>
      </c>
      <c r="M1204" s="5">
        <f>K1204/30</f>
        <v>0.1</v>
      </c>
    </row>
    <row r="1205" spans="1:13" x14ac:dyDescent="0.25">
      <c r="A1205" s="16">
        <v>3257</v>
      </c>
      <c r="B1205" s="6" t="s">
        <v>10</v>
      </c>
      <c r="C1205" s="6" t="s">
        <v>11</v>
      </c>
      <c r="D1205" s="6" t="s">
        <v>73</v>
      </c>
      <c r="E1205" s="4" t="s">
        <v>13</v>
      </c>
      <c r="F1205" s="3">
        <v>1614002000</v>
      </c>
      <c r="G1205" s="11" t="s">
        <v>129</v>
      </c>
      <c r="H1205" s="11" t="s">
        <v>64</v>
      </c>
      <c r="I1205" s="4" t="s">
        <v>231</v>
      </c>
      <c r="J1205" s="4" t="s">
        <v>231</v>
      </c>
      <c r="K1205" s="71">
        <v>0</v>
      </c>
      <c r="L1205" t="s">
        <v>21</v>
      </c>
      <c r="M1205" s="5">
        <f>K1205/30</f>
        <v>0</v>
      </c>
    </row>
    <row r="1206" spans="1:13" x14ac:dyDescent="0.25">
      <c r="A1206" s="16">
        <v>3258</v>
      </c>
      <c r="B1206" s="3" t="s">
        <v>10</v>
      </c>
      <c r="C1206" s="3" t="s">
        <v>11</v>
      </c>
      <c r="D1206" s="3" t="s">
        <v>73</v>
      </c>
      <c r="E1206" s="4" t="s">
        <v>13</v>
      </c>
      <c r="F1206" s="3">
        <v>3265001000</v>
      </c>
      <c r="G1206" t="s">
        <v>843</v>
      </c>
      <c r="H1206" s="4" t="s">
        <v>842</v>
      </c>
      <c r="I1206" s="4">
        <v>20</v>
      </c>
      <c r="J1206" s="4" t="s">
        <v>75</v>
      </c>
      <c r="K1206" s="71">
        <v>20</v>
      </c>
      <c r="L1206" t="s">
        <v>21</v>
      </c>
      <c r="M1206">
        <f>K1206/30</f>
        <v>0.66666666666666663</v>
      </c>
    </row>
    <row r="1207" spans="1:13" x14ac:dyDescent="0.25">
      <c r="A1207" s="16">
        <v>3259</v>
      </c>
      <c r="B1207" s="3" t="s">
        <v>10</v>
      </c>
      <c r="C1207" s="3" t="s">
        <v>11</v>
      </c>
      <c r="D1207" s="3" t="s">
        <v>73</v>
      </c>
      <c r="E1207" s="4" t="s">
        <v>13</v>
      </c>
      <c r="F1207" s="3">
        <v>3265001000</v>
      </c>
      <c r="G1207" t="s">
        <v>843</v>
      </c>
      <c r="H1207" s="4" t="s">
        <v>842</v>
      </c>
      <c r="I1207" s="4">
        <v>15</v>
      </c>
      <c r="J1207" s="4" t="s">
        <v>88</v>
      </c>
      <c r="K1207" s="71">
        <v>15</v>
      </c>
      <c r="L1207" t="s">
        <v>21</v>
      </c>
      <c r="M1207" s="5">
        <f>K1207/30</f>
        <v>0.5</v>
      </c>
    </row>
    <row r="1208" spans="1:13" x14ac:dyDescent="0.25">
      <c r="A1208" s="16">
        <v>3262</v>
      </c>
      <c r="B1208" s="6" t="s">
        <v>43</v>
      </c>
      <c r="C1208" s="6" t="s">
        <v>46</v>
      </c>
      <c r="D1208" s="6"/>
      <c r="E1208" s="4" t="s">
        <v>13</v>
      </c>
      <c r="F1208" s="3">
        <v>193012000</v>
      </c>
      <c r="G1208" s="11" t="s">
        <v>34</v>
      </c>
      <c r="H1208" s="11" t="s">
        <v>339</v>
      </c>
      <c r="I1208" s="4" t="s">
        <v>38</v>
      </c>
      <c r="J1208" s="4" t="s">
        <v>36</v>
      </c>
      <c r="K1208" s="71">
        <v>3</v>
      </c>
      <c r="L1208" t="s">
        <v>37</v>
      </c>
      <c r="M1208" s="5">
        <f>K1208</f>
        <v>3</v>
      </c>
    </row>
    <row r="1209" spans="1:13" x14ac:dyDescent="0.25">
      <c r="A1209" s="16">
        <v>3263</v>
      </c>
      <c r="B1209" s="3" t="s">
        <v>43</v>
      </c>
      <c r="C1209" s="3" t="s">
        <v>46</v>
      </c>
      <c r="D1209" s="3"/>
      <c r="E1209" s="4" t="s">
        <v>13</v>
      </c>
      <c r="F1209" s="3">
        <v>3265001000</v>
      </c>
      <c r="G1209" t="s">
        <v>843</v>
      </c>
      <c r="H1209" s="4" t="s">
        <v>842</v>
      </c>
      <c r="I1209" s="4">
        <v>60</v>
      </c>
      <c r="J1209" s="4" t="s">
        <v>98</v>
      </c>
      <c r="K1209" s="71">
        <v>60</v>
      </c>
      <c r="L1209" t="s">
        <v>21</v>
      </c>
      <c r="M1209" s="5">
        <f>K1209/30</f>
        <v>2</v>
      </c>
    </row>
    <row r="1210" spans="1:13" x14ac:dyDescent="0.25">
      <c r="A1210" s="125">
        <v>3264</v>
      </c>
      <c r="B1210" s="46" t="s">
        <v>284</v>
      </c>
      <c r="C1210" s="46" t="s">
        <v>777</v>
      </c>
      <c r="D1210" s="46" t="s">
        <v>778</v>
      </c>
      <c r="E1210" s="4" t="s">
        <v>13</v>
      </c>
      <c r="F1210" s="46">
        <v>3260001000</v>
      </c>
      <c r="G1210" t="s">
        <v>732</v>
      </c>
      <c r="H1210" t="s">
        <v>549</v>
      </c>
      <c r="I1210" s="4">
        <v>5</v>
      </c>
      <c r="J1210" s="4" t="s">
        <v>235</v>
      </c>
      <c r="K1210" s="71">
        <v>10</v>
      </c>
      <c r="L1210" t="s">
        <v>17</v>
      </c>
      <c r="M1210">
        <f>K1210/7</f>
        <v>1.4285714285714286</v>
      </c>
    </row>
    <row r="1211" spans="1:13" x14ac:dyDescent="0.25">
      <c r="A1211" s="125">
        <v>3268</v>
      </c>
      <c r="B1211" s="46" t="s">
        <v>18</v>
      </c>
      <c r="C1211" s="46" t="s">
        <v>46</v>
      </c>
      <c r="D1211" s="46" t="s">
        <v>40</v>
      </c>
      <c r="E1211" s="4" t="s">
        <v>13</v>
      </c>
      <c r="F1211" s="46">
        <v>3260001000</v>
      </c>
      <c r="G1211" t="s">
        <v>732</v>
      </c>
      <c r="H1211" t="s">
        <v>549</v>
      </c>
      <c r="I1211" s="4" t="s">
        <v>494</v>
      </c>
      <c r="J1211" s="4" t="s">
        <v>874</v>
      </c>
      <c r="K1211" s="71">
        <v>20</v>
      </c>
      <c r="L1211" t="s">
        <v>17</v>
      </c>
      <c r="M1211">
        <f>K1211/7</f>
        <v>2.8571428571428572</v>
      </c>
    </row>
    <row r="1212" spans="1:13" x14ac:dyDescent="0.25">
      <c r="A1212" s="125">
        <v>3269</v>
      </c>
      <c r="B1212" s="46" t="s">
        <v>18</v>
      </c>
      <c r="C1212" s="46" t="s">
        <v>46</v>
      </c>
      <c r="E1212" s="4" t="s">
        <v>13</v>
      </c>
      <c r="F1212" s="46">
        <v>3260001000</v>
      </c>
      <c r="G1212" t="s">
        <v>732</v>
      </c>
      <c r="H1212" t="s">
        <v>549</v>
      </c>
      <c r="I1212" s="4" t="s">
        <v>494</v>
      </c>
      <c r="J1212" s="4" t="s">
        <v>874</v>
      </c>
      <c r="K1212" s="71">
        <v>20</v>
      </c>
      <c r="L1212" t="s">
        <v>17</v>
      </c>
      <c r="M1212">
        <f>K1212/7</f>
        <v>2.8571428571428572</v>
      </c>
    </row>
    <row r="1213" spans="1:13" x14ac:dyDescent="0.25">
      <c r="A1213" s="16">
        <v>3270</v>
      </c>
      <c r="B1213" s="46" t="s">
        <v>43</v>
      </c>
      <c r="C1213" s="46" t="s">
        <v>46</v>
      </c>
      <c r="E1213" s="4" t="s">
        <v>13</v>
      </c>
      <c r="F1213" s="46">
        <v>3260001000</v>
      </c>
      <c r="G1213" t="s">
        <v>732</v>
      </c>
      <c r="H1213" s="4" t="s">
        <v>549</v>
      </c>
      <c r="I1213" s="4" t="s">
        <v>875</v>
      </c>
      <c r="J1213" s="4" t="s">
        <v>274</v>
      </c>
      <c r="K1213" s="71">
        <v>7</v>
      </c>
      <c r="L1213" t="s">
        <v>17</v>
      </c>
      <c r="M1213">
        <f>K1213/7</f>
        <v>1</v>
      </c>
    </row>
    <row r="1214" spans="1:13" x14ac:dyDescent="0.25">
      <c r="A1214" s="16">
        <v>3271</v>
      </c>
      <c r="B1214" s="46" t="s">
        <v>43</v>
      </c>
      <c r="C1214" s="46" t="s">
        <v>46</v>
      </c>
      <c r="E1214" s="4" t="s">
        <v>13</v>
      </c>
      <c r="F1214" s="46">
        <v>3260001000</v>
      </c>
      <c r="G1214" t="s">
        <v>732</v>
      </c>
      <c r="H1214" s="4" t="s">
        <v>549</v>
      </c>
      <c r="I1214" s="4">
        <v>7</v>
      </c>
      <c r="J1214" s="4" t="s">
        <v>274</v>
      </c>
      <c r="K1214" s="71">
        <v>7</v>
      </c>
      <c r="L1214" s="4" t="s">
        <v>17</v>
      </c>
      <c r="M1214">
        <f>K1214/7</f>
        <v>1</v>
      </c>
    </row>
    <row r="1215" spans="1:13" x14ac:dyDescent="0.25">
      <c r="A1215" s="16">
        <v>3272</v>
      </c>
      <c r="B1215" s="46" t="s">
        <v>10</v>
      </c>
      <c r="C1215" s="46" t="s">
        <v>46</v>
      </c>
      <c r="D1215" s="46" t="s">
        <v>146</v>
      </c>
      <c r="E1215" s="4" t="s">
        <v>13</v>
      </c>
      <c r="F1215" s="46">
        <v>1014001</v>
      </c>
      <c r="G1215" t="s">
        <v>543</v>
      </c>
      <c r="M1215"/>
    </row>
    <row r="1216" spans="1:13" x14ac:dyDescent="0.25">
      <c r="A1216" s="16">
        <v>3273</v>
      </c>
      <c r="B1216" s="46" t="s">
        <v>10</v>
      </c>
      <c r="C1216" s="46" t="s">
        <v>46</v>
      </c>
      <c r="D1216" s="46" t="s">
        <v>146</v>
      </c>
      <c r="E1216" s="4" t="s">
        <v>13</v>
      </c>
      <c r="F1216" s="46">
        <v>3260001000</v>
      </c>
      <c r="G1216" t="s">
        <v>732</v>
      </c>
      <c r="H1216" t="s">
        <v>549</v>
      </c>
      <c r="J1216" s="4" t="s">
        <v>876</v>
      </c>
      <c r="K1216" s="71">
        <v>0</v>
      </c>
      <c r="M1216" s="5">
        <v>0</v>
      </c>
    </row>
    <row r="1217" spans="1:13" x14ac:dyDescent="0.25">
      <c r="A1217" s="16">
        <v>3274</v>
      </c>
      <c r="B1217" s="46" t="s">
        <v>10</v>
      </c>
      <c r="C1217" s="46" t="s">
        <v>46</v>
      </c>
      <c r="D1217" s="46" t="s">
        <v>146</v>
      </c>
      <c r="E1217" s="4" t="s">
        <v>13</v>
      </c>
      <c r="F1217" s="46">
        <v>1014001</v>
      </c>
      <c r="G1217" t="s">
        <v>543</v>
      </c>
      <c r="M1217"/>
    </row>
    <row r="1218" spans="1:13" x14ac:dyDescent="0.25">
      <c r="A1218" s="94">
        <v>3275</v>
      </c>
      <c r="B1218" s="46" t="s">
        <v>10</v>
      </c>
      <c r="C1218" s="46" t="s">
        <v>46</v>
      </c>
      <c r="D1218" s="46" t="s">
        <v>84</v>
      </c>
      <c r="E1218" s="4" t="s">
        <v>13</v>
      </c>
      <c r="F1218" s="46">
        <v>3260001000</v>
      </c>
      <c r="G1218" t="s">
        <v>732</v>
      </c>
      <c r="H1218" t="s">
        <v>549</v>
      </c>
      <c r="J1218" s="4" t="s">
        <v>877</v>
      </c>
      <c r="M1218"/>
    </row>
    <row r="1219" spans="1:13" x14ac:dyDescent="0.25">
      <c r="A1219" s="16">
        <v>3276</v>
      </c>
      <c r="B1219" s="46" t="s">
        <v>148</v>
      </c>
      <c r="C1219" s="46" t="s">
        <v>779</v>
      </c>
      <c r="D1219" s="46" t="s">
        <v>780</v>
      </c>
      <c r="E1219" s="4" t="s">
        <v>13</v>
      </c>
      <c r="F1219" s="46">
        <v>3260001000</v>
      </c>
      <c r="G1219" t="s">
        <v>732</v>
      </c>
      <c r="H1219" s="4" t="s">
        <v>549</v>
      </c>
      <c r="I1219" s="4">
        <v>7</v>
      </c>
      <c r="J1219" s="4" t="s">
        <v>878</v>
      </c>
      <c r="K1219" s="71">
        <v>14</v>
      </c>
      <c r="L1219" s="4" t="s">
        <v>17</v>
      </c>
      <c r="M1219">
        <f>K1219/7</f>
        <v>2</v>
      </c>
    </row>
    <row r="1220" spans="1:13" x14ac:dyDescent="0.25">
      <c r="A1220" s="16">
        <v>3277</v>
      </c>
      <c r="B1220" s="3" t="s">
        <v>402</v>
      </c>
      <c r="C1220" s="3" t="s">
        <v>149</v>
      </c>
      <c r="D1220" s="3" t="s">
        <v>781</v>
      </c>
      <c r="E1220" s="4" t="s">
        <v>13</v>
      </c>
      <c r="F1220" s="46">
        <v>3256001000</v>
      </c>
      <c r="G1220" t="s">
        <v>843</v>
      </c>
      <c r="H1220" t="s">
        <v>842</v>
      </c>
      <c r="I1220" s="4" t="s">
        <v>1062</v>
      </c>
      <c r="J1220" s="4" t="s">
        <v>1062</v>
      </c>
      <c r="K1220" s="71">
        <v>0</v>
      </c>
      <c r="L1220" t="str">
        <f>J1220</f>
        <v xml:space="preserve">A pedido </v>
      </c>
      <c r="M1220" s="5">
        <v>0</v>
      </c>
    </row>
    <row r="1221" spans="1:13" x14ac:dyDescent="0.25">
      <c r="A1221" s="16">
        <v>3278</v>
      </c>
      <c r="B1221" s="6" t="s">
        <v>140</v>
      </c>
      <c r="C1221" s="6" t="s">
        <v>141</v>
      </c>
      <c r="D1221" s="6"/>
      <c r="E1221" s="4" t="s">
        <v>13</v>
      </c>
      <c r="F1221" s="3">
        <v>66034000</v>
      </c>
      <c r="G1221" s="11" t="s">
        <v>171</v>
      </c>
      <c r="H1221" s="11" t="s">
        <v>337</v>
      </c>
      <c r="I1221" s="4" t="s">
        <v>142</v>
      </c>
      <c r="J1221" s="4" t="s">
        <v>143</v>
      </c>
      <c r="K1221" s="71">
        <v>4</v>
      </c>
      <c r="L1221" t="s">
        <v>37</v>
      </c>
      <c r="M1221" s="5">
        <f>K1221</f>
        <v>4</v>
      </c>
    </row>
    <row r="1222" spans="1:13" x14ac:dyDescent="0.25">
      <c r="A1222" s="126">
        <v>3279</v>
      </c>
      <c r="B1222" s="41" t="s">
        <v>10</v>
      </c>
      <c r="C1222" s="41" t="s">
        <v>11</v>
      </c>
      <c r="D1222" s="41" t="s">
        <v>73</v>
      </c>
      <c r="E1222" s="10" t="s">
        <v>13</v>
      </c>
      <c r="F1222" s="56">
        <v>3370003000</v>
      </c>
      <c r="G1222" s="55" t="s">
        <v>541</v>
      </c>
      <c r="H1222" s="11" t="s">
        <v>498</v>
      </c>
      <c r="I1222" s="4">
        <v>20</v>
      </c>
      <c r="J1222" s="4" t="s">
        <v>21</v>
      </c>
      <c r="K1222" s="71">
        <v>20</v>
      </c>
      <c r="L1222" t="s">
        <v>21</v>
      </c>
      <c r="M1222">
        <f>K1222/30</f>
        <v>0.66666666666666663</v>
      </c>
    </row>
    <row r="1223" spans="1:13" x14ac:dyDescent="0.25">
      <c r="A1223" s="16">
        <v>3280</v>
      </c>
      <c r="B1223" s="3" t="s">
        <v>10</v>
      </c>
      <c r="C1223" s="3" t="s">
        <v>11</v>
      </c>
      <c r="D1223" s="3" t="s">
        <v>173</v>
      </c>
      <c r="E1223" s="4" t="s">
        <v>13</v>
      </c>
      <c r="F1223" s="3">
        <v>3279001000</v>
      </c>
      <c r="G1223" t="s">
        <v>841</v>
      </c>
      <c r="H1223" s="4" t="s">
        <v>842</v>
      </c>
      <c r="I1223" s="4">
        <v>20</v>
      </c>
      <c r="J1223" s="4" t="s">
        <v>135</v>
      </c>
      <c r="K1223" s="71">
        <v>20</v>
      </c>
      <c r="L1223" t="s">
        <v>21</v>
      </c>
      <c r="M1223">
        <f>K1223/30</f>
        <v>0.66666666666666663</v>
      </c>
    </row>
    <row r="1224" spans="1:13" x14ac:dyDescent="0.25">
      <c r="A1224" s="16">
        <v>3285</v>
      </c>
      <c r="B1224" s="6" t="s">
        <v>140</v>
      </c>
      <c r="C1224" s="6" t="s">
        <v>141</v>
      </c>
      <c r="D1224" s="6" t="s">
        <v>153</v>
      </c>
      <c r="E1224" s="4" t="s">
        <v>13</v>
      </c>
      <c r="F1224" s="3">
        <v>3042088002</v>
      </c>
      <c r="G1224" s="11" t="s">
        <v>147</v>
      </c>
      <c r="H1224" s="11" t="s">
        <v>337</v>
      </c>
      <c r="I1224" s="4" t="s">
        <v>142</v>
      </c>
      <c r="J1224" s="4" t="s">
        <v>154</v>
      </c>
      <c r="K1224" s="71">
        <v>20</v>
      </c>
      <c r="L1224" t="s">
        <v>17</v>
      </c>
      <c r="M1224" s="5">
        <f t="shared" ref="M1224:M1231" si="8">K1224/7</f>
        <v>2.8571428571428572</v>
      </c>
    </row>
    <row r="1225" spans="1:13" x14ac:dyDescent="0.25">
      <c r="A1225" s="16">
        <v>3286</v>
      </c>
      <c r="B1225" s="6" t="s">
        <v>10</v>
      </c>
      <c r="C1225" s="6" t="s">
        <v>46</v>
      </c>
      <c r="D1225" s="6" t="s">
        <v>146</v>
      </c>
      <c r="E1225" s="4" t="s">
        <v>13</v>
      </c>
      <c r="F1225" s="3">
        <v>3042088002</v>
      </c>
      <c r="G1225" s="11" t="s">
        <v>147</v>
      </c>
      <c r="H1225" s="11" t="s">
        <v>337</v>
      </c>
      <c r="I1225" s="4" t="s">
        <v>142</v>
      </c>
      <c r="J1225" s="4" t="s">
        <v>139</v>
      </c>
      <c r="K1225" s="71">
        <v>4</v>
      </c>
      <c r="L1225" t="s">
        <v>17</v>
      </c>
      <c r="M1225" s="5">
        <f t="shared" si="8"/>
        <v>0.5714285714285714</v>
      </c>
    </row>
    <row r="1226" spans="1:13" x14ac:dyDescent="0.25">
      <c r="A1226" s="16">
        <v>3287</v>
      </c>
      <c r="B1226" s="6" t="s">
        <v>148</v>
      </c>
      <c r="C1226" s="6" t="s">
        <v>149</v>
      </c>
      <c r="D1226" s="6"/>
      <c r="E1226" s="4" t="s">
        <v>13</v>
      </c>
      <c r="F1226" s="3">
        <v>3042088002</v>
      </c>
      <c r="G1226" s="11" t="s">
        <v>147</v>
      </c>
      <c r="H1226" s="11" t="s">
        <v>337</v>
      </c>
      <c r="I1226" s="4" t="s">
        <v>138</v>
      </c>
      <c r="J1226" s="4" t="s">
        <v>139</v>
      </c>
      <c r="K1226" s="71">
        <v>2</v>
      </c>
      <c r="L1226" t="s">
        <v>17</v>
      </c>
      <c r="M1226" s="5">
        <f t="shared" si="8"/>
        <v>0.2857142857142857</v>
      </c>
    </row>
    <row r="1227" spans="1:13" x14ac:dyDescent="0.25">
      <c r="A1227" s="16">
        <v>3288</v>
      </c>
      <c r="B1227" s="6" t="s">
        <v>10</v>
      </c>
      <c r="C1227" s="6" t="s">
        <v>136</v>
      </c>
      <c r="D1227" s="6" t="s">
        <v>40</v>
      </c>
      <c r="E1227" s="4" t="s">
        <v>13</v>
      </c>
      <c r="F1227" s="3">
        <v>3042088002</v>
      </c>
      <c r="G1227" s="11" t="s">
        <v>147</v>
      </c>
      <c r="H1227" s="11" t="s">
        <v>337</v>
      </c>
      <c r="I1227" s="4" t="s">
        <v>142</v>
      </c>
      <c r="J1227" s="4" t="s">
        <v>139</v>
      </c>
      <c r="K1227" s="71">
        <v>4</v>
      </c>
      <c r="L1227" t="s">
        <v>17</v>
      </c>
      <c r="M1227" s="5">
        <f t="shared" si="8"/>
        <v>0.5714285714285714</v>
      </c>
    </row>
    <row r="1228" spans="1:13" x14ac:dyDescent="0.25">
      <c r="A1228" s="16">
        <v>3289</v>
      </c>
      <c r="B1228" s="6" t="s">
        <v>18</v>
      </c>
      <c r="C1228" s="6" t="s">
        <v>46</v>
      </c>
      <c r="D1228" s="6"/>
      <c r="E1228" s="4" t="s">
        <v>13</v>
      </c>
      <c r="F1228" s="3">
        <v>3042088002</v>
      </c>
      <c r="G1228" s="11" t="s">
        <v>147</v>
      </c>
      <c r="H1228" s="11" t="s">
        <v>337</v>
      </c>
      <c r="I1228" s="4" t="s">
        <v>138</v>
      </c>
      <c r="J1228" s="4" t="s">
        <v>145</v>
      </c>
      <c r="K1228" s="71">
        <v>4</v>
      </c>
      <c r="L1228" t="s">
        <v>17</v>
      </c>
      <c r="M1228" s="5">
        <f t="shared" si="8"/>
        <v>0.5714285714285714</v>
      </c>
    </row>
    <row r="1229" spans="1:13" x14ac:dyDescent="0.25">
      <c r="A1229" s="16">
        <v>3290</v>
      </c>
      <c r="B1229" s="6" t="s">
        <v>18</v>
      </c>
      <c r="C1229" s="6" t="s">
        <v>46</v>
      </c>
      <c r="D1229" s="6"/>
      <c r="E1229" s="4" t="s">
        <v>13</v>
      </c>
      <c r="F1229" s="3">
        <v>3042088002</v>
      </c>
      <c r="G1229" s="11" t="s">
        <v>147</v>
      </c>
      <c r="H1229" s="11" t="s">
        <v>337</v>
      </c>
      <c r="I1229" s="4" t="s">
        <v>138</v>
      </c>
      <c r="J1229" s="4" t="s">
        <v>145</v>
      </c>
      <c r="K1229" s="71">
        <v>4</v>
      </c>
      <c r="L1229" t="s">
        <v>17</v>
      </c>
      <c r="M1229" s="5">
        <f t="shared" si="8"/>
        <v>0.5714285714285714</v>
      </c>
    </row>
    <row r="1230" spans="1:13" x14ac:dyDescent="0.25">
      <c r="A1230" s="16">
        <v>3299</v>
      </c>
      <c r="B1230" s="6" t="s">
        <v>10</v>
      </c>
      <c r="C1230" s="6" t="s">
        <v>46</v>
      </c>
      <c r="D1230" s="6" t="s">
        <v>146</v>
      </c>
      <c r="E1230" s="4" t="s">
        <v>13</v>
      </c>
      <c r="F1230" s="3">
        <v>3042095001</v>
      </c>
      <c r="G1230" s="11" t="s">
        <v>409</v>
      </c>
      <c r="H1230" s="11" t="s">
        <v>407</v>
      </c>
      <c r="I1230" s="4" t="s">
        <v>290</v>
      </c>
      <c r="J1230" s="4" t="s">
        <v>352</v>
      </c>
      <c r="K1230" s="71">
        <v>1</v>
      </c>
      <c r="L1230" t="s">
        <v>17</v>
      </c>
      <c r="M1230" s="5">
        <f t="shared" si="8"/>
        <v>0.14285714285714285</v>
      </c>
    </row>
    <row r="1231" spans="1:13" x14ac:dyDescent="0.25">
      <c r="A1231" s="16">
        <v>3300</v>
      </c>
      <c r="B1231" s="6" t="s">
        <v>10</v>
      </c>
      <c r="C1231" s="6" t="s">
        <v>46</v>
      </c>
      <c r="D1231" s="6" t="s">
        <v>146</v>
      </c>
      <c r="E1231" s="4" t="s">
        <v>13</v>
      </c>
      <c r="F1231" s="3">
        <v>1165000000</v>
      </c>
      <c r="G1231" s="11" t="s">
        <v>216</v>
      </c>
      <c r="H1231" s="11" t="s">
        <v>215</v>
      </c>
      <c r="I1231" s="4">
        <v>3</v>
      </c>
      <c r="J1231" s="4" t="s">
        <v>16</v>
      </c>
      <c r="K1231" s="71">
        <v>3</v>
      </c>
      <c r="L1231" t="s">
        <v>17</v>
      </c>
      <c r="M1231" s="5">
        <f t="shared" si="8"/>
        <v>0.42857142857142855</v>
      </c>
    </row>
    <row r="1232" spans="1:13" x14ac:dyDescent="0.25">
      <c r="A1232" s="16">
        <v>3301</v>
      </c>
      <c r="B1232" s="6" t="s">
        <v>10</v>
      </c>
      <c r="C1232" s="6" t="s">
        <v>46</v>
      </c>
      <c r="D1232" s="6" t="s">
        <v>146</v>
      </c>
      <c r="E1232" s="4" t="s">
        <v>13</v>
      </c>
      <c r="F1232" s="3">
        <v>2499001000</v>
      </c>
      <c r="G1232" s="11" t="s">
        <v>457</v>
      </c>
      <c r="H1232" s="11" t="s">
        <v>504</v>
      </c>
      <c r="I1232" s="4" t="s">
        <v>491</v>
      </c>
      <c r="J1232" s="4" t="s">
        <v>492</v>
      </c>
      <c r="K1232" s="71">
        <v>6</v>
      </c>
      <c r="L1232" t="s">
        <v>37</v>
      </c>
      <c r="M1232" s="5">
        <f>K1232</f>
        <v>6</v>
      </c>
    </row>
    <row r="1233" spans="1:13" x14ac:dyDescent="0.25">
      <c r="A1233" s="125">
        <v>3302</v>
      </c>
      <c r="B1233" s="46" t="s">
        <v>10</v>
      </c>
      <c r="C1233" s="46" t="s">
        <v>46</v>
      </c>
      <c r="D1233" s="46" t="s">
        <v>146</v>
      </c>
      <c r="E1233" s="46" t="s">
        <v>13</v>
      </c>
      <c r="F1233" s="35">
        <v>1014001</v>
      </c>
      <c r="G1233" t="s">
        <v>543</v>
      </c>
      <c r="H1233" s="4"/>
      <c r="J1233" s="71"/>
      <c r="K1233"/>
      <c r="L1233" s="5"/>
      <c r="M1233"/>
    </row>
    <row r="1234" spans="1:13" x14ac:dyDescent="0.25">
      <c r="A1234" s="16">
        <v>3304</v>
      </c>
      <c r="B1234" s="38" t="s">
        <v>10</v>
      </c>
      <c r="C1234" s="6" t="s">
        <v>136</v>
      </c>
      <c r="D1234" s="6"/>
      <c r="E1234" s="4" t="s">
        <v>13</v>
      </c>
      <c r="F1234" s="46">
        <v>3288001000</v>
      </c>
      <c r="G1234" t="s">
        <v>558</v>
      </c>
      <c r="H1234" s="11" t="s">
        <v>64</v>
      </c>
      <c r="I1234" s="4">
        <v>15</v>
      </c>
      <c r="J1234" s="4" t="s">
        <v>99</v>
      </c>
      <c r="K1234" s="71">
        <v>15</v>
      </c>
      <c r="L1234" t="s">
        <v>21</v>
      </c>
      <c r="M1234" s="5">
        <f>K1234/30</f>
        <v>0.5</v>
      </c>
    </row>
    <row r="1235" spans="1:13" x14ac:dyDescent="0.25">
      <c r="A1235" s="16">
        <v>3305</v>
      </c>
      <c r="B1235" s="38" t="s">
        <v>10</v>
      </c>
      <c r="C1235" s="38" t="s">
        <v>92</v>
      </c>
      <c r="D1235" s="6"/>
      <c r="E1235" s="4" t="s">
        <v>13</v>
      </c>
      <c r="F1235" s="46">
        <v>3288001000</v>
      </c>
      <c r="G1235" t="s">
        <v>558</v>
      </c>
      <c r="H1235" s="11" t="s">
        <v>64</v>
      </c>
      <c r="I1235" s="4">
        <v>15</v>
      </c>
      <c r="J1235" s="4" t="s">
        <v>99</v>
      </c>
      <c r="K1235" s="71">
        <v>15</v>
      </c>
      <c r="L1235" t="s">
        <v>21</v>
      </c>
      <c r="M1235" s="5">
        <f>K1235/30</f>
        <v>0.5</v>
      </c>
    </row>
    <row r="1236" spans="1:13" x14ac:dyDescent="0.25">
      <c r="A1236" s="16">
        <v>3308</v>
      </c>
      <c r="B1236" s="6" t="s">
        <v>140</v>
      </c>
      <c r="C1236" s="6" t="s">
        <v>141</v>
      </c>
      <c r="D1236" s="6"/>
      <c r="E1236" s="4" t="s">
        <v>13</v>
      </c>
      <c r="F1236" s="46">
        <v>1014001</v>
      </c>
      <c r="G1236" t="s">
        <v>543</v>
      </c>
    </row>
    <row r="1237" spans="1:13" x14ac:dyDescent="0.25">
      <c r="A1237" s="16">
        <v>3309</v>
      </c>
      <c r="B1237" s="38" t="s">
        <v>10</v>
      </c>
      <c r="C1237" s="38" t="s">
        <v>92</v>
      </c>
      <c r="D1237" s="6"/>
      <c r="E1237" s="4" t="s">
        <v>13</v>
      </c>
      <c r="F1237" s="46">
        <v>3288001000</v>
      </c>
      <c r="G1237" t="s">
        <v>558</v>
      </c>
      <c r="H1237" s="11" t="s">
        <v>64</v>
      </c>
      <c r="I1237" s="4">
        <v>15</v>
      </c>
      <c r="J1237" s="4" t="s">
        <v>99</v>
      </c>
      <c r="K1237" s="71">
        <v>15</v>
      </c>
      <c r="L1237" t="s">
        <v>21</v>
      </c>
      <c r="M1237" s="5">
        <f>K1237/30</f>
        <v>0.5</v>
      </c>
    </row>
    <row r="1238" spans="1:13" x14ac:dyDescent="0.25">
      <c r="A1238" s="16">
        <v>3310</v>
      </c>
      <c r="B1238" s="6" t="s">
        <v>18</v>
      </c>
      <c r="C1238" s="6" t="s">
        <v>136</v>
      </c>
      <c r="D1238" s="6"/>
      <c r="E1238" s="4" t="s">
        <v>13</v>
      </c>
      <c r="F1238" s="3">
        <v>3042088001</v>
      </c>
      <c r="G1238" s="11" t="s">
        <v>137</v>
      </c>
      <c r="H1238" s="11" t="s">
        <v>337</v>
      </c>
      <c r="I1238" s="4" t="s">
        <v>138</v>
      </c>
      <c r="J1238" s="4" t="s">
        <v>139</v>
      </c>
      <c r="K1238" s="71">
        <v>2</v>
      </c>
      <c r="L1238" t="s">
        <v>17</v>
      </c>
      <c r="M1238" s="5">
        <f>K1238/7</f>
        <v>0.2857142857142857</v>
      </c>
    </row>
    <row r="1239" spans="1:13" x14ac:dyDescent="0.25">
      <c r="A1239" s="16">
        <v>3312</v>
      </c>
      <c r="B1239" s="6" t="s">
        <v>10</v>
      </c>
      <c r="C1239" s="6" t="s">
        <v>92</v>
      </c>
      <c r="D1239" s="6"/>
      <c r="E1239" s="4" t="s">
        <v>13</v>
      </c>
      <c r="F1239" s="46">
        <v>1014001</v>
      </c>
      <c r="G1239" t="s">
        <v>543</v>
      </c>
    </row>
    <row r="1240" spans="1:13" x14ac:dyDescent="0.25">
      <c r="A1240" s="125">
        <v>3313</v>
      </c>
      <c r="B1240" s="46" t="s">
        <v>10</v>
      </c>
      <c r="C1240" s="46" t="s">
        <v>136</v>
      </c>
      <c r="D1240" s="46" t="s">
        <v>784</v>
      </c>
      <c r="E1240" s="4" t="s">
        <v>13</v>
      </c>
      <c r="F1240" s="46">
        <v>2789001000</v>
      </c>
      <c r="G1240" t="s">
        <v>644</v>
      </c>
      <c r="H1240" t="s">
        <v>859</v>
      </c>
      <c r="I1240" s="4" t="s">
        <v>239</v>
      </c>
      <c r="J1240" s="4" t="s">
        <v>523</v>
      </c>
      <c r="K1240" s="71">
        <v>1</v>
      </c>
      <c r="L1240" t="s">
        <v>17</v>
      </c>
      <c r="M1240" s="5">
        <f>K1240/7</f>
        <v>0.14285714285714285</v>
      </c>
    </row>
    <row r="1241" spans="1:13" x14ac:dyDescent="0.25">
      <c r="A1241" s="16">
        <v>3314</v>
      </c>
      <c r="B1241" s="6" t="s">
        <v>184</v>
      </c>
      <c r="C1241" s="6" t="s">
        <v>383</v>
      </c>
      <c r="D1241" s="6" t="s">
        <v>40</v>
      </c>
      <c r="E1241" s="4" t="s">
        <v>13</v>
      </c>
      <c r="F1241" s="3">
        <v>3042095001</v>
      </c>
      <c r="G1241" s="11" t="s">
        <v>409</v>
      </c>
      <c r="H1241" s="11" t="s">
        <v>407</v>
      </c>
      <c r="I1241" s="4" t="s">
        <v>280</v>
      </c>
      <c r="J1241" s="4" t="s">
        <v>381</v>
      </c>
      <c r="K1241" s="71">
        <v>2</v>
      </c>
      <c r="L1241" t="s">
        <v>37</v>
      </c>
      <c r="M1241" s="5">
        <f>K1241</f>
        <v>2</v>
      </c>
    </row>
    <row r="1242" spans="1:13" x14ac:dyDescent="0.25">
      <c r="A1242" s="16">
        <v>3315</v>
      </c>
      <c r="B1242" s="6" t="s">
        <v>10</v>
      </c>
      <c r="C1242" s="6" t="s">
        <v>136</v>
      </c>
      <c r="D1242" s="6"/>
      <c r="E1242" s="4" t="s">
        <v>13</v>
      </c>
      <c r="F1242" s="3">
        <v>3042088001</v>
      </c>
      <c r="G1242" s="11" t="s">
        <v>137</v>
      </c>
      <c r="H1242" s="11" t="s">
        <v>337</v>
      </c>
      <c r="I1242" s="4" t="s">
        <v>144</v>
      </c>
      <c r="J1242" s="4" t="s">
        <v>145</v>
      </c>
      <c r="K1242" s="71">
        <v>2</v>
      </c>
      <c r="L1242" t="s">
        <v>17</v>
      </c>
      <c r="M1242" s="5">
        <f>K1242/7</f>
        <v>0.2857142857142857</v>
      </c>
    </row>
    <row r="1243" spans="1:13" x14ac:dyDescent="0.25">
      <c r="A1243" s="16">
        <v>3317</v>
      </c>
      <c r="B1243" s="6" t="s">
        <v>148</v>
      </c>
      <c r="C1243" s="6" t="s">
        <v>150</v>
      </c>
      <c r="D1243" s="6" t="s">
        <v>151</v>
      </c>
      <c r="E1243" s="4" t="s">
        <v>13</v>
      </c>
      <c r="F1243" s="3">
        <v>3042088002</v>
      </c>
      <c r="G1243" s="11" t="s">
        <v>147</v>
      </c>
      <c r="H1243" s="11" t="s">
        <v>337</v>
      </c>
      <c r="I1243" s="4" t="s">
        <v>152</v>
      </c>
      <c r="J1243" s="4" t="s">
        <v>139</v>
      </c>
      <c r="K1243" s="71">
        <v>6</v>
      </c>
      <c r="L1243" t="s">
        <v>17</v>
      </c>
      <c r="M1243" s="5">
        <f>K1243/7</f>
        <v>0.8571428571428571</v>
      </c>
    </row>
    <row r="1244" spans="1:13" x14ac:dyDescent="0.25">
      <c r="A1244" s="126">
        <v>3319</v>
      </c>
      <c r="B1244" s="41" t="s">
        <v>119</v>
      </c>
      <c r="C1244" s="41" t="s">
        <v>120</v>
      </c>
      <c r="D1244" s="41" t="s">
        <v>81</v>
      </c>
      <c r="E1244" s="4" t="s">
        <v>13</v>
      </c>
      <c r="F1244" s="58">
        <v>2548020000</v>
      </c>
      <c r="G1244" s="11" t="s">
        <v>237</v>
      </c>
      <c r="H1244" t="s">
        <v>227</v>
      </c>
      <c r="I1244" s="4" t="s">
        <v>231</v>
      </c>
      <c r="J1244" s="4" t="s">
        <v>231</v>
      </c>
      <c r="K1244" s="71">
        <v>0</v>
      </c>
      <c r="L1244" t="str">
        <f>J1244</f>
        <v>back up</v>
      </c>
      <c r="M1244" s="5">
        <v>0</v>
      </c>
    </row>
    <row r="1245" spans="1:13" x14ac:dyDescent="0.25">
      <c r="A1245" s="16">
        <v>3320</v>
      </c>
      <c r="B1245" s="46" t="s">
        <v>10</v>
      </c>
      <c r="C1245" s="46" t="s">
        <v>136</v>
      </c>
      <c r="D1245" s="46" t="s">
        <v>784</v>
      </c>
      <c r="E1245" s="4" t="s">
        <v>13</v>
      </c>
      <c r="F1245" s="3">
        <v>3234002000</v>
      </c>
      <c r="G1245" t="s">
        <v>839</v>
      </c>
      <c r="H1245" s="4" t="s">
        <v>519</v>
      </c>
      <c r="I1245" s="4">
        <v>16</v>
      </c>
      <c r="J1245" s="4" t="s">
        <v>840</v>
      </c>
      <c r="K1245" s="71">
        <v>16</v>
      </c>
      <c r="L1245" t="s">
        <v>21</v>
      </c>
      <c r="M1245">
        <f>K1245/30</f>
        <v>0.53333333333333333</v>
      </c>
    </row>
    <row r="1246" spans="1:13" x14ac:dyDescent="0.25">
      <c r="A1246" s="94">
        <v>3321</v>
      </c>
      <c r="B1246" s="3" t="s">
        <v>148</v>
      </c>
      <c r="C1246" s="3" t="s">
        <v>101</v>
      </c>
      <c r="D1246" s="3" t="s">
        <v>786</v>
      </c>
      <c r="E1246" s="4" t="s">
        <v>13</v>
      </c>
      <c r="F1246" s="3">
        <v>157004000</v>
      </c>
      <c r="G1246" t="s">
        <v>626</v>
      </c>
      <c r="H1246" t="s">
        <v>829</v>
      </c>
      <c r="M1246"/>
    </row>
    <row r="1247" spans="1:13" x14ac:dyDescent="0.25">
      <c r="A1247" s="16">
        <v>3330</v>
      </c>
      <c r="B1247" s="6" t="s">
        <v>31</v>
      </c>
      <c r="C1247" s="6" t="s">
        <v>32</v>
      </c>
      <c r="D1247" s="6" t="s">
        <v>445</v>
      </c>
      <c r="E1247" s="4" t="s">
        <v>13</v>
      </c>
      <c r="F1247" s="3">
        <v>66011000</v>
      </c>
      <c r="G1247" s="11" t="s">
        <v>440</v>
      </c>
      <c r="H1247" s="11" t="s">
        <v>521</v>
      </c>
      <c r="I1247" s="4" t="s">
        <v>494</v>
      </c>
      <c r="J1247" s="4" t="s">
        <v>523</v>
      </c>
      <c r="K1247" s="71">
        <v>4</v>
      </c>
      <c r="L1247" t="s">
        <v>17</v>
      </c>
      <c r="M1247" s="5">
        <f>K1247/7</f>
        <v>0.5714285714285714</v>
      </c>
    </row>
    <row r="1248" spans="1:13" x14ac:dyDescent="0.25">
      <c r="A1248" s="16">
        <v>3343</v>
      </c>
      <c r="B1248" s="6" t="s">
        <v>10</v>
      </c>
      <c r="C1248" s="6" t="s">
        <v>385</v>
      </c>
      <c r="D1248" s="6"/>
      <c r="E1248" s="4" t="s">
        <v>13</v>
      </c>
      <c r="F1248" s="46">
        <v>1068022000</v>
      </c>
      <c r="G1248" t="s">
        <v>714</v>
      </c>
      <c r="H1248" s="11" t="s">
        <v>380</v>
      </c>
      <c r="I1248" s="4" t="s">
        <v>290</v>
      </c>
      <c r="J1248" s="4" t="s">
        <v>381</v>
      </c>
      <c r="K1248" s="71">
        <v>1</v>
      </c>
      <c r="L1248" t="s">
        <v>37</v>
      </c>
      <c r="M1248" s="5">
        <f>K1248</f>
        <v>1</v>
      </c>
    </row>
    <row r="1249" spans="1:13" x14ac:dyDescent="0.25">
      <c r="A1249" s="16">
        <v>3344</v>
      </c>
      <c r="B1249" s="6" t="s">
        <v>10</v>
      </c>
      <c r="C1249" s="6" t="s">
        <v>32</v>
      </c>
      <c r="D1249" s="6" t="s">
        <v>153</v>
      </c>
      <c r="E1249" s="4" t="s">
        <v>13</v>
      </c>
      <c r="F1249" s="3">
        <v>3317001000</v>
      </c>
      <c r="G1249" s="11" t="s">
        <v>193</v>
      </c>
      <c r="H1249" s="11" t="s">
        <v>337</v>
      </c>
      <c r="I1249" s="4" t="s">
        <v>144</v>
      </c>
      <c r="J1249" s="4" t="s">
        <v>139</v>
      </c>
      <c r="K1249" s="71">
        <v>1</v>
      </c>
      <c r="L1249" t="s">
        <v>17</v>
      </c>
      <c r="M1249" s="5">
        <f>K1249/7</f>
        <v>0.14285714285714285</v>
      </c>
    </row>
    <row r="1250" spans="1:13" x14ac:dyDescent="0.25">
      <c r="A1250" s="125">
        <v>3350</v>
      </c>
      <c r="B1250" s="46" t="s">
        <v>10</v>
      </c>
      <c r="C1250" s="46" t="s">
        <v>11</v>
      </c>
      <c r="D1250" s="46" t="s">
        <v>784</v>
      </c>
      <c r="E1250" s="4" t="s">
        <v>13</v>
      </c>
      <c r="F1250" s="46">
        <v>1165000000</v>
      </c>
      <c r="G1250" t="s">
        <v>559</v>
      </c>
      <c r="H1250" t="s">
        <v>856</v>
      </c>
      <c r="I1250" s="4" t="s">
        <v>493</v>
      </c>
      <c r="J1250" s="4" t="s">
        <v>523</v>
      </c>
      <c r="K1250" s="71">
        <v>2</v>
      </c>
      <c r="L1250" t="s">
        <v>17</v>
      </c>
      <c r="M1250" s="5">
        <f>K1250/7</f>
        <v>0.2857142857142857</v>
      </c>
    </row>
    <row r="1251" spans="1:13" x14ac:dyDescent="0.25">
      <c r="A1251" s="125">
        <v>3354</v>
      </c>
      <c r="B1251" s="46" t="s">
        <v>43</v>
      </c>
      <c r="C1251" s="46" t="s">
        <v>46</v>
      </c>
      <c r="D1251" s="46">
        <v>1500</v>
      </c>
      <c r="E1251" s="46" t="s">
        <v>13</v>
      </c>
      <c r="F1251" s="35">
        <v>1014001</v>
      </c>
      <c r="G1251" t="s">
        <v>543</v>
      </c>
      <c r="H1251" s="4"/>
      <c r="J1251" s="71"/>
      <c r="K1251"/>
      <c r="L1251" s="5"/>
      <c r="M1251"/>
    </row>
    <row r="1252" spans="1:13" x14ac:dyDescent="0.25">
      <c r="A1252" s="16">
        <v>3355</v>
      </c>
      <c r="B1252" s="46" t="s">
        <v>18</v>
      </c>
      <c r="C1252" s="46" t="s">
        <v>792</v>
      </c>
      <c r="D1252" s="46">
        <v>1000</v>
      </c>
      <c r="E1252" s="4" t="s">
        <v>13</v>
      </c>
      <c r="F1252" s="3">
        <v>3265001000</v>
      </c>
      <c r="G1252" t="s">
        <v>843</v>
      </c>
      <c r="H1252" t="s">
        <v>842</v>
      </c>
      <c r="I1252" s="4" t="s">
        <v>231</v>
      </c>
      <c r="J1252" s="4" t="s">
        <v>231</v>
      </c>
      <c r="K1252" s="71">
        <v>0</v>
      </c>
      <c r="L1252" t="str">
        <f>J1252</f>
        <v>back up</v>
      </c>
      <c r="M1252">
        <v>0</v>
      </c>
    </row>
    <row r="1253" spans="1:13" x14ac:dyDescent="0.25">
      <c r="A1253" s="16">
        <v>3364</v>
      </c>
      <c r="B1253" s="6" t="s">
        <v>10</v>
      </c>
      <c r="C1253" s="6" t="s">
        <v>11</v>
      </c>
      <c r="D1253" s="6" t="s">
        <v>173</v>
      </c>
      <c r="E1253" s="4" t="s">
        <v>13</v>
      </c>
      <c r="F1253" s="3">
        <v>1652002001</v>
      </c>
      <c r="G1253" s="11" t="s">
        <v>292</v>
      </c>
      <c r="H1253" s="11" t="s">
        <v>338</v>
      </c>
      <c r="I1253" s="4" t="s">
        <v>294</v>
      </c>
      <c r="J1253" s="4" t="s">
        <v>293</v>
      </c>
      <c r="K1253" s="71">
        <v>0.5</v>
      </c>
      <c r="L1253" t="s">
        <v>17</v>
      </c>
      <c r="M1253" s="5">
        <f>K1253/7</f>
        <v>7.1428571428571425E-2</v>
      </c>
    </row>
    <row r="1254" spans="1:13" x14ac:dyDescent="0.25">
      <c r="A1254" s="16">
        <v>3365</v>
      </c>
      <c r="B1254" s="6" t="s">
        <v>10</v>
      </c>
      <c r="C1254" s="6" t="s">
        <v>121</v>
      </c>
      <c r="D1254" s="6" t="s">
        <v>122</v>
      </c>
      <c r="E1254" s="4" t="s">
        <v>13</v>
      </c>
      <c r="F1254" s="3">
        <v>3288001000</v>
      </c>
      <c r="G1254" s="11" t="s">
        <v>117</v>
      </c>
      <c r="H1254" s="11" t="s">
        <v>64</v>
      </c>
      <c r="I1254" s="4">
        <v>2</v>
      </c>
      <c r="J1254" s="4" t="s">
        <v>532</v>
      </c>
      <c r="K1254" s="71">
        <v>2</v>
      </c>
      <c r="L1254" t="s">
        <v>21</v>
      </c>
      <c r="M1254" s="5">
        <f>K1254/30</f>
        <v>6.6666666666666666E-2</v>
      </c>
    </row>
    <row r="1255" spans="1:13" x14ac:dyDescent="0.25">
      <c r="A1255" s="125">
        <v>3369</v>
      </c>
      <c r="B1255" s="46" t="s">
        <v>18</v>
      </c>
      <c r="C1255" s="46" t="s">
        <v>46</v>
      </c>
      <c r="D1255" s="46" t="s">
        <v>795</v>
      </c>
      <c r="E1255" s="46" t="s">
        <v>13</v>
      </c>
      <c r="F1255" s="35">
        <v>1014001</v>
      </c>
      <c r="G1255" t="s">
        <v>543</v>
      </c>
      <c r="H1255" s="4"/>
      <c r="J1255" s="71"/>
      <c r="K1255"/>
      <c r="L1255" s="5"/>
      <c r="M1255"/>
    </row>
    <row r="1256" spans="1:13" x14ac:dyDescent="0.25">
      <c r="A1256" s="16">
        <v>3383</v>
      </c>
      <c r="B1256" s="6" t="s">
        <v>10</v>
      </c>
      <c r="C1256" s="6" t="s">
        <v>59</v>
      </c>
      <c r="D1256" s="6" t="s">
        <v>73</v>
      </c>
      <c r="E1256" s="4" t="s">
        <v>13</v>
      </c>
      <c r="F1256" s="3">
        <v>165001000</v>
      </c>
      <c r="G1256" s="11" t="s">
        <v>319</v>
      </c>
      <c r="H1256" s="11" t="s">
        <v>338</v>
      </c>
      <c r="I1256" s="4" t="s">
        <v>320</v>
      </c>
      <c r="J1256" s="4" t="s">
        <v>17</v>
      </c>
      <c r="K1256" s="71">
        <v>26</v>
      </c>
      <c r="L1256" t="s">
        <v>17</v>
      </c>
      <c r="M1256" s="5">
        <f>K1256/7</f>
        <v>3.7142857142857144</v>
      </c>
    </row>
    <row r="1257" spans="1:13" x14ac:dyDescent="0.25">
      <c r="A1257" s="16">
        <v>3384</v>
      </c>
      <c r="B1257" s="6" t="s">
        <v>10</v>
      </c>
      <c r="C1257" s="6" t="s">
        <v>59</v>
      </c>
      <c r="D1257" s="6" t="s">
        <v>73</v>
      </c>
      <c r="E1257" s="4" t="s">
        <v>13</v>
      </c>
      <c r="F1257" s="3">
        <v>165001000</v>
      </c>
      <c r="G1257" s="11" t="s">
        <v>319</v>
      </c>
      <c r="H1257" s="11" t="s">
        <v>338</v>
      </c>
      <c r="I1257" s="4" t="s">
        <v>320</v>
      </c>
      <c r="J1257" s="4" t="s">
        <v>17</v>
      </c>
      <c r="K1257" s="71">
        <v>26</v>
      </c>
      <c r="L1257" t="s">
        <v>17</v>
      </c>
      <c r="M1257" s="5">
        <f>K1257/7</f>
        <v>3.7142857142857144</v>
      </c>
    </row>
    <row r="1258" spans="1:13" x14ac:dyDescent="0.25">
      <c r="A1258" s="16">
        <v>3385</v>
      </c>
      <c r="B1258" s="6" t="s">
        <v>10</v>
      </c>
      <c r="C1258" s="6" t="s">
        <v>11</v>
      </c>
      <c r="D1258" s="6" t="s">
        <v>173</v>
      </c>
      <c r="E1258" s="4" t="s">
        <v>13</v>
      </c>
      <c r="F1258" s="3">
        <v>165001000</v>
      </c>
      <c r="G1258" s="11" t="s">
        <v>319</v>
      </c>
      <c r="H1258" s="11" t="s">
        <v>338</v>
      </c>
      <c r="I1258" s="4" t="s">
        <v>320</v>
      </c>
      <c r="J1258" s="4" t="s">
        <v>17</v>
      </c>
      <c r="K1258" s="71">
        <v>26</v>
      </c>
      <c r="L1258" t="s">
        <v>17</v>
      </c>
      <c r="M1258" s="5">
        <f>K1258/7</f>
        <v>3.7142857142857144</v>
      </c>
    </row>
    <row r="1259" spans="1:13" x14ac:dyDescent="0.25">
      <c r="A1259" s="16">
        <v>3386</v>
      </c>
      <c r="B1259" s="6" t="s">
        <v>10</v>
      </c>
      <c r="C1259" s="6" t="s">
        <v>11</v>
      </c>
      <c r="D1259" s="6" t="s">
        <v>173</v>
      </c>
      <c r="E1259" s="4" t="s">
        <v>13</v>
      </c>
      <c r="F1259" s="3">
        <v>1068023000</v>
      </c>
      <c r="G1259" s="11" t="s">
        <v>174</v>
      </c>
      <c r="H1259" s="11" t="s">
        <v>337</v>
      </c>
      <c r="I1259" s="4" t="s">
        <v>144</v>
      </c>
      <c r="J1259" s="4" t="s">
        <v>172</v>
      </c>
      <c r="K1259" s="71">
        <v>3</v>
      </c>
      <c r="L1259" t="s">
        <v>17</v>
      </c>
      <c r="M1259" s="5">
        <f>K1259/7</f>
        <v>0.42857142857142855</v>
      </c>
    </row>
    <row r="1260" spans="1:13" x14ac:dyDescent="0.25">
      <c r="A1260" s="16">
        <v>3388</v>
      </c>
      <c r="B1260" s="6" t="s">
        <v>140</v>
      </c>
      <c r="C1260" s="6" t="s">
        <v>141</v>
      </c>
      <c r="D1260" s="6"/>
      <c r="E1260" s="4" t="s">
        <v>13</v>
      </c>
      <c r="F1260" s="3">
        <v>3317001000</v>
      </c>
      <c r="G1260" s="11" t="s">
        <v>193</v>
      </c>
      <c r="H1260" s="11" t="s">
        <v>337</v>
      </c>
      <c r="I1260" s="4" t="s">
        <v>142</v>
      </c>
      <c r="J1260" s="4" t="s">
        <v>143</v>
      </c>
      <c r="K1260" s="71">
        <v>4</v>
      </c>
      <c r="L1260" t="s">
        <v>37</v>
      </c>
      <c r="M1260" s="5">
        <f>K1260</f>
        <v>4</v>
      </c>
    </row>
    <row r="1261" spans="1:13" x14ac:dyDescent="0.25">
      <c r="A1261" s="16">
        <v>3394</v>
      </c>
      <c r="B1261" s="6" t="s">
        <v>10</v>
      </c>
      <c r="C1261" s="6" t="s">
        <v>473</v>
      </c>
      <c r="D1261" s="6" t="s">
        <v>40</v>
      </c>
      <c r="E1261" s="4" t="s">
        <v>13</v>
      </c>
      <c r="F1261" s="3">
        <v>1967012000</v>
      </c>
      <c r="G1261" s="11" t="s">
        <v>454</v>
      </c>
      <c r="H1261" s="11" t="s">
        <v>467</v>
      </c>
      <c r="I1261" s="4">
        <v>1</v>
      </c>
      <c r="J1261" s="4" t="s">
        <v>532</v>
      </c>
      <c r="K1261" s="71">
        <v>1</v>
      </c>
      <c r="L1261" t="s">
        <v>21</v>
      </c>
      <c r="M1261" s="5">
        <f>K1261/30</f>
        <v>3.3333333333333333E-2</v>
      </c>
    </row>
    <row r="1262" spans="1:13" x14ac:dyDescent="0.25">
      <c r="A1262" s="93">
        <v>3396</v>
      </c>
      <c r="B1262" s="50" t="s">
        <v>10</v>
      </c>
      <c r="C1262" s="50" t="s">
        <v>59</v>
      </c>
      <c r="D1262" s="50" t="s">
        <v>60</v>
      </c>
      <c r="E1262" s="4" t="s">
        <v>13</v>
      </c>
      <c r="F1262" s="59">
        <v>2962003000</v>
      </c>
      <c r="G1262" s="51" t="s">
        <v>230</v>
      </c>
      <c r="H1262" s="90"/>
      <c r="I1262" s="48"/>
      <c r="J1262" s="53"/>
      <c r="K1262" s="108"/>
      <c r="L1262" s="47"/>
      <c r="M1262" s="49"/>
    </row>
    <row r="1263" spans="1:13" x14ac:dyDescent="0.25">
      <c r="A1263" s="123">
        <v>3398</v>
      </c>
      <c r="B1263" s="76" t="s">
        <v>769</v>
      </c>
      <c r="C1263" s="76" t="s">
        <v>796</v>
      </c>
      <c r="E1263" s="4" t="s">
        <v>13</v>
      </c>
      <c r="F1263" s="76">
        <v>1925001000</v>
      </c>
      <c r="G1263" t="s">
        <v>624</v>
      </c>
      <c r="H1263" t="s">
        <v>879</v>
      </c>
      <c r="I1263" s="4" t="s">
        <v>891</v>
      </c>
      <c r="J1263" s="4" t="s">
        <v>492</v>
      </c>
      <c r="K1263" s="71">
        <v>6</v>
      </c>
      <c r="L1263" t="s">
        <v>37</v>
      </c>
      <c r="M1263">
        <f>K1263</f>
        <v>6</v>
      </c>
    </row>
    <row r="1264" spans="1:13" x14ac:dyDescent="0.25">
      <c r="A1264" s="16">
        <v>3402</v>
      </c>
      <c r="B1264" s="6" t="s">
        <v>18</v>
      </c>
      <c r="C1264" s="6" t="s">
        <v>11</v>
      </c>
      <c r="D1264" s="6" t="s">
        <v>19</v>
      </c>
      <c r="E1264" s="4" t="s">
        <v>13</v>
      </c>
      <c r="F1264" s="3">
        <v>3300200000</v>
      </c>
      <c r="G1264" s="11" t="s">
        <v>89</v>
      </c>
      <c r="H1264" s="11" t="s">
        <v>64</v>
      </c>
      <c r="I1264" s="4">
        <v>40</v>
      </c>
      <c r="J1264" s="4" t="s">
        <v>90</v>
      </c>
      <c r="K1264" s="71">
        <v>40</v>
      </c>
      <c r="L1264" t="s">
        <v>21</v>
      </c>
      <c r="M1264" s="5">
        <f>K1264/30</f>
        <v>1.3333333333333333</v>
      </c>
    </row>
    <row r="1265" spans="1:13" x14ac:dyDescent="0.25">
      <c r="A1265" s="16">
        <v>3405</v>
      </c>
      <c r="B1265" s="6" t="s">
        <v>18</v>
      </c>
      <c r="C1265" s="6" t="s">
        <v>11</v>
      </c>
      <c r="D1265" s="6" t="s">
        <v>19</v>
      </c>
      <c r="E1265" s="4" t="s">
        <v>13</v>
      </c>
      <c r="F1265" s="3">
        <v>1068023000</v>
      </c>
      <c r="G1265" s="11" t="s">
        <v>175</v>
      </c>
      <c r="H1265" s="11" t="s">
        <v>337</v>
      </c>
      <c r="I1265" s="4" t="s">
        <v>144</v>
      </c>
      <c r="J1265" s="4" t="s">
        <v>169</v>
      </c>
      <c r="K1265" s="71">
        <v>2</v>
      </c>
      <c r="L1265" t="s">
        <v>21</v>
      </c>
      <c r="M1265" s="5">
        <f>K1265/30</f>
        <v>6.6666666666666666E-2</v>
      </c>
    </row>
    <row r="1266" spans="1:13" x14ac:dyDescent="0.25">
      <c r="A1266" s="125">
        <v>3406</v>
      </c>
      <c r="B1266" s="46" t="s">
        <v>10</v>
      </c>
      <c r="C1266" s="46" t="s">
        <v>136</v>
      </c>
      <c r="D1266" s="46" t="s">
        <v>795</v>
      </c>
      <c r="E1266" s="46" t="s">
        <v>13</v>
      </c>
      <c r="F1266" s="35">
        <v>1014001</v>
      </c>
      <c r="G1266" t="s">
        <v>543</v>
      </c>
      <c r="H1266" s="4"/>
      <c r="J1266" s="71"/>
      <c r="K1266"/>
      <c r="L1266" s="5"/>
      <c r="M1266"/>
    </row>
    <row r="1267" spans="1:13" x14ac:dyDescent="0.25">
      <c r="A1267" s="16">
        <v>3416</v>
      </c>
      <c r="B1267" s="6" t="s">
        <v>196</v>
      </c>
      <c r="C1267" s="6" t="s">
        <v>197</v>
      </c>
      <c r="D1267" s="6" t="s">
        <v>198</v>
      </c>
      <c r="E1267" s="4" t="s">
        <v>13</v>
      </c>
      <c r="F1267" s="46">
        <v>3318001000</v>
      </c>
      <c r="G1267" s="11" t="s">
        <v>531</v>
      </c>
      <c r="H1267" s="11" t="s">
        <v>339</v>
      </c>
      <c r="I1267" s="4">
        <v>4</v>
      </c>
      <c r="J1267" s="4" t="s">
        <v>532</v>
      </c>
      <c r="K1267" s="71">
        <v>4</v>
      </c>
      <c r="L1267" t="s">
        <v>21</v>
      </c>
      <c r="M1267" s="5">
        <f>K1267/30</f>
        <v>0.13333333333333333</v>
      </c>
    </row>
    <row r="1268" spans="1:13" x14ac:dyDescent="0.25">
      <c r="A1268" s="16">
        <v>3418</v>
      </c>
      <c r="B1268" s="6" t="s">
        <v>403</v>
      </c>
      <c r="C1268" s="6" t="s">
        <v>121</v>
      </c>
      <c r="D1268" s="6" t="s">
        <v>446</v>
      </c>
      <c r="E1268" s="4" t="s">
        <v>13</v>
      </c>
      <c r="F1268" s="3">
        <v>66011000</v>
      </c>
      <c r="G1268" s="11" t="s">
        <v>440</v>
      </c>
      <c r="H1268" t="s">
        <v>521</v>
      </c>
      <c r="I1268" s="4" t="s">
        <v>522</v>
      </c>
      <c r="J1268" s="4" t="s">
        <v>522</v>
      </c>
      <c r="K1268" s="71">
        <v>0</v>
      </c>
      <c r="L1268" t="str">
        <f>J1268</f>
        <v>Operativos</v>
      </c>
      <c r="M1268" s="5">
        <f>K1268</f>
        <v>0</v>
      </c>
    </row>
    <row r="1269" spans="1:13" x14ac:dyDescent="0.25">
      <c r="A1269" s="16">
        <v>3424</v>
      </c>
      <c r="B1269" s="6" t="s">
        <v>10</v>
      </c>
      <c r="C1269" s="6" t="s">
        <v>11</v>
      </c>
      <c r="D1269" s="6" t="s">
        <v>325</v>
      </c>
      <c r="E1269" s="4" t="s">
        <v>13</v>
      </c>
      <c r="F1269" s="3">
        <v>165001000</v>
      </c>
      <c r="G1269" s="11" t="s">
        <v>319</v>
      </c>
      <c r="H1269" s="11" t="s">
        <v>338</v>
      </c>
      <c r="I1269" s="4" t="s">
        <v>320</v>
      </c>
      <c r="J1269" s="4" t="s">
        <v>17</v>
      </c>
      <c r="K1269" s="71">
        <v>26</v>
      </c>
      <c r="L1269" t="s">
        <v>17</v>
      </c>
      <c r="M1269" s="5">
        <f>K1269/7</f>
        <v>3.7142857142857144</v>
      </c>
    </row>
    <row r="1270" spans="1:13" x14ac:dyDescent="0.25">
      <c r="A1270" s="16">
        <v>3425</v>
      </c>
      <c r="B1270" s="42" t="s">
        <v>148</v>
      </c>
      <c r="C1270" s="42" t="s">
        <v>149</v>
      </c>
      <c r="D1270" s="42" t="s">
        <v>229</v>
      </c>
      <c r="E1270" s="18" t="s">
        <v>13</v>
      </c>
      <c r="F1270" s="11">
        <v>106001000</v>
      </c>
      <c r="G1270" s="31" t="s">
        <v>429</v>
      </c>
      <c r="H1270" s="31" t="s">
        <v>428</v>
      </c>
      <c r="I1270" s="4">
        <v>1</v>
      </c>
      <c r="J1270" s="18" t="s">
        <v>513</v>
      </c>
      <c r="K1270" s="71">
        <v>1</v>
      </c>
      <c r="L1270" t="s">
        <v>37</v>
      </c>
      <c r="M1270" s="5">
        <f>K1270</f>
        <v>1</v>
      </c>
    </row>
    <row r="1271" spans="1:13" x14ac:dyDescent="0.25">
      <c r="A1271" s="16">
        <v>3438</v>
      </c>
      <c r="B1271" s="6" t="s">
        <v>148</v>
      </c>
      <c r="C1271" s="6" t="s">
        <v>32</v>
      </c>
      <c r="D1271" s="6" t="s">
        <v>447</v>
      </c>
      <c r="E1271" s="4" t="s">
        <v>13</v>
      </c>
      <c r="F1271" s="3">
        <v>66011000</v>
      </c>
      <c r="G1271" s="11" t="s">
        <v>440</v>
      </c>
      <c r="H1271" s="11" t="s">
        <v>521</v>
      </c>
      <c r="I1271" s="4" t="s">
        <v>494</v>
      </c>
      <c r="J1271" s="4" t="s">
        <v>523</v>
      </c>
      <c r="K1271" s="71">
        <v>4</v>
      </c>
      <c r="L1271" t="s">
        <v>17</v>
      </c>
      <c r="M1271" s="5">
        <f>K1271/7</f>
        <v>0.5714285714285714</v>
      </c>
    </row>
    <row r="1272" spans="1:13" x14ac:dyDescent="0.25">
      <c r="A1272" s="125">
        <v>3477</v>
      </c>
      <c r="B1272" s="46" t="s">
        <v>373</v>
      </c>
      <c r="C1272" s="46" t="s">
        <v>800</v>
      </c>
      <c r="D1272" s="46" t="s">
        <v>801</v>
      </c>
      <c r="E1272" s="46" t="s">
        <v>13</v>
      </c>
      <c r="F1272" s="35">
        <v>1014001</v>
      </c>
      <c r="G1272" t="s">
        <v>543</v>
      </c>
      <c r="H1272" s="4"/>
      <c r="J1272" s="71"/>
      <c r="K1272"/>
      <c r="L1272" s="5"/>
      <c r="M1272"/>
    </row>
    <row r="1273" spans="1:13" x14ac:dyDescent="0.25">
      <c r="A1273" s="16">
        <v>3479</v>
      </c>
      <c r="B1273" s="6" t="s">
        <v>148</v>
      </c>
      <c r="C1273" s="6" t="s">
        <v>149</v>
      </c>
      <c r="D1273" s="6"/>
      <c r="E1273" s="4" t="s">
        <v>13</v>
      </c>
      <c r="F1273" s="3">
        <v>3178002000</v>
      </c>
      <c r="G1273" s="11" t="s">
        <v>168</v>
      </c>
      <c r="H1273" s="11" t="s">
        <v>337</v>
      </c>
      <c r="I1273" s="4" t="s">
        <v>138</v>
      </c>
      <c r="J1273" s="4" t="s">
        <v>170</v>
      </c>
      <c r="K1273" s="71">
        <v>2</v>
      </c>
      <c r="L1273" t="s">
        <v>21</v>
      </c>
      <c r="M1273" s="5">
        <f>K1273/30</f>
        <v>6.6666666666666666E-2</v>
      </c>
    </row>
    <row r="1274" spans="1:13" x14ac:dyDescent="0.25">
      <c r="A1274" s="16">
        <v>3495</v>
      </c>
      <c r="B1274" s="6" t="s">
        <v>140</v>
      </c>
      <c r="C1274" s="6" t="s">
        <v>155</v>
      </c>
      <c r="D1274" s="6"/>
      <c r="E1274" s="4" t="s">
        <v>13</v>
      </c>
      <c r="F1274" s="3">
        <v>3042088002</v>
      </c>
      <c r="G1274" s="11" t="s">
        <v>147</v>
      </c>
      <c r="H1274" s="11" t="s">
        <v>337</v>
      </c>
      <c r="I1274" s="4" t="s">
        <v>142</v>
      </c>
      <c r="J1274" s="4" t="s">
        <v>145</v>
      </c>
      <c r="K1274" s="71">
        <v>8</v>
      </c>
      <c r="L1274" t="s">
        <v>17</v>
      </c>
      <c r="M1274" s="5">
        <f>K1274/7</f>
        <v>1.1428571428571428</v>
      </c>
    </row>
    <row r="1275" spans="1:13" x14ac:dyDescent="0.25">
      <c r="A1275" s="125">
        <v>3500</v>
      </c>
      <c r="B1275" s="46" t="s">
        <v>804</v>
      </c>
      <c r="C1275" s="46" t="s">
        <v>805</v>
      </c>
      <c r="D1275" s="46" t="s">
        <v>806</v>
      </c>
      <c r="E1275" s="4" t="s">
        <v>13</v>
      </c>
      <c r="F1275" s="46">
        <v>1925007000</v>
      </c>
      <c r="G1275" t="s">
        <v>721</v>
      </c>
      <c r="H1275" t="s">
        <v>338</v>
      </c>
      <c r="I1275" s="4" t="s">
        <v>862</v>
      </c>
      <c r="J1275" s="4" t="s">
        <v>492</v>
      </c>
      <c r="K1275" s="71">
        <v>5</v>
      </c>
      <c r="L1275" t="s">
        <v>37</v>
      </c>
      <c r="M1275" s="5">
        <f>K1275</f>
        <v>5</v>
      </c>
    </row>
    <row r="1276" spans="1:13" x14ac:dyDescent="0.25">
      <c r="A1276" s="125">
        <v>3505</v>
      </c>
      <c r="B1276" s="46" t="s">
        <v>31</v>
      </c>
      <c r="C1276" s="46" t="s">
        <v>809</v>
      </c>
      <c r="D1276" s="46" t="s">
        <v>810</v>
      </c>
      <c r="E1276" s="4" t="s">
        <v>13</v>
      </c>
      <c r="F1276" s="46">
        <v>2126001000</v>
      </c>
      <c r="G1276" t="s">
        <v>557</v>
      </c>
      <c r="H1276" t="s">
        <v>265</v>
      </c>
      <c r="I1276" s="4" t="s">
        <v>494</v>
      </c>
      <c r="J1276" s="4" t="s">
        <v>873</v>
      </c>
      <c r="K1276" s="71">
        <v>4</v>
      </c>
      <c r="L1276" t="s">
        <v>17</v>
      </c>
      <c r="M1276" s="5">
        <f>K1276/7</f>
        <v>0.5714285714285714</v>
      </c>
    </row>
    <row r="1277" spans="1:13" x14ac:dyDescent="0.25">
      <c r="A1277" s="123">
        <v>3506</v>
      </c>
      <c r="B1277" s="76" t="s">
        <v>31</v>
      </c>
      <c r="C1277" s="76" t="s">
        <v>809</v>
      </c>
      <c r="D1277" s="76" t="s">
        <v>810</v>
      </c>
      <c r="E1277" s="4" t="s">
        <v>13</v>
      </c>
      <c r="F1277" s="76">
        <v>1025000</v>
      </c>
      <c r="G1277" t="s">
        <v>811</v>
      </c>
      <c r="H1277" t="s">
        <v>883</v>
      </c>
      <c r="I1277" s="4" t="s">
        <v>1062</v>
      </c>
      <c r="J1277" s="4" t="s">
        <v>1062</v>
      </c>
      <c r="K1277" s="71">
        <v>0</v>
      </c>
      <c r="L1277" t="str">
        <f>J1277</f>
        <v xml:space="preserve">A pedido </v>
      </c>
      <c r="M1277">
        <v>0</v>
      </c>
    </row>
    <row r="1278" spans="1:13" x14ac:dyDescent="0.25">
      <c r="A1278" s="125">
        <v>3515</v>
      </c>
      <c r="B1278" s="46" t="s">
        <v>10</v>
      </c>
      <c r="C1278" s="46" t="s">
        <v>328</v>
      </c>
      <c r="D1278" s="46" t="s">
        <v>173</v>
      </c>
      <c r="E1278" s="4" t="s">
        <v>13</v>
      </c>
      <c r="F1278" s="46">
        <v>3182006000</v>
      </c>
      <c r="G1278" t="s">
        <v>789</v>
      </c>
      <c r="H1278" t="s">
        <v>338</v>
      </c>
      <c r="I1278" s="4" t="s">
        <v>867</v>
      </c>
      <c r="J1278" s="4" t="s">
        <v>492</v>
      </c>
      <c r="K1278" s="71">
        <v>3</v>
      </c>
      <c r="L1278" t="s">
        <v>37</v>
      </c>
      <c r="M1278" s="5">
        <f>K1278</f>
        <v>3</v>
      </c>
    </row>
    <row r="1279" spans="1:13" x14ac:dyDescent="0.25">
      <c r="A1279" s="123">
        <v>3516</v>
      </c>
      <c r="B1279" s="76" t="s">
        <v>10</v>
      </c>
      <c r="C1279" s="76" t="s">
        <v>46</v>
      </c>
      <c r="D1279" s="76" t="s">
        <v>146</v>
      </c>
      <c r="E1279" s="4" t="s">
        <v>13</v>
      </c>
      <c r="F1279" s="76">
        <v>3234001000</v>
      </c>
      <c r="G1279" t="s">
        <v>565</v>
      </c>
      <c r="H1279" t="s">
        <v>380</v>
      </c>
      <c r="I1279" s="4" t="s">
        <v>867</v>
      </c>
      <c r="J1279" s="4" t="s">
        <v>523</v>
      </c>
      <c r="K1279" s="71">
        <v>3</v>
      </c>
      <c r="L1279" t="s">
        <v>17</v>
      </c>
      <c r="M1279">
        <f>K1279/7</f>
        <v>0.42857142857142855</v>
      </c>
    </row>
    <row r="1280" spans="1:13" x14ac:dyDescent="0.25">
      <c r="A1280" s="123">
        <v>3517</v>
      </c>
      <c r="B1280" s="76" t="s">
        <v>10</v>
      </c>
      <c r="C1280" s="76" t="s">
        <v>46</v>
      </c>
      <c r="D1280" s="76" t="s">
        <v>146</v>
      </c>
      <c r="E1280" s="4" t="s">
        <v>13</v>
      </c>
      <c r="F1280" s="76">
        <v>3234001000</v>
      </c>
      <c r="G1280" t="s">
        <v>565</v>
      </c>
      <c r="H1280" t="s">
        <v>380</v>
      </c>
      <c r="I1280" s="4" t="s">
        <v>867</v>
      </c>
      <c r="J1280" s="4" t="s">
        <v>523</v>
      </c>
      <c r="K1280" s="71">
        <v>3</v>
      </c>
      <c r="L1280" t="s">
        <v>17</v>
      </c>
      <c r="M1280">
        <f>K1280/7</f>
        <v>0.42857142857142855</v>
      </c>
    </row>
    <row r="1281" spans="1:13" x14ac:dyDescent="0.25">
      <c r="A1281" s="127">
        <v>3523</v>
      </c>
      <c r="B1281" s="46" t="s">
        <v>31</v>
      </c>
      <c r="C1281" s="46" t="s">
        <v>809</v>
      </c>
      <c r="D1281" s="46" t="s">
        <v>810</v>
      </c>
      <c r="E1281" s="46" t="s">
        <v>13</v>
      </c>
      <c r="F1281" s="35">
        <v>3379001000</v>
      </c>
      <c r="G1281" t="s">
        <v>813</v>
      </c>
      <c r="H1281" s="4"/>
      <c r="J1281" s="71"/>
      <c r="K1281"/>
      <c r="L1281" s="5"/>
      <c r="M1281"/>
    </row>
    <row r="1282" spans="1:13" x14ac:dyDescent="0.25">
      <c r="A1282" s="127">
        <v>3529</v>
      </c>
      <c r="B1282" s="46" t="s">
        <v>10</v>
      </c>
      <c r="C1282" s="46" t="s">
        <v>46</v>
      </c>
      <c r="D1282" s="46" t="s">
        <v>146</v>
      </c>
      <c r="E1282" s="46" t="s">
        <v>13</v>
      </c>
      <c r="F1282" s="35">
        <v>3379001000</v>
      </c>
      <c r="G1282" t="s">
        <v>813</v>
      </c>
      <c r="H1282" s="4"/>
      <c r="J1282" s="71"/>
      <c r="K1282"/>
      <c r="L1282" s="5"/>
      <c r="M1282"/>
    </row>
    <row r="1283" spans="1:13" x14ac:dyDescent="0.25">
      <c r="A1283" s="16">
        <v>3841</v>
      </c>
      <c r="B1283" s="40" t="s">
        <v>10</v>
      </c>
      <c r="C1283" s="40" t="s">
        <v>326</v>
      </c>
      <c r="D1283" s="40"/>
      <c r="E1283" s="46" t="s">
        <v>13</v>
      </c>
      <c r="F1283" s="61">
        <v>165001000</v>
      </c>
      <c r="G1283" s="12"/>
      <c r="H1283" s="9"/>
      <c r="I1283" s="10"/>
      <c r="J1283" s="10" t="s">
        <v>544</v>
      </c>
      <c r="K1283" s="107">
        <v>0</v>
      </c>
      <c r="L1283" s="9"/>
      <c r="M1283" s="13"/>
    </row>
    <row r="1284" spans="1:13" x14ac:dyDescent="0.25">
      <c r="A1284" s="133">
        <v>10000</v>
      </c>
      <c r="B1284" s="38" t="s">
        <v>10</v>
      </c>
      <c r="C1284" s="38" t="s">
        <v>32</v>
      </c>
      <c r="D1284" s="38" t="s">
        <v>40</v>
      </c>
      <c r="E1284" s="46" t="s">
        <v>13</v>
      </c>
      <c r="F1284" s="62">
        <v>1014001</v>
      </c>
      <c r="G1284" s="11" t="s">
        <v>543</v>
      </c>
    </row>
    <row r="1285" spans="1:13" x14ac:dyDescent="0.25">
      <c r="A1285" s="127">
        <v>20001</v>
      </c>
      <c r="B1285" s="46" t="s">
        <v>1042</v>
      </c>
      <c r="C1285" s="46" t="s">
        <v>1040</v>
      </c>
      <c r="D1285" s="46" t="s">
        <v>1043</v>
      </c>
      <c r="E1285" s="46" t="s">
        <v>13</v>
      </c>
      <c r="F1285" s="35">
        <v>1014001</v>
      </c>
      <c r="G1285" t="s">
        <v>543</v>
      </c>
      <c r="H1285" s="4"/>
      <c r="J1285" s="71"/>
      <c r="K1285"/>
      <c r="L1285" s="5"/>
      <c r="M1285"/>
    </row>
    <row r="1286" spans="1:13" x14ac:dyDescent="0.25">
      <c r="A1286" s="127">
        <v>20004</v>
      </c>
      <c r="B1286" s="46" t="s">
        <v>1042</v>
      </c>
      <c r="C1286" s="46" t="s">
        <v>1040</v>
      </c>
      <c r="D1286" s="46" t="s">
        <v>1043</v>
      </c>
      <c r="E1286" s="46" t="s">
        <v>13</v>
      </c>
      <c r="F1286" s="35">
        <v>1014001</v>
      </c>
      <c r="G1286" t="s">
        <v>543</v>
      </c>
      <c r="H1286" s="4"/>
      <c r="J1286" s="71"/>
      <c r="K1286"/>
      <c r="L1286" s="5"/>
      <c r="M1286"/>
    </row>
    <row r="1287" spans="1:13" x14ac:dyDescent="0.25">
      <c r="A1287" s="127">
        <v>20007</v>
      </c>
      <c r="B1287" s="46" t="s">
        <v>1042</v>
      </c>
      <c r="C1287" s="46" t="s">
        <v>1040</v>
      </c>
      <c r="D1287" s="46" t="s">
        <v>1043</v>
      </c>
      <c r="E1287" s="46" t="s">
        <v>13</v>
      </c>
      <c r="F1287" s="35">
        <v>1014001</v>
      </c>
      <c r="G1287" t="s">
        <v>543</v>
      </c>
      <c r="H1287" s="4"/>
      <c r="J1287" s="71"/>
      <c r="K1287"/>
      <c r="L1287" s="5"/>
      <c r="M1287"/>
    </row>
    <row r="1288" spans="1:13" x14ac:dyDescent="0.25">
      <c r="A1288" s="127">
        <v>20010</v>
      </c>
      <c r="B1288" s="46" t="s">
        <v>1042</v>
      </c>
      <c r="C1288" s="46" t="s">
        <v>1040</v>
      </c>
      <c r="D1288" s="46" t="s">
        <v>1043</v>
      </c>
      <c r="E1288" s="46" t="s">
        <v>13</v>
      </c>
      <c r="F1288" s="35">
        <v>1014001</v>
      </c>
      <c r="G1288" t="s">
        <v>543</v>
      </c>
      <c r="H1288" s="4"/>
      <c r="J1288" s="71"/>
      <c r="K1288"/>
      <c r="L1288" s="5"/>
      <c r="M1288"/>
    </row>
    <row r="1289" spans="1:13" x14ac:dyDescent="0.25">
      <c r="A1289" s="127">
        <v>20013</v>
      </c>
      <c r="B1289" s="46" t="s">
        <v>1042</v>
      </c>
      <c r="C1289" s="46" t="s">
        <v>1040</v>
      </c>
      <c r="D1289" s="46" t="s">
        <v>1047</v>
      </c>
      <c r="E1289" s="46" t="s">
        <v>13</v>
      </c>
      <c r="F1289" s="35">
        <v>1014001</v>
      </c>
      <c r="G1289" t="s">
        <v>543</v>
      </c>
      <c r="H1289" s="4"/>
      <c r="J1289" s="71"/>
      <c r="K1289"/>
      <c r="L1289" s="5"/>
      <c r="M1289"/>
    </row>
    <row r="1290" spans="1:13" x14ac:dyDescent="0.25">
      <c r="A1290" s="127">
        <v>20016</v>
      </c>
      <c r="B1290" s="46" t="s">
        <v>1042</v>
      </c>
      <c r="C1290" s="46" t="s">
        <v>1040</v>
      </c>
      <c r="D1290" s="46" t="s">
        <v>1047</v>
      </c>
      <c r="E1290" s="46" t="s">
        <v>13</v>
      </c>
      <c r="F1290" s="35">
        <v>1014001</v>
      </c>
      <c r="G1290" t="s">
        <v>543</v>
      </c>
      <c r="H1290" s="4"/>
      <c r="J1290" s="71"/>
      <c r="K1290"/>
      <c r="L1290" s="5"/>
      <c r="M1290"/>
    </row>
    <row r="1291" spans="1:13" x14ac:dyDescent="0.25">
      <c r="A1291" s="127">
        <v>20019</v>
      </c>
      <c r="B1291" s="46" t="s">
        <v>1042</v>
      </c>
      <c r="C1291" s="46" t="s">
        <v>1040</v>
      </c>
      <c r="D1291" s="46" t="s">
        <v>1047</v>
      </c>
      <c r="E1291" s="46" t="s">
        <v>13</v>
      </c>
      <c r="F1291" s="35">
        <v>1014001</v>
      </c>
      <c r="G1291" t="s">
        <v>543</v>
      </c>
      <c r="H1291" s="4"/>
      <c r="J1291" s="71"/>
      <c r="K1291"/>
      <c r="L1291" s="5"/>
      <c r="M1291"/>
    </row>
    <row r="1292" spans="1:13" x14ac:dyDescent="0.25">
      <c r="A1292" s="125">
        <v>3244001000</v>
      </c>
      <c r="B1292" s="74" t="s">
        <v>18</v>
      </c>
      <c r="C1292" s="74" t="s">
        <v>11</v>
      </c>
      <c r="D1292" s="75"/>
      <c r="E1292" s="4" t="s">
        <v>13</v>
      </c>
      <c r="F1292" s="74">
        <v>989003001</v>
      </c>
      <c r="G1292" s="75" t="s">
        <v>815</v>
      </c>
      <c r="H1292" s="75" t="s">
        <v>338</v>
      </c>
      <c r="I1292" s="103" t="s">
        <v>231</v>
      </c>
      <c r="J1292" s="103" t="s">
        <v>231</v>
      </c>
      <c r="K1292" s="71">
        <v>0</v>
      </c>
      <c r="L1292" t="str">
        <f>J1292</f>
        <v>back up</v>
      </c>
      <c r="M1292">
        <v>0</v>
      </c>
    </row>
    <row r="1293" spans="1:13" hidden="1" x14ac:dyDescent="0.25">
      <c r="A1293" s="127">
        <v>675</v>
      </c>
      <c r="B1293" s="46" t="s">
        <v>892</v>
      </c>
      <c r="C1293" s="46" t="s">
        <v>893</v>
      </c>
      <c r="D1293" s="46" t="s">
        <v>40</v>
      </c>
      <c r="E1293" s="46" t="s">
        <v>1057</v>
      </c>
      <c r="F1293" s="35">
        <v>1000012</v>
      </c>
      <c r="G1293" t="s">
        <v>570</v>
      </c>
      <c r="H1293" s="4"/>
      <c r="J1293" s="71"/>
      <c r="K1293"/>
      <c r="L1293" s="5"/>
      <c r="M1293"/>
    </row>
    <row r="1294" spans="1:13" hidden="1" x14ac:dyDescent="0.25">
      <c r="A1294" s="127">
        <v>814</v>
      </c>
      <c r="B1294" s="46" t="s">
        <v>894</v>
      </c>
      <c r="C1294" s="46" t="s">
        <v>895</v>
      </c>
      <c r="D1294" s="46" t="s">
        <v>896</v>
      </c>
      <c r="E1294" s="4" t="s">
        <v>1057</v>
      </c>
      <c r="F1294" s="35">
        <v>1000003</v>
      </c>
      <c r="G1294" t="s">
        <v>602</v>
      </c>
      <c r="H1294" s="4"/>
      <c r="J1294" s="71"/>
      <c r="K1294"/>
      <c r="L1294" s="5"/>
      <c r="M1294"/>
    </row>
    <row r="1295" spans="1:13" hidden="1" x14ac:dyDescent="0.25">
      <c r="A1295" s="127">
        <v>1285</v>
      </c>
      <c r="B1295" s="46" t="s">
        <v>898</v>
      </c>
      <c r="C1295" s="46" t="s">
        <v>101</v>
      </c>
      <c r="D1295" s="46" t="s">
        <v>899</v>
      </c>
      <c r="E1295" s="4" t="s">
        <v>1057</v>
      </c>
      <c r="F1295" s="35">
        <v>66011000</v>
      </c>
      <c r="G1295" t="s">
        <v>548</v>
      </c>
      <c r="H1295" s="4"/>
      <c r="J1295" s="71"/>
      <c r="K1295"/>
      <c r="L1295" s="5"/>
      <c r="M1295"/>
    </row>
    <row r="1296" spans="1:13" hidden="1" x14ac:dyDescent="0.25">
      <c r="A1296" s="127">
        <v>1293</v>
      </c>
      <c r="B1296" s="46" t="s">
        <v>900</v>
      </c>
      <c r="C1296" s="46" t="s">
        <v>101</v>
      </c>
      <c r="D1296" s="46" t="s">
        <v>680</v>
      </c>
      <c r="E1296" s="46" t="s">
        <v>1057</v>
      </c>
      <c r="F1296" s="35">
        <v>1014002</v>
      </c>
      <c r="G1296" t="s">
        <v>564</v>
      </c>
      <c r="H1296" s="4"/>
      <c r="J1296" s="71"/>
      <c r="K1296"/>
      <c r="L1296" s="5"/>
      <c r="M1296"/>
    </row>
    <row r="1297" spans="1:13" hidden="1" x14ac:dyDescent="0.25">
      <c r="A1297" s="127">
        <v>1449</v>
      </c>
      <c r="B1297" s="46" t="s">
        <v>900</v>
      </c>
      <c r="C1297" s="46" t="s">
        <v>101</v>
      </c>
      <c r="D1297" s="46" t="s">
        <v>680</v>
      </c>
      <c r="E1297" s="46" t="s">
        <v>1057</v>
      </c>
      <c r="F1297" s="35">
        <v>1000002</v>
      </c>
      <c r="G1297" t="s">
        <v>576</v>
      </c>
      <c r="H1297" s="4"/>
      <c r="J1297" s="71"/>
      <c r="K1297"/>
      <c r="L1297" s="5"/>
      <c r="M1297"/>
    </row>
    <row r="1298" spans="1:13" hidden="1" x14ac:dyDescent="0.25">
      <c r="A1298" s="127">
        <v>1488</v>
      </c>
      <c r="B1298" s="46" t="s">
        <v>900</v>
      </c>
      <c r="C1298" s="46" t="s">
        <v>101</v>
      </c>
      <c r="D1298" s="46" t="s">
        <v>680</v>
      </c>
      <c r="E1298" s="46" t="s">
        <v>1057</v>
      </c>
      <c r="F1298" s="35">
        <v>1925001000</v>
      </c>
      <c r="G1298" t="s">
        <v>624</v>
      </c>
      <c r="H1298" s="4"/>
      <c r="J1298" s="71"/>
      <c r="K1298"/>
      <c r="L1298" s="5"/>
      <c r="M1298"/>
    </row>
    <row r="1299" spans="1:13" hidden="1" x14ac:dyDescent="0.25">
      <c r="A1299" s="127">
        <v>1610</v>
      </c>
      <c r="B1299" s="46" t="s">
        <v>901</v>
      </c>
      <c r="C1299" s="46" t="s">
        <v>22</v>
      </c>
      <c r="D1299" s="46" t="s">
        <v>902</v>
      </c>
      <c r="E1299" s="46" t="s">
        <v>1057</v>
      </c>
      <c r="F1299" s="35">
        <v>1925001000</v>
      </c>
      <c r="G1299" t="s">
        <v>624</v>
      </c>
      <c r="H1299" s="4"/>
      <c r="J1299" s="71"/>
      <c r="K1299"/>
      <c r="L1299" s="5"/>
      <c r="M1299"/>
    </row>
    <row r="1300" spans="1:13" hidden="1" x14ac:dyDescent="0.25">
      <c r="A1300" s="127">
        <v>1744</v>
      </c>
      <c r="B1300" s="46" t="s">
        <v>898</v>
      </c>
      <c r="C1300" s="46" t="s">
        <v>101</v>
      </c>
      <c r="D1300" s="46" t="s">
        <v>899</v>
      </c>
      <c r="E1300" s="46" t="s">
        <v>1057</v>
      </c>
      <c r="F1300" s="35">
        <v>66034000</v>
      </c>
      <c r="G1300" t="s">
        <v>672</v>
      </c>
      <c r="H1300" s="4"/>
      <c r="J1300" s="71"/>
      <c r="K1300"/>
      <c r="L1300" s="5"/>
      <c r="M1300"/>
    </row>
    <row r="1301" spans="1:13" hidden="1" x14ac:dyDescent="0.25">
      <c r="A1301" s="127">
        <v>1785</v>
      </c>
      <c r="B1301" s="46" t="s">
        <v>898</v>
      </c>
      <c r="C1301" s="46" t="s">
        <v>101</v>
      </c>
      <c r="D1301" s="46" t="s">
        <v>903</v>
      </c>
      <c r="E1301" s="46" t="s">
        <v>1057</v>
      </c>
      <c r="F1301" s="35">
        <v>153002000</v>
      </c>
      <c r="G1301" t="s">
        <v>562</v>
      </c>
      <c r="H1301" s="4"/>
      <c r="J1301" s="71"/>
      <c r="K1301"/>
      <c r="L1301" s="5"/>
      <c r="M1301"/>
    </row>
    <row r="1302" spans="1:13" hidden="1" x14ac:dyDescent="0.25">
      <c r="A1302" s="127">
        <v>1790</v>
      </c>
      <c r="B1302" s="46" t="s">
        <v>900</v>
      </c>
      <c r="C1302" s="46" t="s">
        <v>101</v>
      </c>
      <c r="D1302" s="46" t="s">
        <v>680</v>
      </c>
      <c r="E1302" s="46" t="s">
        <v>1057</v>
      </c>
      <c r="F1302" s="35">
        <v>1000003</v>
      </c>
      <c r="G1302" t="s">
        <v>602</v>
      </c>
      <c r="H1302" s="4"/>
      <c r="J1302" s="71"/>
      <c r="K1302"/>
      <c r="L1302" s="5"/>
      <c r="M1302"/>
    </row>
    <row r="1303" spans="1:13" hidden="1" x14ac:dyDescent="0.25">
      <c r="A1303" s="127">
        <v>1811</v>
      </c>
      <c r="B1303" s="46" t="s">
        <v>900</v>
      </c>
      <c r="C1303" s="46" t="s">
        <v>101</v>
      </c>
      <c r="D1303" s="46" t="s">
        <v>680</v>
      </c>
      <c r="E1303" s="46" t="s">
        <v>1057</v>
      </c>
      <c r="F1303" s="35">
        <v>1014002</v>
      </c>
      <c r="G1303" t="s">
        <v>564</v>
      </c>
      <c r="H1303" s="4"/>
      <c r="J1303" s="71"/>
      <c r="K1303"/>
      <c r="L1303" s="5"/>
      <c r="M1303"/>
    </row>
    <row r="1304" spans="1:13" hidden="1" x14ac:dyDescent="0.25">
      <c r="A1304" s="127">
        <v>1855</v>
      </c>
      <c r="B1304" s="46" t="s">
        <v>900</v>
      </c>
      <c r="C1304" s="46" t="s">
        <v>101</v>
      </c>
      <c r="D1304" s="46" t="s">
        <v>680</v>
      </c>
      <c r="E1304" s="46" t="s">
        <v>1057</v>
      </c>
      <c r="F1304" s="35">
        <v>153002000</v>
      </c>
      <c r="G1304" t="s">
        <v>562</v>
      </c>
      <c r="H1304" s="4"/>
      <c r="J1304" s="71"/>
      <c r="K1304"/>
      <c r="L1304" s="5"/>
      <c r="M1304"/>
    </row>
    <row r="1305" spans="1:13" hidden="1" x14ac:dyDescent="0.25">
      <c r="A1305" s="127">
        <v>1868</v>
      </c>
      <c r="B1305" s="46" t="s">
        <v>898</v>
      </c>
      <c r="C1305" s="46" t="s">
        <v>101</v>
      </c>
      <c r="D1305" s="46" t="s">
        <v>903</v>
      </c>
      <c r="E1305" s="46" t="s">
        <v>1057</v>
      </c>
      <c r="F1305" s="35">
        <v>1000002</v>
      </c>
      <c r="G1305" t="s">
        <v>576</v>
      </c>
      <c r="H1305" s="4"/>
      <c r="J1305" s="71"/>
      <c r="K1305"/>
      <c r="L1305" s="5"/>
      <c r="M1305"/>
    </row>
    <row r="1306" spans="1:13" hidden="1" x14ac:dyDescent="0.25">
      <c r="A1306" s="127">
        <v>1899</v>
      </c>
      <c r="B1306" s="46" t="s">
        <v>898</v>
      </c>
      <c r="C1306" s="46" t="s">
        <v>101</v>
      </c>
      <c r="D1306" s="46" t="s">
        <v>903</v>
      </c>
      <c r="E1306" s="46" t="s">
        <v>1057</v>
      </c>
      <c r="F1306" s="35">
        <v>2514001000</v>
      </c>
      <c r="G1306" t="s">
        <v>623</v>
      </c>
      <c r="H1306" s="4"/>
      <c r="J1306" s="71"/>
      <c r="K1306"/>
      <c r="L1306" s="5"/>
      <c r="M1306"/>
    </row>
    <row r="1307" spans="1:13" hidden="1" x14ac:dyDescent="0.25">
      <c r="A1307" s="127">
        <v>1987</v>
      </c>
      <c r="B1307" s="46" t="s">
        <v>892</v>
      </c>
      <c r="C1307" s="46" t="s">
        <v>905</v>
      </c>
      <c r="D1307" s="46" t="s">
        <v>906</v>
      </c>
      <c r="E1307" s="46" t="s">
        <v>1057</v>
      </c>
      <c r="F1307" s="35">
        <v>1000012</v>
      </c>
      <c r="G1307" t="s">
        <v>570</v>
      </c>
      <c r="H1307" s="4"/>
      <c r="J1307" s="71"/>
      <c r="K1307"/>
      <c r="L1307" s="5"/>
      <c r="M1307"/>
    </row>
    <row r="1308" spans="1:13" hidden="1" x14ac:dyDescent="0.25">
      <c r="A1308" s="127">
        <v>2000</v>
      </c>
      <c r="B1308" s="46" t="s">
        <v>900</v>
      </c>
      <c r="C1308" s="46" t="s">
        <v>907</v>
      </c>
      <c r="D1308" s="46" t="s">
        <v>908</v>
      </c>
      <c r="E1308" s="46" t="s">
        <v>1057</v>
      </c>
      <c r="F1308" s="35">
        <v>1000012</v>
      </c>
      <c r="G1308" t="s">
        <v>570</v>
      </c>
      <c r="H1308" s="4"/>
      <c r="J1308" s="71"/>
      <c r="K1308"/>
      <c r="L1308" s="5"/>
      <c r="M1308"/>
    </row>
    <row r="1309" spans="1:13" hidden="1" x14ac:dyDescent="0.25">
      <c r="A1309" s="127">
        <v>2167</v>
      </c>
      <c r="B1309" s="46" t="s">
        <v>900</v>
      </c>
      <c r="C1309" s="46" t="s">
        <v>101</v>
      </c>
      <c r="D1309" s="46" t="s">
        <v>680</v>
      </c>
      <c r="E1309" s="46" t="s">
        <v>1057</v>
      </c>
      <c r="F1309" s="35">
        <v>1014002</v>
      </c>
      <c r="G1309" t="s">
        <v>564</v>
      </c>
      <c r="H1309" s="4"/>
      <c r="J1309" s="71"/>
      <c r="K1309"/>
      <c r="L1309" s="5"/>
      <c r="M1309"/>
    </row>
    <row r="1310" spans="1:13" hidden="1" x14ac:dyDescent="0.25">
      <c r="A1310" s="127">
        <v>2168</v>
      </c>
      <c r="B1310" s="46" t="s">
        <v>894</v>
      </c>
      <c r="C1310" s="46" t="s">
        <v>909</v>
      </c>
      <c r="D1310" s="46">
        <v>400</v>
      </c>
      <c r="E1310" s="46" t="s">
        <v>1057</v>
      </c>
      <c r="F1310" s="35">
        <v>1000003</v>
      </c>
      <c r="G1310" t="s">
        <v>602</v>
      </c>
      <c r="H1310" s="4"/>
      <c r="J1310" s="71"/>
      <c r="K1310"/>
      <c r="L1310" s="5"/>
      <c r="M1310"/>
    </row>
    <row r="1311" spans="1:13" hidden="1" x14ac:dyDescent="0.25">
      <c r="A1311" s="127">
        <v>2188</v>
      </c>
      <c r="B1311" s="46" t="s">
        <v>900</v>
      </c>
      <c r="C1311" s="46" t="s">
        <v>101</v>
      </c>
      <c r="D1311" s="46" t="s">
        <v>680</v>
      </c>
      <c r="E1311" s="46" t="s">
        <v>1057</v>
      </c>
      <c r="F1311" s="35">
        <v>1023000</v>
      </c>
      <c r="G1311" t="s">
        <v>595</v>
      </c>
      <c r="H1311" s="4"/>
      <c r="J1311" s="71"/>
      <c r="K1311"/>
      <c r="L1311" s="5"/>
      <c r="M1311"/>
    </row>
    <row r="1312" spans="1:13" hidden="1" x14ac:dyDescent="0.25">
      <c r="A1312" s="127">
        <v>2496</v>
      </c>
      <c r="B1312" s="46" t="s">
        <v>900</v>
      </c>
      <c r="C1312" s="46" t="s">
        <v>101</v>
      </c>
      <c r="D1312" s="46" t="s">
        <v>680</v>
      </c>
      <c r="E1312" s="46" t="s">
        <v>1057</v>
      </c>
      <c r="F1312" s="35">
        <v>1000012</v>
      </c>
      <c r="G1312" t="s">
        <v>570</v>
      </c>
      <c r="H1312" s="4"/>
      <c r="J1312" s="71"/>
      <c r="K1312"/>
      <c r="L1312" s="5"/>
      <c r="M1312"/>
    </row>
    <row r="1313" spans="1:13" hidden="1" x14ac:dyDescent="0.25">
      <c r="A1313" s="127">
        <v>2508</v>
      </c>
      <c r="B1313" s="46" t="s">
        <v>918</v>
      </c>
      <c r="C1313" s="46" t="s">
        <v>101</v>
      </c>
      <c r="D1313" s="46" t="s">
        <v>919</v>
      </c>
      <c r="E1313" s="46" t="s">
        <v>1057</v>
      </c>
      <c r="F1313" s="35">
        <v>1014002</v>
      </c>
      <c r="G1313" t="s">
        <v>564</v>
      </c>
      <c r="H1313" s="4"/>
      <c r="J1313" s="71"/>
      <c r="K1313"/>
      <c r="L1313" s="5"/>
      <c r="M1313"/>
    </row>
    <row r="1314" spans="1:13" hidden="1" x14ac:dyDescent="0.25">
      <c r="A1314" s="127">
        <v>2556</v>
      </c>
      <c r="B1314" s="46" t="s">
        <v>921</v>
      </c>
      <c r="C1314" s="46" t="s">
        <v>442</v>
      </c>
      <c r="D1314" s="46" t="s">
        <v>922</v>
      </c>
      <c r="E1314" s="46" t="s">
        <v>1057</v>
      </c>
      <c r="F1314" s="35">
        <v>1014002</v>
      </c>
      <c r="G1314" t="s">
        <v>564</v>
      </c>
      <c r="H1314" s="4"/>
      <c r="J1314" s="71"/>
      <c r="K1314"/>
      <c r="L1314" s="5"/>
      <c r="M1314"/>
    </row>
    <row r="1315" spans="1:13" hidden="1" x14ac:dyDescent="0.25">
      <c r="A1315" s="127">
        <v>2569</v>
      </c>
      <c r="B1315" s="46" t="s">
        <v>901</v>
      </c>
      <c r="C1315" s="46" t="s">
        <v>741</v>
      </c>
      <c r="D1315" s="46">
        <v>-627880</v>
      </c>
      <c r="E1315" s="46" t="s">
        <v>1057</v>
      </c>
      <c r="F1315" s="35">
        <v>153002000</v>
      </c>
      <c r="G1315" t="s">
        <v>562</v>
      </c>
      <c r="H1315" s="4"/>
      <c r="J1315" s="71"/>
      <c r="K1315"/>
      <c r="L1315" s="5"/>
      <c r="M1315"/>
    </row>
    <row r="1316" spans="1:13" hidden="1" x14ac:dyDescent="0.25">
      <c r="A1316" s="127">
        <v>2661</v>
      </c>
      <c r="B1316" s="46" t="s">
        <v>898</v>
      </c>
      <c r="C1316" s="46" t="s">
        <v>101</v>
      </c>
      <c r="D1316" s="46" t="s">
        <v>903</v>
      </c>
      <c r="E1316" s="46" t="s">
        <v>1057</v>
      </c>
      <c r="F1316" s="35">
        <v>66011000</v>
      </c>
      <c r="G1316" t="s">
        <v>548</v>
      </c>
      <c r="H1316" s="4"/>
      <c r="J1316" s="71"/>
      <c r="K1316"/>
      <c r="L1316" s="5"/>
      <c r="M1316"/>
    </row>
    <row r="1317" spans="1:13" hidden="1" x14ac:dyDescent="0.25">
      <c r="A1317" s="127">
        <v>2677</v>
      </c>
      <c r="B1317" s="46" t="s">
        <v>921</v>
      </c>
      <c r="C1317" s="46" t="s">
        <v>925</v>
      </c>
      <c r="D1317" s="46" t="s">
        <v>926</v>
      </c>
      <c r="E1317" s="46" t="s">
        <v>1057</v>
      </c>
      <c r="F1317" s="35">
        <v>3135001000</v>
      </c>
      <c r="G1317" t="s">
        <v>551</v>
      </c>
      <c r="H1317" s="4"/>
      <c r="J1317" s="71"/>
      <c r="K1317"/>
      <c r="L1317" s="5"/>
      <c r="M1317"/>
    </row>
    <row r="1318" spans="1:13" hidden="1" x14ac:dyDescent="0.25">
      <c r="A1318" s="127">
        <v>2702</v>
      </c>
      <c r="B1318" s="46" t="s">
        <v>900</v>
      </c>
      <c r="C1318" s="46" t="s">
        <v>101</v>
      </c>
      <c r="D1318" s="46" t="s">
        <v>680</v>
      </c>
      <c r="E1318" s="46" t="s">
        <v>1057</v>
      </c>
      <c r="F1318" s="35">
        <v>1925001000</v>
      </c>
      <c r="G1318" t="s">
        <v>624</v>
      </c>
      <c r="H1318" s="4"/>
      <c r="J1318" s="71"/>
      <c r="K1318"/>
      <c r="L1318" s="5"/>
      <c r="M1318"/>
    </row>
    <row r="1319" spans="1:13" hidden="1" x14ac:dyDescent="0.25">
      <c r="A1319" s="127">
        <v>2703</v>
      </c>
      <c r="B1319" s="46" t="s">
        <v>900</v>
      </c>
      <c r="C1319" s="46" t="s">
        <v>101</v>
      </c>
      <c r="D1319" s="46" t="s">
        <v>680</v>
      </c>
      <c r="E1319" s="46" t="s">
        <v>1057</v>
      </c>
      <c r="F1319" s="35">
        <v>3154002000</v>
      </c>
      <c r="G1319" t="s">
        <v>744</v>
      </c>
      <c r="H1319" s="4"/>
      <c r="J1319" s="71"/>
      <c r="K1319"/>
      <c r="L1319" s="5"/>
      <c r="M1319"/>
    </row>
    <row r="1320" spans="1:13" hidden="1" x14ac:dyDescent="0.25">
      <c r="A1320" s="127">
        <v>2705</v>
      </c>
      <c r="B1320" s="46" t="s">
        <v>918</v>
      </c>
      <c r="C1320" s="46" t="s">
        <v>101</v>
      </c>
      <c r="D1320" s="46" t="s">
        <v>927</v>
      </c>
      <c r="E1320" s="46" t="s">
        <v>1057</v>
      </c>
      <c r="F1320" s="35">
        <v>1925001000</v>
      </c>
      <c r="G1320" t="s">
        <v>624</v>
      </c>
      <c r="H1320" s="4"/>
      <c r="J1320" s="71"/>
      <c r="K1320"/>
      <c r="L1320" s="5"/>
      <c r="M1320"/>
    </row>
    <row r="1321" spans="1:13" hidden="1" x14ac:dyDescent="0.25">
      <c r="A1321" s="127">
        <v>2706</v>
      </c>
      <c r="B1321" s="46" t="s">
        <v>894</v>
      </c>
      <c r="C1321" s="46" t="s">
        <v>928</v>
      </c>
      <c r="D1321" s="46">
        <v>604</v>
      </c>
      <c r="E1321" s="46" t="s">
        <v>1057</v>
      </c>
      <c r="F1321" s="35">
        <v>1925001000</v>
      </c>
      <c r="G1321" t="s">
        <v>624</v>
      </c>
      <c r="H1321" s="4"/>
      <c r="J1321" s="71"/>
      <c r="K1321"/>
      <c r="L1321" s="5"/>
      <c r="M1321"/>
    </row>
    <row r="1322" spans="1:13" hidden="1" x14ac:dyDescent="0.25">
      <c r="A1322" s="127">
        <v>2720</v>
      </c>
      <c r="B1322" s="46" t="s">
        <v>898</v>
      </c>
      <c r="C1322" s="46" t="s">
        <v>101</v>
      </c>
      <c r="D1322" s="46" t="s">
        <v>930</v>
      </c>
      <c r="E1322" s="46" t="s">
        <v>1057</v>
      </c>
      <c r="F1322" s="35">
        <v>1176003000</v>
      </c>
      <c r="G1322" t="s">
        <v>716</v>
      </c>
      <c r="H1322" s="4"/>
      <c r="J1322" s="71"/>
      <c r="K1322"/>
      <c r="L1322" s="5"/>
      <c r="M1322"/>
    </row>
    <row r="1323" spans="1:13" hidden="1" x14ac:dyDescent="0.25">
      <c r="A1323" s="127">
        <v>2727</v>
      </c>
      <c r="B1323" s="46" t="s">
        <v>894</v>
      </c>
      <c r="C1323" s="46" t="s">
        <v>928</v>
      </c>
      <c r="D1323" s="46" t="s">
        <v>258</v>
      </c>
      <c r="E1323" s="46" t="s">
        <v>1057</v>
      </c>
      <c r="F1323" s="35">
        <v>1000002</v>
      </c>
      <c r="G1323" t="s">
        <v>576</v>
      </c>
      <c r="H1323" s="4"/>
      <c r="J1323" s="71"/>
      <c r="K1323"/>
      <c r="L1323" s="5"/>
      <c r="M1323"/>
    </row>
    <row r="1324" spans="1:13" hidden="1" x14ac:dyDescent="0.25">
      <c r="A1324" s="127">
        <v>2748</v>
      </c>
      <c r="B1324" s="46" t="s">
        <v>921</v>
      </c>
      <c r="C1324" s="46" t="s">
        <v>931</v>
      </c>
      <c r="D1324" s="46" t="s">
        <v>40</v>
      </c>
      <c r="E1324" s="46" t="s">
        <v>1057</v>
      </c>
      <c r="F1324" s="35">
        <v>66011000</v>
      </c>
      <c r="G1324" t="s">
        <v>548</v>
      </c>
      <c r="H1324" s="4"/>
      <c r="J1324" s="71"/>
      <c r="K1324"/>
      <c r="L1324" s="5"/>
      <c r="M1324"/>
    </row>
    <row r="1325" spans="1:13" hidden="1" x14ac:dyDescent="0.25">
      <c r="A1325" s="127">
        <v>2749</v>
      </c>
      <c r="B1325" s="46" t="s">
        <v>900</v>
      </c>
      <c r="C1325" s="46" t="s">
        <v>101</v>
      </c>
      <c r="D1325" s="46" t="s">
        <v>680</v>
      </c>
      <c r="E1325" s="46" t="s">
        <v>1057</v>
      </c>
      <c r="F1325" s="35">
        <v>1165000000</v>
      </c>
      <c r="G1325" t="s">
        <v>559</v>
      </c>
      <c r="H1325" s="4"/>
      <c r="J1325" s="71"/>
      <c r="K1325"/>
      <c r="L1325" s="5"/>
      <c r="M1325"/>
    </row>
    <row r="1326" spans="1:13" hidden="1" x14ac:dyDescent="0.25">
      <c r="A1326" s="127">
        <v>2764</v>
      </c>
      <c r="B1326" s="46" t="s">
        <v>898</v>
      </c>
      <c r="C1326" s="46" t="s">
        <v>101</v>
      </c>
      <c r="D1326" s="46" t="s">
        <v>930</v>
      </c>
      <c r="E1326" s="46" t="s">
        <v>1057</v>
      </c>
      <c r="F1326" s="35">
        <v>1014001</v>
      </c>
      <c r="G1326" t="s">
        <v>543</v>
      </c>
      <c r="H1326" s="4"/>
      <c r="J1326" s="71"/>
      <c r="K1326"/>
      <c r="L1326" s="5"/>
      <c r="M1326"/>
    </row>
    <row r="1327" spans="1:13" hidden="1" x14ac:dyDescent="0.25">
      <c r="A1327" s="127">
        <v>2786</v>
      </c>
      <c r="B1327" s="46" t="s">
        <v>937</v>
      </c>
      <c r="C1327" s="46" t="s">
        <v>442</v>
      </c>
      <c r="D1327" s="46">
        <v>90</v>
      </c>
      <c r="E1327" s="46" t="s">
        <v>1057</v>
      </c>
      <c r="F1327" s="35">
        <v>1014002</v>
      </c>
      <c r="G1327" t="s">
        <v>564</v>
      </c>
      <c r="H1327" s="4"/>
      <c r="J1327" s="71"/>
      <c r="K1327"/>
      <c r="L1327" s="5"/>
      <c r="M1327"/>
    </row>
    <row r="1328" spans="1:13" hidden="1" x14ac:dyDescent="0.25">
      <c r="A1328" s="127">
        <v>2789</v>
      </c>
      <c r="B1328" s="46" t="s">
        <v>900</v>
      </c>
      <c r="C1328" s="46" t="s">
        <v>101</v>
      </c>
      <c r="D1328" s="46" t="s">
        <v>680</v>
      </c>
      <c r="E1328" s="46" t="s">
        <v>1057</v>
      </c>
      <c r="F1328" s="35">
        <v>153002000</v>
      </c>
      <c r="G1328" t="s">
        <v>562</v>
      </c>
      <c r="H1328" s="4"/>
      <c r="J1328" s="71"/>
      <c r="K1328"/>
      <c r="L1328" s="5"/>
      <c r="M1328"/>
    </row>
    <row r="1329" spans="1:13" hidden="1" x14ac:dyDescent="0.25">
      <c r="A1329" s="127">
        <v>2793</v>
      </c>
      <c r="B1329" s="46" t="s">
        <v>900</v>
      </c>
      <c r="C1329" s="46" t="s">
        <v>101</v>
      </c>
      <c r="D1329" s="46" t="s">
        <v>680</v>
      </c>
      <c r="E1329" s="46" t="s">
        <v>1057</v>
      </c>
      <c r="F1329" s="35">
        <v>1925001000</v>
      </c>
      <c r="G1329" t="s">
        <v>624</v>
      </c>
      <c r="H1329" s="4"/>
      <c r="J1329" s="71"/>
      <c r="K1329"/>
      <c r="L1329" s="5"/>
      <c r="M1329"/>
    </row>
    <row r="1330" spans="1:13" hidden="1" x14ac:dyDescent="0.25">
      <c r="A1330" s="127">
        <v>2794</v>
      </c>
      <c r="B1330" s="46" t="s">
        <v>921</v>
      </c>
      <c r="C1330" s="46" t="s">
        <v>442</v>
      </c>
      <c r="D1330" s="46">
        <v>90</v>
      </c>
      <c r="E1330" s="46" t="s">
        <v>1057</v>
      </c>
      <c r="F1330" s="35">
        <v>2905001000</v>
      </c>
      <c r="G1330" t="s">
        <v>647</v>
      </c>
      <c r="H1330" s="4"/>
      <c r="J1330" s="71"/>
      <c r="K1330"/>
      <c r="L1330" s="5"/>
      <c r="M1330"/>
    </row>
    <row r="1331" spans="1:13" hidden="1" x14ac:dyDescent="0.25">
      <c r="A1331" s="127">
        <v>2798</v>
      </c>
      <c r="B1331" s="46" t="s">
        <v>894</v>
      </c>
      <c r="C1331" s="46" t="s">
        <v>928</v>
      </c>
      <c r="D1331" s="46" t="s">
        <v>258</v>
      </c>
      <c r="E1331" s="46" t="s">
        <v>1057</v>
      </c>
      <c r="F1331" s="35">
        <v>153002000</v>
      </c>
      <c r="G1331" t="s">
        <v>562</v>
      </c>
      <c r="H1331" s="4"/>
      <c r="J1331" s="71"/>
      <c r="K1331"/>
      <c r="L1331" s="5"/>
      <c r="M1331"/>
    </row>
    <row r="1332" spans="1:13" hidden="1" x14ac:dyDescent="0.25">
      <c r="A1332" s="127">
        <v>2819</v>
      </c>
      <c r="B1332" s="46" t="s">
        <v>898</v>
      </c>
      <c r="C1332" s="46" t="s">
        <v>101</v>
      </c>
      <c r="D1332" s="46" t="s">
        <v>930</v>
      </c>
      <c r="E1332" s="46" t="s">
        <v>1057</v>
      </c>
      <c r="F1332" s="35">
        <v>2514001000</v>
      </c>
      <c r="G1332" t="s">
        <v>623</v>
      </c>
      <c r="H1332" s="4"/>
      <c r="J1332" s="71"/>
      <c r="K1332"/>
      <c r="L1332" s="5"/>
      <c r="M1332"/>
    </row>
    <row r="1333" spans="1:13" hidden="1" x14ac:dyDescent="0.25">
      <c r="A1333" s="127">
        <v>2847</v>
      </c>
      <c r="B1333" s="46" t="s">
        <v>900</v>
      </c>
      <c r="C1333" s="46" t="s">
        <v>101</v>
      </c>
      <c r="D1333" s="46" t="s">
        <v>40</v>
      </c>
      <c r="E1333" s="46" t="s">
        <v>1057</v>
      </c>
      <c r="F1333" s="35">
        <v>3300200000</v>
      </c>
      <c r="G1333" t="s">
        <v>687</v>
      </c>
      <c r="H1333" s="4"/>
      <c r="J1333" s="71"/>
      <c r="K1333"/>
      <c r="L1333" s="5"/>
      <c r="M1333"/>
    </row>
    <row r="1334" spans="1:13" hidden="1" x14ac:dyDescent="0.25">
      <c r="A1334" s="127">
        <v>2851</v>
      </c>
      <c r="B1334" s="46" t="s">
        <v>898</v>
      </c>
      <c r="C1334" s="46" t="s">
        <v>101</v>
      </c>
      <c r="D1334" s="46" t="s">
        <v>930</v>
      </c>
      <c r="E1334" s="46" t="s">
        <v>1057</v>
      </c>
      <c r="F1334" s="35">
        <v>2514001000</v>
      </c>
      <c r="G1334" t="s">
        <v>623</v>
      </c>
      <c r="H1334" s="4"/>
      <c r="J1334" s="71"/>
      <c r="K1334"/>
      <c r="L1334" s="5"/>
      <c r="M1334"/>
    </row>
    <row r="1335" spans="1:13" hidden="1" x14ac:dyDescent="0.25">
      <c r="A1335" s="127">
        <v>2852</v>
      </c>
      <c r="B1335" s="46" t="s">
        <v>898</v>
      </c>
      <c r="C1335" s="46" t="s">
        <v>101</v>
      </c>
      <c r="D1335" s="46" t="s">
        <v>404</v>
      </c>
      <c r="E1335" s="46" t="s">
        <v>1057</v>
      </c>
      <c r="F1335" s="35">
        <v>2514002000</v>
      </c>
      <c r="G1335" t="s">
        <v>583</v>
      </c>
      <c r="H1335" s="4"/>
      <c r="J1335" s="71"/>
      <c r="K1335"/>
      <c r="L1335" s="5"/>
      <c r="M1335"/>
    </row>
    <row r="1336" spans="1:13" hidden="1" x14ac:dyDescent="0.25">
      <c r="A1336" s="127">
        <v>2895</v>
      </c>
      <c r="B1336" s="46" t="s">
        <v>900</v>
      </c>
      <c r="C1336" s="46" t="s">
        <v>101</v>
      </c>
      <c r="D1336" s="46" t="s">
        <v>680</v>
      </c>
      <c r="E1336" s="46" t="s">
        <v>1057</v>
      </c>
      <c r="F1336" s="35">
        <v>2514001002</v>
      </c>
      <c r="G1336" t="s">
        <v>1050</v>
      </c>
      <c r="H1336" s="4"/>
      <c r="J1336" s="71"/>
      <c r="K1336"/>
      <c r="L1336" s="5"/>
      <c r="M1336"/>
    </row>
    <row r="1337" spans="1:13" hidden="1" x14ac:dyDescent="0.25">
      <c r="A1337" s="127">
        <v>2928</v>
      </c>
      <c r="B1337" s="46" t="s">
        <v>900</v>
      </c>
      <c r="C1337" s="46" t="s">
        <v>101</v>
      </c>
      <c r="D1337" s="46" t="s">
        <v>680</v>
      </c>
      <c r="E1337" s="46" t="s">
        <v>1057</v>
      </c>
      <c r="F1337" s="35">
        <v>1014001</v>
      </c>
      <c r="G1337" t="s">
        <v>543</v>
      </c>
      <c r="H1337" s="4"/>
      <c r="J1337" s="71"/>
      <c r="K1337"/>
      <c r="L1337" s="5"/>
      <c r="M1337"/>
    </row>
    <row r="1338" spans="1:13" hidden="1" x14ac:dyDescent="0.25">
      <c r="A1338" s="127">
        <v>2946</v>
      </c>
      <c r="B1338" s="46" t="s">
        <v>921</v>
      </c>
      <c r="C1338" s="46" t="s">
        <v>442</v>
      </c>
      <c r="D1338" s="46">
        <v>90</v>
      </c>
      <c r="E1338" s="46" t="s">
        <v>1057</v>
      </c>
      <c r="F1338" s="35">
        <v>2814003000</v>
      </c>
      <c r="G1338" t="s">
        <v>619</v>
      </c>
      <c r="H1338" s="4"/>
      <c r="J1338" s="71"/>
      <c r="K1338"/>
      <c r="L1338" s="5"/>
      <c r="M1338"/>
    </row>
    <row r="1339" spans="1:13" hidden="1" x14ac:dyDescent="0.25">
      <c r="A1339" s="127">
        <v>2967</v>
      </c>
      <c r="B1339" s="46" t="s">
        <v>921</v>
      </c>
      <c r="C1339" s="46" t="s">
        <v>442</v>
      </c>
      <c r="D1339" s="46">
        <v>90</v>
      </c>
      <c r="E1339" s="46" t="s">
        <v>1057</v>
      </c>
      <c r="F1339" s="35">
        <v>3034001000</v>
      </c>
      <c r="G1339" t="s">
        <v>662</v>
      </c>
      <c r="H1339" s="4"/>
      <c r="J1339" s="71"/>
      <c r="K1339"/>
      <c r="L1339" s="5"/>
      <c r="M1339"/>
    </row>
    <row r="1340" spans="1:13" hidden="1" x14ac:dyDescent="0.25">
      <c r="A1340" s="127">
        <v>2972</v>
      </c>
      <c r="B1340" s="46" t="s">
        <v>943</v>
      </c>
      <c r="C1340" s="46" t="s">
        <v>931</v>
      </c>
      <c r="D1340" s="46" t="s">
        <v>40</v>
      </c>
      <c r="E1340" s="46" t="s">
        <v>1057</v>
      </c>
      <c r="F1340" s="35">
        <v>66011000</v>
      </c>
      <c r="G1340" t="s">
        <v>548</v>
      </c>
      <c r="H1340" s="4"/>
      <c r="J1340" s="71"/>
      <c r="K1340"/>
      <c r="L1340" s="5"/>
      <c r="M1340"/>
    </row>
    <row r="1341" spans="1:13" hidden="1" x14ac:dyDescent="0.25">
      <c r="A1341" s="127">
        <v>2995</v>
      </c>
      <c r="B1341" s="46" t="s">
        <v>948</v>
      </c>
      <c r="C1341" s="46" t="s">
        <v>101</v>
      </c>
      <c r="D1341" s="46" t="s">
        <v>40</v>
      </c>
      <c r="E1341" s="46" t="s">
        <v>1057</v>
      </c>
      <c r="F1341" s="35">
        <v>66011000</v>
      </c>
      <c r="G1341" t="s">
        <v>548</v>
      </c>
      <c r="H1341" s="4"/>
      <c r="J1341" s="71"/>
      <c r="K1341"/>
      <c r="L1341" s="5"/>
      <c r="M1341"/>
    </row>
    <row r="1342" spans="1:13" hidden="1" x14ac:dyDescent="0.25">
      <c r="A1342" s="127">
        <v>3015</v>
      </c>
      <c r="B1342" s="46" t="s">
        <v>918</v>
      </c>
      <c r="C1342" s="46" t="s">
        <v>101</v>
      </c>
      <c r="D1342" s="46" t="s">
        <v>951</v>
      </c>
      <c r="E1342" s="46" t="s">
        <v>1057</v>
      </c>
      <c r="F1342" s="35">
        <v>2126010000</v>
      </c>
      <c r="G1342" t="s">
        <v>622</v>
      </c>
      <c r="H1342" s="4"/>
      <c r="J1342" s="71"/>
      <c r="K1342"/>
      <c r="L1342" s="5"/>
      <c r="M1342"/>
    </row>
    <row r="1343" spans="1:13" hidden="1" x14ac:dyDescent="0.25">
      <c r="A1343" s="127">
        <v>3026</v>
      </c>
      <c r="B1343" s="46" t="s">
        <v>900</v>
      </c>
      <c r="C1343" s="46" t="s">
        <v>101</v>
      </c>
      <c r="D1343" s="46" t="s">
        <v>680</v>
      </c>
      <c r="E1343" s="46" t="s">
        <v>1057</v>
      </c>
      <c r="F1343" s="35">
        <v>1925007000</v>
      </c>
      <c r="G1343" t="s">
        <v>721</v>
      </c>
      <c r="H1343" s="4"/>
      <c r="J1343" s="71"/>
      <c r="K1343"/>
      <c r="L1343" s="5"/>
      <c r="M1343"/>
    </row>
    <row r="1344" spans="1:13" hidden="1" x14ac:dyDescent="0.25">
      <c r="A1344" s="127">
        <v>3029</v>
      </c>
      <c r="B1344" s="46" t="s">
        <v>898</v>
      </c>
      <c r="C1344" s="46" t="s">
        <v>101</v>
      </c>
      <c r="D1344" s="46" t="s">
        <v>930</v>
      </c>
      <c r="E1344" s="46" t="s">
        <v>1057</v>
      </c>
      <c r="F1344" s="35">
        <v>1925007000</v>
      </c>
      <c r="G1344" t="s">
        <v>721</v>
      </c>
      <c r="H1344" s="4"/>
      <c r="J1344" s="71"/>
      <c r="K1344"/>
      <c r="L1344" s="5"/>
      <c r="M1344"/>
    </row>
    <row r="1345" spans="1:13" hidden="1" x14ac:dyDescent="0.25">
      <c r="A1345" s="127">
        <v>3032</v>
      </c>
      <c r="B1345" s="46" t="s">
        <v>894</v>
      </c>
      <c r="C1345" s="46" t="s">
        <v>952</v>
      </c>
      <c r="D1345" s="46" t="s">
        <v>953</v>
      </c>
      <c r="E1345" s="46" t="s">
        <v>1057</v>
      </c>
      <c r="F1345" s="35">
        <v>1925007000</v>
      </c>
      <c r="G1345" t="s">
        <v>721</v>
      </c>
      <c r="H1345" s="4"/>
      <c r="J1345" s="71"/>
      <c r="K1345"/>
      <c r="L1345" s="5"/>
      <c r="M1345"/>
    </row>
    <row r="1346" spans="1:13" hidden="1" x14ac:dyDescent="0.25">
      <c r="A1346" s="127">
        <v>3050</v>
      </c>
      <c r="B1346" s="46" t="s">
        <v>957</v>
      </c>
      <c r="C1346" s="46" t="s">
        <v>958</v>
      </c>
      <c r="D1346" s="46" t="s">
        <v>959</v>
      </c>
      <c r="E1346" s="46" t="s">
        <v>1057</v>
      </c>
      <c r="F1346" s="35">
        <v>1176003000</v>
      </c>
      <c r="G1346" t="s">
        <v>716</v>
      </c>
      <c r="H1346" s="4"/>
      <c r="J1346" s="71"/>
      <c r="K1346"/>
      <c r="L1346" s="5"/>
      <c r="M1346"/>
    </row>
    <row r="1347" spans="1:13" hidden="1" x14ac:dyDescent="0.25">
      <c r="A1347" s="127">
        <v>3051</v>
      </c>
      <c r="B1347" s="46" t="s">
        <v>900</v>
      </c>
      <c r="C1347" s="46" t="s">
        <v>101</v>
      </c>
      <c r="D1347" s="46" t="s">
        <v>680</v>
      </c>
      <c r="E1347" s="46" t="s">
        <v>1057</v>
      </c>
      <c r="F1347" s="35">
        <v>2958001000</v>
      </c>
      <c r="G1347" t="s">
        <v>567</v>
      </c>
      <c r="H1347" s="4"/>
      <c r="J1347" s="71"/>
      <c r="K1347"/>
      <c r="L1347" s="5"/>
      <c r="M1347"/>
    </row>
    <row r="1348" spans="1:13" hidden="1" x14ac:dyDescent="0.25">
      <c r="A1348" s="127">
        <v>3060</v>
      </c>
      <c r="B1348" s="46" t="s">
        <v>921</v>
      </c>
      <c r="C1348" s="46" t="s">
        <v>149</v>
      </c>
      <c r="D1348" s="46" t="s">
        <v>962</v>
      </c>
      <c r="E1348" s="46" t="s">
        <v>1057</v>
      </c>
      <c r="F1348" s="35">
        <v>165001000</v>
      </c>
      <c r="G1348" t="s">
        <v>569</v>
      </c>
      <c r="H1348" s="4"/>
      <c r="J1348" s="71"/>
      <c r="K1348"/>
      <c r="L1348" s="5"/>
      <c r="M1348"/>
    </row>
    <row r="1349" spans="1:13" hidden="1" x14ac:dyDescent="0.25">
      <c r="A1349" s="127">
        <v>3065</v>
      </c>
      <c r="B1349" s="46" t="s">
        <v>898</v>
      </c>
      <c r="C1349" s="46" t="s">
        <v>101</v>
      </c>
      <c r="D1349" s="46" t="s">
        <v>930</v>
      </c>
      <c r="E1349" s="46" t="s">
        <v>1057</v>
      </c>
      <c r="F1349" s="35">
        <v>1014001</v>
      </c>
      <c r="G1349" t="s">
        <v>543</v>
      </c>
      <c r="H1349" s="4"/>
      <c r="J1349" s="71"/>
      <c r="K1349"/>
      <c r="L1349" s="5"/>
      <c r="M1349"/>
    </row>
    <row r="1350" spans="1:13" hidden="1" x14ac:dyDescent="0.25">
      <c r="A1350" s="127">
        <v>3067</v>
      </c>
      <c r="B1350" s="46" t="s">
        <v>898</v>
      </c>
      <c r="C1350" s="46" t="s">
        <v>101</v>
      </c>
      <c r="D1350" s="46" t="s">
        <v>930</v>
      </c>
      <c r="E1350" s="46" t="s">
        <v>1057</v>
      </c>
      <c r="F1350" s="35">
        <v>2514001000</v>
      </c>
      <c r="G1350" t="s">
        <v>623</v>
      </c>
      <c r="H1350" s="4"/>
      <c r="J1350" s="71"/>
      <c r="K1350"/>
      <c r="L1350" s="5"/>
      <c r="M1350"/>
    </row>
    <row r="1351" spans="1:13" hidden="1" x14ac:dyDescent="0.25">
      <c r="A1351" s="127">
        <v>3074</v>
      </c>
      <c r="B1351" s="46" t="s">
        <v>937</v>
      </c>
      <c r="C1351" s="46" t="s">
        <v>442</v>
      </c>
      <c r="D1351" s="46">
        <v>90</v>
      </c>
      <c r="E1351" s="46" t="s">
        <v>1057</v>
      </c>
      <c r="F1351" s="35">
        <v>165001000</v>
      </c>
      <c r="G1351" t="s">
        <v>569</v>
      </c>
      <c r="H1351" s="4"/>
      <c r="J1351" s="71"/>
      <c r="K1351"/>
      <c r="L1351" s="5"/>
      <c r="M1351"/>
    </row>
    <row r="1352" spans="1:13" hidden="1" x14ac:dyDescent="0.25">
      <c r="A1352" s="127">
        <v>3117</v>
      </c>
      <c r="B1352" s="46" t="s">
        <v>900</v>
      </c>
      <c r="C1352" s="46" t="s">
        <v>101</v>
      </c>
      <c r="D1352" s="46" t="s">
        <v>680</v>
      </c>
      <c r="E1352" s="46" t="s">
        <v>1057</v>
      </c>
      <c r="F1352" s="35">
        <v>1925001000</v>
      </c>
      <c r="G1352" t="s">
        <v>624</v>
      </c>
      <c r="H1352" s="4"/>
      <c r="J1352" s="71"/>
      <c r="K1352"/>
      <c r="L1352" s="5"/>
      <c r="M1352"/>
    </row>
    <row r="1353" spans="1:13" hidden="1" x14ac:dyDescent="0.25">
      <c r="A1353" s="127">
        <v>3126</v>
      </c>
      <c r="B1353" s="46" t="s">
        <v>901</v>
      </c>
      <c r="C1353" s="46" t="s">
        <v>101</v>
      </c>
      <c r="D1353" s="46" t="s">
        <v>965</v>
      </c>
      <c r="E1353" s="46" t="s">
        <v>1057</v>
      </c>
      <c r="F1353" s="35">
        <v>3042058001</v>
      </c>
      <c r="G1353" t="s">
        <v>766</v>
      </c>
      <c r="H1353" s="4"/>
      <c r="J1353" s="71"/>
      <c r="K1353"/>
      <c r="L1353" s="5"/>
      <c r="M1353"/>
    </row>
    <row r="1354" spans="1:13" hidden="1" x14ac:dyDescent="0.25">
      <c r="A1354" s="127">
        <v>3138</v>
      </c>
      <c r="B1354" s="46" t="s">
        <v>892</v>
      </c>
      <c r="C1354" s="46" t="s">
        <v>967</v>
      </c>
      <c r="D1354" s="46" t="s">
        <v>187</v>
      </c>
      <c r="E1354" s="46" t="s">
        <v>1057</v>
      </c>
      <c r="F1354" s="35">
        <v>1014001</v>
      </c>
      <c r="G1354" t="s">
        <v>543</v>
      </c>
      <c r="H1354" s="4"/>
      <c r="J1354" s="71"/>
      <c r="K1354"/>
      <c r="L1354" s="5"/>
      <c r="M1354"/>
    </row>
    <row r="1355" spans="1:13" hidden="1" x14ac:dyDescent="0.25">
      <c r="A1355" s="127">
        <v>3142</v>
      </c>
      <c r="B1355" s="46" t="s">
        <v>900</v>
      </c>
      <c r="C1355" s="46" t="s">
        <v>101</v>
      </c>
      <c r="D1355" s="46" t="s">
        <v>680</v>
      </c>
      <c r="E1355" s="46" t="s">
        <v>1057</v>
      </c>
      <c r="F1355" s="35">
        <v>1176003000</v>
      </c>
      <c r="G1355" t="s">
        <v>716</v>
      </c>
      <c r="H1355" s="4"/>
      <c r="J1355" s="71"/>
      <c r="K1355"/>
      <c r="L1355" s="5"/>
      <c r="M1355"/>
    </row>
    <row r="1356" spans="1:13" hidden="1" x14ac:dyDescent="0.25">
      <c r="A1356" s="127">
        <v>3145</v>
      </c>
      <c r="B1356" s="46" t="s">
        <v>900</v>
      </c>
      <c r="C1356" s="46" t="s">
        <v>101</v>
      </c>
      <c r="D1356" s="46" t="s">
        <v>680</v>
      </c>
      <c r="E1356" s="46" t="s">
        <v>1057</v>
      </c>
      <c r="F1356" s="35">
        <v>1925001000</v>
      </c>
      <c r="G1356" t="s">
        <v>624</v>
      </c>
      <c r="H1356" s="4"/>
      <c r="J1356" s="71"/>
      <c r="K1356"/>
      <c r="L1356" s="5"/>
      <c r="M1356"/>
    </row>
    <row r="1357" spans="1:13" hidden="1" x14ac:dyDescent="0.25">
      <c r="A1357" s="127">
        <v>3146</v>
      </c>
      <c r="B1357" s="46" t="s">
        <v>900</v>
      </c>
      <c r="C1357" s="46" t="s">
        <v>101</v>
      </c>
      <c r="D1357" s="46" t="s">
        <v>680</v>
      </c>
      <c r="E1357" s="46" t="s">
        <v>1057</v>
      </c>
      <c r="F1357" s="35">
        <v>1925001000</v>
      </c>
      <c r="G1357" t="s">
        <v>624</v>
      </c>
      <c r="H1357" s="4"/>
      <c r="J1357" s="71"/>
      <c r="K1357"/>
      <c r="L1357" s="5"/>
      <c r="M1357"/>
    </row>
    <row r="1358" spans="1:13" hidden="1" x14ac:dyDescent="0.25">
      <c r="A1358" s="127">
        <v>3147</v>
      </c>
      <c r="B1358" s="46" t="s">
        <v>900</v>
      </c>
      <c r="C1358" s="46" t="s">
        <v>101</v>
      </c>
      <c r="D1358" s="46" t="s">
        <v>680</v>
      </c>
      <c r="E1358" s="46" t="s">
        <v>1057</v>
      </c>
      <c r="F1358" s="35">
        <v>3365001000</v>
      </c>
      <c r="G1358" t="s">
        <v>588</v>
      </c>
      <c r="H1358" s="4"/>
      <c r="J1358" s="71"/>
      <c r="K1358"/>
      <c r="L1358" s="5"/>
      <c r="M1358"/>
    </row>
    <row r="1359" spans="1:13" hidden="1" x14ac:dyDescent="0.25">
      <c r="A1359" s="127">
        <v>3149</v>
      </c>
      <c r="B1359" s="46" t="s">
        <v>900</v>
      </c>
      <c r="C1359" s="46" t="s">
        <v>101</v>
      </c>
      <c r="D1359" s="46" t="s">
        <v>680</v>
      </c>
      <c r="E1359" s="46" t="s">
        <v>1057</v>
      </c>
      <c r="F1359" s="35">
        <v>1925011000</v>
      </c>
      <c r="G1359" t="s">
        <v>603</v>
      </c>
      <c r="H1359" s="4"/>
      <c r="J1359" s="71"/>
      <c r="K1359"/>
      <c r="L1359" s="5"/>
      <c r="M1359"/>
    </row>
    <row r="1360" spans="1:13" hidden="1" x14ac:dyDescent="0.25">
      <c r="A1360" s="127">
        <v>3150</v>
      </c>
      <c r="B1360" s="46" t="s">
        <v>898</v>
      </c>
      <c r="C1360" s="46" t="s">
        <v>101</v>
      </c>
      <c r="D1360" s="46" t="s">
        <v>930</v>
      </c>
      <c r="E1360" s="46" t="s">
        <v>1057</v>
      </c>
      <c r="F1360" s="35">
        <v>1000002</v>
      </c>
      <c r="G1360" t="s">
        <v>576</v>
      </c>
      <c r="H1360" s="4"/>
      <c r="J1360" s="71"/>
      <c r="K1360"/>
      <c r="L1360" s="5"/>
      <c r="M1360"/>
    </row>
    <row r="1361" spans="1:13" hidden="1" x14ac:dyDescent="0.25">
      <c r="A1361" s="127">
        <v>3151</v>
      </c>
      <c r="B1361" s="46" t="s">
        <v>900</v>
      </c>
      <c r="C1361" s="46" t="s">
        <v>101</v>
      </c>
      <c r="D1361" s="46" t="s">
        <v>680</v>
      </c>
      <c r="E1361" s="46" t="s">
        <v>1057</v>
      </c>
      <c r="F1361" s="35">
        <v>3119003000</v>
      </c>
      <c r="G1361" t="s">
        <v>620</v>
      </c>
      <c r="H1361" s="4"/>
      <c r="J1361" s="71"/>
      <c r="K1361"/>
      <c r="L1361" s="5"/>
      <c r="M1361"/>
    </row>
    <row r="1362" spans="1:13" hidden="1" x14ac:dyDescent="0.25">
      <c r="A1362" s="127">
        <v>3153</v>
      </c>
      <c r="B1362" s="46" t="s">
        <v>892</v>
      </c>
      <c r="C1362" s="46" t="s">
        <v>968</v>
      </c>
      <c r="D1362" s="46" t="s">
        <v>969</v>
      </c>
      <c r="E1362" s="46" t="s">
        <v>1057</v>
      </c>
      <c r="F1362" s="35">
        <v>1176003000</v>
      </c>
      <c r="G1362" t="s">
        <v>716</v>
      </c>
      <c r="H1362" s="4"/>
      <c r="J1362" s="71"/>
      <c r="K1362"/>
      <c r="L1362" s="5"/>
      <c r="M1362"/>
    </row>
    <row r="1363" spans="1:13" hidden="1" x14ac:dyDescent="0.25">
      <c r="A1363" s="127">
        <v>3167</v>
      </c>
      <c r="B1363" s="46" t="s">
        <v>957</v>
      </c>
      <c r="C1363" s="46" t="s">
        <v>796</v>
      </c>
      <c r="D1363" s="46" t="s">
        <v>972</v>
      </c>
      <c r="E1363" s="46" t="s">
        <v>1057</v>
      </c>
      <c r="F1363" s="35">
        <v>1925007000</v>
      </c>
      <c r="G1363" t="s">
        <v>721</v>
      </c>
      <c r="H1363" s="4"/>
      <c r="J1363" s="71"/>
      <c r="K1363"/>
      <c r="L1363" s="5"/>
      <c r="M1363"/>
    </row>
    <row r="1364" spans="1:13" hidden="1" x14ac:dyDescent="0.25">
      <c r="A1364" s="127">
        <v>3176</v>
      </c>
      <c r="B1364" s="46" t="s">
        <v>900</v>
      </c>
      <c r="C1364" s="46" t="s">
        <v>101</v>
      </c>
      <c r="D1364" s="46" t="s">
        <v>680</v>
      </c>
      <c r="E1364" s="46" t="s">
        <v>1057</v>
      </c>
      <c r="F1364" s="35">
        <v>1925001000</v>
      </c>
      <c r="G1364" t="s">
        <v>624</v>
      </c>
      <c r="H1364" s="4"/>
      <c r="J1364" s="71"/>
      <c r="K1364"/>
      <c r="L1364" s="5"/>
      <c r="M1364"/>
    </row>
    <row r="1365" spans="1:13" hidden="1" x14ac:dyDescent="0.25">
      <c r="A1365" s="127">
        <v>3180</v>
      </c>
      <c r="B1365" s="46" t="s">
        <v>900</v>
      </c>
      <c r="C1365" s="46" t="s">
        <v>101</v>
      </c>
      <c r="D1365" s="46" t="s">
        <v>680</v>
      </c>
      <c r="E1365" s="46" t="s">
        <v>1057</v>
      </c>
      <c r="F1365" s="35">
        <v>1176003000</v>
      </c>
      <c r="G1365" t="s">
        <v>716</v>
      </c>
      <c r="H1365" s="4"/>
      <c r="J1365" s="71"/>
      <c r="K1365"/>
      <c r="L1365" s="5"/>
      <c r="M1365"/>
    </row>
    <row r="1366" spans="1:13" hidden="1" x14ac:dyDescent="0.25">
      <c r="A1366" s="127">
        <v>3181</v>
      </c>
      <c r="B1366" s="46" t="s">
        <v>900</v>
      </c>
      <c r="C1366" s="46" t="s">
        <v>101</v>
      </c>
      <c r="D1366" s="46" t="s">
        <v>680</v>
      </c>
      <c r="E1366" s="46" t="s">
        <v>1057</v>
      </c>
      <c r="F1366" s="35">
        <v>3207019000</v>
      </c>
      <c r="G1366" t="s">
        <v>1052</v>
      </c>
      <c r="H1366" s="4"/>
      <c r="J1366" s="71"/>
      <c r="K1366"/>
      <c r="L1366" s="5"/>
      <c r="M1366"/>
    </row>
    <row r="1367" spans="1:13" hidden="1" x14ac:dyDescent="0.25">
      <c r="A1367" s="127">
        <v>3182</v>
      </c>
      <c r="B1367" s="46" t="s">
        <v>901</v>
      </c>
      <c r="C1367" s="46" t="s">
        <v>32</v>
      </c>
      <c r="E1367" s="46" t="s">
        <v>1057</v>
      </c>
      <c r="F1367" s="35">
        <v>3207017000</v>
      </c>
      <c r="G1367" t="s">
        <v>1053</v>
      </c>
      <c r="H1367" s="4"/>
      <c r="J1367" s="71"/>
      <c r="K1367"/>
      <c r="L1367" s="5"/>
      <c r="M1367"/>
    </row>
    <row r="1368" spans="1:13" hidden="1" x14ac:dyDescent="0.25">
      <c r="A1368" s="127">
        <v>3186</v>
      </c>
      <c r="B1368" s="46" t="s">
        <v>948</v>
      </c>
      <c r="C1368" s="46" t="s">
        <v>101</v>
      </c>
      <c r="D1368" s="46" t="s">
        <v>973</v>
      </c>
      <c r="E1368" s="46" t="s">
        <v>1057</v>
      </c>
      <c r="F1368" s="35">
        <v>2126010000</v>
      </c>
      <c r="G1368" t="s">
        <v>622</v>
      </c>
      <c r="H1368" s="4"/>
      <c r="J1368" s="71"/>
      <c r="K1368"/>
      <c r="L1368" s="5"/>
      <c r="M1368"/>
    </row>
    <row r="1369" spans="1:13" hidden="1" x14ac:dyDescent="0.25">
      <c r="A1369" s="127">
        <v>3189</v>
      </c>
      <c r="B1369" s="46" t="s">
        <v>900</v>
      </c>
      <c r="C1369" s="46" t="s">
        <v>101</v>
      </c>
      <c r="D1369" s="46" t="s">
        <v>680</v>
      </c>
      <c r="E1369" s="46" t="s">
        <v>1057</v>
      </c>
      <c r="F1369" s="35">
        <v>2126010000</v>
      </c>
      <c r="G1369" t="s">
        <v>622</v>
      </c>
      <c r="H1369" s="4"/>
      <c r="J1369" s="71"/>
      <c r="K1369"/>
      <c r="L1369" s="5"/>
      <c r="M1369"/>
    </row>
    <row r="1370" spans="1:13" hidden="1" x14ac:dyDescent="0.25">
      <c r="A1370" s="127">
        <v>3212</v>
      </c>
      <c r="B1370" s="46" t="s">
        <v>900</v>
      </c>
      <c r="C1370" s="46" t="s">
        <v>101</v>
      </c>
      <c r="D1370" s="46" t="s">
        <v>680</v>
      </c>
      <c r="E1370" s="46" t="s">
        <v>1057</v>
      </c>
      <c r="F1370" s="35">
        <v>153002000</v>
      </c>
      <c r="G1370" t="s">
        <v>562</v>
      </c>
      <c r="H1370" s="4"/>
      <c r="J1370" s="71"/>
      <c r="K1370"/>
      <c r="L1370" s="5"/>
      <c r="M1370"/>
    </row>
    <row r="1371" spans="1:13" hidden="1" x14ac:dyDescent="0.25">
      <c r="A1371" s="127">
        <v>3214</v>
      </c>
      <c r="B1371" s="46" t="s">
        <v>894</v>
      </c>
      <c r="C1371" s="46" t="s">
        <v>975</v>
      </c>
      <c r="D1371" s="46" t="s">
        <v>976</v>
      </c>
      <c r="E1371" s="46" t="s">
        <v>1057</v>
      </c>
      <c r="F1371" s="35">
        <v>1014001</v>
      </c>
      <c r="G1371" t="s">
        <v>543</v>
      </c>
      <c r="H1371" s="4"/>
      <c r="J1371" s="71"/>
      <c r="K1371"/>
      <c r="L1371" s="5"/>
      <c r="M1371"/>
    </row>
    <row r="1372" spans="1:13" hidden="1" x14ac:dyDescent="0.25">
      <c r="A1372" s="127">
        <v>3248</v>
      </c>
      <c r="B1372" s="46" t="s">
        <v>979</v>
      </c>
      <c r="C1372" s="46" t="s">
        <v>980</v>
      </c>
      <c r="D1372" s="46" t="s">
        <v>981</v>
      </c>
      <c r="E1372" s="46" t="s">
        <v>1057</v>
      </c>
      <c r="F1372" s="35">
        <v>1925001000</v>
      </c>
      <c r="G1372" t="s">
        <v>624</v>
      </c>
      <c r="H1372" s="4"/>
      <c r="J1372" s="71"/>
      <c r="K1372"/>
      <c r="L1372" s="5"/>
      <c r="M1372"/>
    </row>
    <row r="1373" spans="1:13" hidden="1" x14ac:dyDescent="0.25">
      <c r="A1373" s="127">
        <v>3291</v>
      </c>
      <c r="B1373" s="46" t="s">
        <v>898</v>
      </c>
      <c r="C1373" s="46" t="s">
        <v>101</v>
      </c>
      <c r="D1373" s="46" t="s">
        <v>965</v>
      </c>
      <c r="E1373" s="46" t="s">
        <v>1057</v>
      </c>
      <c r="F1373" s="35">
        <v>2548013000</v>
      </c>
      <c r="G1373" t="s">
        <v>642</v>
      </c>
      <c r="H1373" s="4"/>
      <c r="J1373" s="71"/>
      <c r="K1373"/>
      <c r="L1373" s="5"/>
      <c r="M1373"/>
    </row>
    <row r="1374" spans="1:13" hidden="1" x14ac:dyDescent="0.25">
      <c r="A1374" s="127">
        <v>3297</v>
      </c>
      <c r="B1374" s="46" t="s">
        <v>898</v>
      </c>
      <c r="C1374" s="46" t="s">
        <v>101</v>
      </c>
      <c r="D1374" s="46" t="s">
        <v>930</v>
      </c>
      <c r="E1374" s="46" t="s">
        <v>1057</v>
      </c>
      <c r="F1374" s="35">
        <v>2548013000</v>
      </c>
      <c r="G1374" t="s">
        <v>642</v>
      </c>
      <c r="H1374" s="4"/>
      <c r="J1374" s="71"/>
      <c r="K1374"/>
      <c r="L1374" s="5"/>
      <c r="M1374"/>
    </row>
    <row r="1375" spans="1:13" hidden="1" x14ac:dyDescent="0.25">
      <c r="A1375" s="127">
        <v>3306</v>
      </c>
      <c r="B1375" s="46" t="s">
        <v>900</v>
      </c>
      <c r="C1375" s="46" t="s">
        <v>101</v>
      </c>
      <c r="D1375" s="46" t="s">
        <v>680</v>
      </c>
      <c r="E1375" s="46" t="s">
        <v>1057</v>
      </c>
      <c r="F1375" s="35">
        <v>3300202000</v>
      </c>
      <c r="G1375" t="s">
        <v>585</v>
      </c>
      <c r="H1375" s="4"/>
      <c r="J1375" s="71"/>
      <c r="K1375"/>
      <c r="L1375" s="5"/>
      <c r="M1375"/>
    </row>
    <row r="1376" spans="1:13" hidden="1" x14ac:dyDescent="0.25">
      <c r="A1376" s="127">
        <v>3340</v>
      </c>
      <c r="B1376" s="46" t="s">
        <v>898</v>
      </c>
      <c r="C1376" s="46" t="s">
        <v>101</v>
      </c>
      <c r="D1376" s="46" t="s">
        <v>930</v>
      </c>
      <c r="E1376" s="46" t="s">
        <v>1057</v>
      </c>
      <c r="F1376" s="35">
        <v>3300200000</v>
      </c>
      <c r="G1376" t="s">
        <v>687</v>
      </c>
      <c r="H1376" s="4"/>
      <c r="J1376" s="71"/>
      <c r="K1376"/>
      <c r="L1376" s="5"/>
      <c r="M1376"/>
    </row>
    <row r="1377" spans="1:13" hidden="1" x14ac:dyDescent="0.25">
      <c r="A1377" s="127">
        <v>3341</v>
      </c>
      <c r="B1377" s="46" t="s">
        <v>900</v>
      </c>
      <c r="C1377" s="46" t="s">
        <v>101</v>
      </c>
      <c r="D1377" s="46" t="s">
        <v>986</v>
      </c>
      <c r="E1377" s="46" t="s">
        <v>1057</v>
      </c>
      <c r="F1377" s="35">
        <v>1014002</v>
      </c>
      <c r="G1377" t="s">
        <v>564</v>
      </c>
      <c r="H1377" s="4"/>
      <c r="J1377" s="71"/>
      <c r="K1377"/>
      <c r="L1377" s="5"/>
      <c r="M1377"/>
    </row>
    <row r="1378" spans="1:13" hidden="1" x14ac:dyDescent="0.25">
      <c r="A1378" s="127">
        <v>3342</v>
      </c>
      <c r="B1378" s="46" t="s">
        <v>900</v>
      </c>
      <c r="C1378" s="46" t="s">
        <v>101</v>
      </c>
      <c r="D1378" s="46" t="s">
        <v>986</v>
      </c>
      <c r="E1378" s="46" t="s">
        <v>1057</v>
      </c>
      <c r="F1378" s="35">
        <v>1014001</v>
      </c>
      <c r="G1378" t="s">
        <v>543</v>
      </c>
      <c r="H1378" s="4"/>
      <c r="J1378" s="71"/>
      <c r="K1378"/>
      <c r="L1378" s="5"/>
      <c r="M1378"/>
    </row>
    <row r="1379" spans="1:13" hidden="1" x14ac:dyDescent="0.25">
      <c r="A1379" s="127">
        <v>3347</v>
      </c>
      <c r="B1379" s="46" t="s">
        <v>892</v>
      </c>
      <c r="C1379" s="46" t="s">
        <v>987</v>
      </c>
      <c r="D1379" s="46" t="s">
        <v>988</v>
      </c>
      <c r="E1379" s="46" t="s">
        <v>1057</v>
      </c>
      <c r="F1379" s="35">
        <v>1014002</v>
      </c>
      <c r="G1379" t="s">
        <v>564</v>
      </c>
      <c r="H1379" s="4"/>
      <c r="J1379" s="71"/>
      <c r="K1379"/>
      <c r="L1379" s="5"/>
      <c r="M1379"/>
    </row>
    <row r="1380" spans="1:13" hidden="1" x14ac:dyDescent="0.25">
      <c r="A1380" s="127">
        <v>3348</v>
      </c>
      <c r="B1380" s="46" t="s">
        <v>918</v>
      </c>
      <c r="C1380" s="46" t="s">
        <v>101</v>
      </c>
      <c r="D1380" s="46" t="s">
        <v>989</v>
      </c>
      <c r="E1380" s="46" t="s">
        <v>1057</v>
      </c>
      <c r="F1380" s="35">
        <v>66011000</v>
      </c>
      <c r="G1380" t="s">
        <v>548</v>
      </c>
      <c r="H1380" s="4"/>
      <c r="J1380" s="71"/>
      <c r="K1380"/>
      <c r="L1380" s="5"/>
      <c r="M1380"/>
    </row>
    <row r="1381" spans="1:13" hidden="1" x14ac:dyDescent="0.25">
      <c r="A1381" s="127">
        <v>3349</v>
      </c>
      <c r="B1381" s="46" t="s">
        <v>900</v>
      </c>
      <c r="C1381" s="46" t="s">
        <v>101</v>
      </c>
      <c r="D1381" s="46" t="s">
        <v>990</v>
      </c>
      <c r="E1381" s="46" t="s">
        <v>1057</v>
      </c>
      <c r="F1381" s="35">
        <v>3300202000</v>
      </c>
      <c r="G1381" t="s">
        <v>585</v>
      </c>
      <c r="H1381" s="4"/>
      <c r="J1381" s="71"/>
      <c r="K1381"/>
      <c r="L1381" s="5"/>
      <c r="M1381"/>
    </row>
    <row r="1382" spans="1:13" hidden="1" x14ac:dyDescent="0.25">
      <c r="A1382" s="127">
        <v>3353</v>
      </c>
      <c r="B1382" s="46" t="s">
        <v>901</v>
      </c>
      <c r="C1382" s="46" t="s">
        <v>991</v>
      </c>
      <c r="D1382" s="46" t="s">
        <v>187</v>
      </c>
      <c r="E1382" s="46" t="s">
        <v>1057</v>
      </c>
      <c r="F1382" s="35">
        <v>1014002</v>
      </c>
      <c r="G1382" t="s">
        <v>564</v>
      </c>
      <c r="H1382" s="4"/>
      <c r="J1382" s="71"/>
      <c r="K1382"/>
      <c r="L1382" s="5"/>
      <c r="M1382"/>
    </row>
    <row r="1383" spans="1:13" hidden="1" x14ac:dyDescent="0.25">
      <c r="A1383" s="127">
        <v>3360</v>
      </c>
      <c r="B1383" s="46" t="s">
        <v>894</v>
      </c>
      <c r="C1383" s="46" t="s">
        <v>928</v>
      </c>
      <c r="D1383" s="46">
        <v>500</v>
      </c>
      <c r="E1383" s="46" t="s">
        <v>1057</v>
      </c>
      <c r="F1383" s="35">
        <v>1925001000</v>
      </c>
      <c r="G1383" t="s">
        <v>624</v>
      </c>
      <c r="H1383" s="4"/>
      <c r="J1383" s="71"/>
      <c r="K1383"/>
      <c r="L1383" s="5"/>
      <c r="M1383"/>
    </row>
    <row r="1384" spans="1:13" hidden="1" x14ac:dyDescent="0.25">
      <c r="A1384" s="127">
        <v>3371</v>
      </c>
      <c r="B1384" s="46" t="s">
        <v>900</v>
      </c>
      <c r="C1384" s="46" t="s">
        <v>101</v>
      </c>
      <c r="D1384" s="46" t="s">
        <v>680</v>
      </c>
      <c r="E1384" s="46" t="s">
        <v>1057</v>
      </c>
      <c r="F1384" s="35">
        <v>1000002</v>
      </c>
      <c r="G1384" t="s">
        <v>576</v>
      </c>
      <c r="H1384" s="4"/>
      <c r="J1384" s="71"/>
      <c r="K1384"/>
      <c r="L1384" s="5"/>
      <c r="M1384"/>
    </row>
    <row r="1385" spans="1:13" hidden="1" x14ac:dyDescent="0.25">
      <c r="A1385" s="127">
        <v>3372</v>
      </c>
      <c r="B1385" s="46" t="s">
        <v>900</v>
      </c>
      <c r="C1385" s="46" t="s">
        <v>101</v>
      </c>
      <c r="D1385" s="46" t="s">
        <v>680</v>
      </c>
      <c r="E1385" s="46" t="s">
        <v>1057</v>
      </c>
      <c r="F1385" s="35">
        <v>1000002</v>
      </c>
      <c r="G1385" t="s">
        <v>576</v>
      </c>
      <c r="H1385" s="4"/>
      <c r="J1385" s="71"/>
      <c r="K1385"/>
      <c r="L1385" s="5"/>
      <c r="M1385"/>
    </row>
    <row r="1386" spans="1:13" hidden="1" x14ac:dyDescent="0.25">
      <c r="A1386" s="127">
        <v>3376</v>
      </c>
      <c r="B1386" s="46" t="s">
        <v>979</v>
      </c>
      <c r="C1386" s="46" t="s">
        <v>980</v>
      </c>
      <c r="D1386" s="46" t="s">
        <v>994</v>
      </c>
      <c r="E1386" s="46" t="s">
        <v>1057</v>
      </c>
      <c r="F1386" s="35">
        <v>1925011000</v>
      </c>
      <c r="G1386" t="s">
        <v>603</v>
      </c>
      <c r="H1386" s="4"/>
      <c r="J1386" s="71"/>
      <c r="K1386"/>
      <c r="L1386" s="5"/>
      <c r="M1386"/>
    </row>
    <row r="1387" spans="1:13" hidden="1" x14ac:dyDescent="0.25">
      <c r="A1387" s="127">
        <v>3392</v>
      </c>
      <c r="B1387" s="46" t="s">
        <v>900</v>
      </c>
      <c r="C1387" s="46" t="s">
        <v>997</v>
      </c>
      <c r="D1387" s="46" t="s">
        <v>998</v>
      </c>
      <c r="E1387" s="46" t="s">
        <v>1057</v>
      </c>
      <c r="F1387" s="35">
        <v>3182005000</v>
      </c>
      <c r="G1387" t="s">
        <v>1054</v>
      </c>
      <c r="H1387" s="4"/>
      <c r="J1387" s="71"/>
      <c r="K1387"/>
      <c r="L1387" s="5"/>
      <c r="M1387"/>
    </row>
    <row r="1388" spans="1:13" hidden="1" x14ac:dyDescent="0.25">
      <c r="A1388" s="127">
        <v>3397</v>
      </c>
      <c r="B1388" s="46" t="s">
        <v>900</v>
      </c>
      <c r="C1388" s="46" t="s">
        <v>101</v>
      </c>
      <c r="D1388" s="46" t="s">
        <v>680</v>
      </c>
      <c r="E1388" s="46" t="s">
        <v>1057</v>
      </c>
      <c r="F1388" s="35">
        <v>1925007000</v>
      </c>
      <c r="G1388" t="s">
        <v>721</v>
      </c>
      <c r="H1388" s="4"/>
      <c r="J1388" s="71"/>
      <c r="K1388"/>
      <c r="L1388" s="5"/>
      <c r="M1388"/>
    </row>
    <row r="1389" spans="1:13" hidden="1" x14ac:dyDescent="0.25">
      <c r="A1389" s="127">
        <v>3404</v>
      </c>
      <c r="B1389" s="46" t="s">
        <v>900</v>
      </c>
      <c r="C1389" s="46" t="s">
        <v>101</v>
      </c>
      <c r="D1389" s="46" t="s">
        <v>680</v>
      </c>
      <c r="E1389" s="46" t="s">
        <v>1057</v>
      </c>
      <c r="F1389" s="35">
        <v>3365001000</v>
      </c>
      <c r="G1389" t="s">
        <v>588</v>
      </c>
      <c r="H1389" s="4"/>
      <c r="J1389" s="71"/>
      <c r="K1389"/>
      <c r="L1389" s="5"/>
      <c r="M1389"/>
    </row>
    <row r="1390" spans="1:13" hidden="1" x14ac:dyDescent="0.25">
      <c r="A1390" s="16">
        <v>3408</v>
      </c>
      <c r="B1390" s="6" t="s">
        <v>18</v>
      </c>
      <c r="C1390" s="6" t="s">
        <v>11</v>
      </c>
      <c r="D1390" s="6" t="s">
        <v>19</v>
      </c>
      <c r="E1390" s="4" t="s">
        <v>1057</v>
      </c>
      <c r="F1390" s="3">
        <v>1652002001</v>
      </c>
      <c r="G1390" s="11" t="s">
        <v>292</v>
      </c>
      <c r="H1390" s="11" t="s">
        <v>338</v>
      </c>
      <c r="I1390" s="4" t="s">
        <v>290</v>
      </c>
      <c r="J1390" s="4" t="s">
        <v>267</v>
      </c>
      <c r="K1390" s="71">
        <v>2</v>
      </c>
      <c r="L1390" t="s">
        <v>17</v>
      </c>
      <c r="M1390" s="5">
        <f>K1390/7</f>
        <v>0.2857142857142857</v>
      </c>
    </row>
    <row r="1391" spans="1:13" hidden="1" x14ac:dyDescent="0.25">
      <c r="A1391" s="127">
        <v>3411</v>
      </c>
      <c r="B1391" s="46" t="s">
        <v>900</v>
      </c>
      <c r="C1391" s="46" t="s">
        <v>101</v>
      </c>
      <c r="D1391" s="46" t="s">
        <v>1005</v>
      </c>
      <c r="E1391" s="46" t="s">
        <v>1057</v>
      </c>
      <c r="F1391" s="35">
        <v>3318002000</v>
      </c>
      <c r="G1391" t="s">
        <v>1055</v>
      </c>
      <c r="H1391" s="4"/>
      <c r="J1391" s="71"/>
      <c r="K1391"/>
      <c r="L1391" s="5"/>
      <c r="M1391"/>
    </row>
    <row r="1392" spans="1:13" hidden="1" x14ac:dyDescent="0.25">
      <c r="A1392" s="127">
        <v>3415</v>
      </c>
      <c r="B1392" s="46" t="s">
        <v>979</v>
      </c>
      <c r="C1392" s="46" t="s">
        <v>1007</v>
      </c>
      <c r="D1392" s="46" t="s">
        <v>1008</v>
      </c>
      <c r="E1392" s="46" t="s">
        <v>1057</v>
      </c>
      <c r="F1392" s="35">
        <v>3365001000</v>
      </c>
      <c r="G1392" t="s">
        <v>588</v>
      </c>
      <c r="H1392" s="4"/>
      <c r="J1392" s="71"/>
      <c r="K1392"/>
      <c r="L1392" s="5"/>
      <c r="M1392"/>
    </row>
    <row r="1393" spans="1:13" hidden="1" x14ac:dyDescent="0.25">
      <c r="A1393" s="127">
        <v>3420</v>
      </c>
      <c r="B1393" s="46" t="s">
        <v>892</v>
      </c>
      <c r="C1393" s="46" t="s">
        <v>1011</v>
      </c>
      <c r="D1393" s="46" t="s">
        <v>1012</v>
      </c>
      <c r="E1393" s="46" t="s">
        <v>1057</v>
      </c>
      <c r="F1393" s="35">
        <v>3042107001</v>
      </c>
      <c r="G1393" t="s">
        <v>1056</v>
      </c>
      <c r="H1393" s="4"/>
      <c r="J1393" s="71"/>
      <c r="K1393"/>
      <c r="L1393" s="5"/>
      <c r="M1393"/>
    </row>
    <row r="1394" spans="1:13" hidden="1" x14ac:dyDescent="0.25">
      <c r="A1394" s="127">
        <v>3428</v>
      </c>
      <c r="B1394" s="46" t="s">
        <v>957</v>
      </c>
      <c r="C1394" s="46" t="s">
        <v>796</v>
      </c>
      <c r="D1394" s="46" t="s">
        <v>1014</v>
      </c>
      <c r="E1394" s="46" t="s">
        <v>1057</v>
      </c>
      <c r="F1394" s="35">
        <v>1014002</v>
      </c>
      <c r="G1394" t="s">
        <v>564</v>
      </c>
      <c r="H1394" s="4"/>
      <c r="J1394" s="71"/>
      <c r="K1394"/>
      <c r="L1394" s="5"/>
      <c r="M1394"/>
    </row>
    <row r="1395" spans="1:13" hidden="1" x14ac:dyDescent="0.25">
      <c r="A1395" s="127">
        <v>3431</v>
      </c>
      <c r="B1395" s="46" t="s">
        <v>898</v>
      </c>
      <c r="C1395" s="46" t="s">
        <v>1015</v>
      </c>
      <c r="D1395" s="46" t="s">
        <v>1016</v>
      </c>
      <c r="E1395" s="46" t="s">
        <v>1057</v>
      </c>
      <c r="F1395" s="35">
        <v>1925011000</v>
      </c>
      <c r="G1395" t="s">
        <v>603</v>
      </c>
      <c r="H1395" s="4"/>
      <c r="J1395" s="71"/>
      <c r="K1395"/>
      <c r="L1395" s="5"/>
      <c r="M1395"/>
    </row>
    <row r="1396" spans="1:13" hidden="1" x14ac:dyDescent="0.25">
      <c r="A1396" s="127">
        <v>3432</v>
      </c>
      <c r="B1396" s="46" t="s">
        <v>898</v>
      </c>
      <c r="C1396" s="46" t="s">
        <v>101</v>
      </c>
      <c r="D1396" s="46" t="s">
        <v>1004</v>
      </c>
      <c r="E1396" s="46" t="s">
        <v>1057</v>
      </c>
      <c r="F1396" s="35">
        <v>1014001</v>
      </c>
      <c r="G1396" t="s">
        <v>543</v>
      </c>
      <c r="H1396" s="4"/>
      <c r="J1396" s="71"/>
      <c r="K1396"/>
      <c r="L1396" s="5"/>
      <c r="M1396"/>
    </row>
    <row r="1397" spans="1:13" hidden="1" x14ac:dyDescent="0.25">
      <c r="A1397" s="127">
        <v>3433</v>
      </c>
      <c r="B1397" s="46" t="s">
        <v>898</v>
      </c>
      <c r="C1397" s="46" t="s">
        <v>101</v>
      </c>
      <c r="D1397" s="46" t="s">
        <v>1004</v>
      </c>
      <c r="E1397" s="46" t="s">
        <v>1057</v>
      </c>
      <c r="F1397" s="35">
        <v>1014001</v>
      </c>
      <c r="G1397" t="s">
        <v>543</v>
      </c>
      <c r="H1397" s="4"/>
      <c r="J1397" s="71"/>
      <c r="K1397"/>
      <c r="L1397" s="5"/>
      <c r="M1397"/>
    </row>
    <row r="1398" spans="1:13" hidden="1" x14ac:dyDescent="0.25">
      <c r="A1398" s="127">
        <v>3434</v>
      </c>
      <c r="B1398" s="46" t="s">
        <v>898</v>
      </c>
      <c r="C1398" s="46" t="s">
        <v>101</v>
      </c>
      <c r="D1398" s="46" t="s">
        <v>1004</v>
      </c>
      <c r="E1398" s="46" t="s">
        <v>1057</v>
      </c>
      <c r="F1398" s="35">
        <v>1014001</v>
      </c>
      <c r="G1398" t="s">
        <v>543</v>
      </c>
      <c r="H1398" s="4"/>
      <c r="J1398" s="71"/>
      <c r="K1398"/>
      <c r="L1398" s="5"/>
      <c r="M1398"/>
    </row>
    <row r="1399" spans="1:13" hidden="1" x14ac:dyDescent="0.25">
      <c r="A1399" s="127">
        <v>3435</v>
      </c>
      <c r="B1399" s="46" t="s">
        <v>898</v>
      </c>
      <c r="C1399" s="46" t="s">
        <v>101</v>
      </c>
      <c r="D1399" s="46" t="s">
        <v>1004</v>
      </c>
      <c r="E1399" s="46" t="s">
        <v>1057</v>
      </c>
      <c r="F1399" s="35">
        <v>2936002000</v>
      </c>
      <c r="G1399" t="s">
        <v>668</v>
      </c>
      <c r="H1399" s="4"/>
      <c r="J1399" s="71"/>
      <c r="K1399"/>
      <c r="L1399" s="5"/>
      <c r="M1399"/>
    </row>
    <row r="1400" spans="1:13" hidden="1" x14ac:dyDescent="0.25">
      <c r="A1400" s="127">
        <v>3436</v>
      </c>
      <c r="B1400" s="46" t="s">
        <v>900</v>
      </c>
      <c r="C1400" s="46" t="s">
        <v>1017</v>
      </c>
      <c r="D1400" s="46" t="s">
        <v>1018</v>
      </c>
      <c r="E1400" s="46" t="s">
        <v>1057</v>
      </c>
      <c r="F1400" s="35">
        <v>2499001000</v>
      </c>
      <c r="G1400" t="s">
        <v>665</v>
      </c>
      <c r="H1400" s="4"/>
      <c r="J1400" s="71"/>
      <c r="K1400"/>
      <c r="L1400" s="5"/>
      <c r="M1400"/>
    </row>
    <row r="1401" spans="1:13" hidden="1" x14ac:dyDescent="0.25">
      <c r="A1401" s="127">
        <v>3502</v>
      </c>
      <c r="B1401" s="46" t="s">
        <v>892</v>
      </c>
      <c r="C1401" s="46" t="s">
        <v>1011</v>
      </c>
      <c r="D1401" s="46" t="s">
        <v>1033</v>
      </c>
      <c r="E1401" s="46" t="s">
        <v>1057</v>
      </c>
      <c r="F1401" s="35">
        <v>2126010000</v>
      </c>
      <c r="G1401" t="s">
        <v>622</v>
      </c>
      <c r="H1401" s="4"/>
      <c r="J1401" s="71"/>
      <c r="K1401"/>
      <c r="L1401" s="5"/>
      <c r="M1401"/>
    </row>
    <row r="1402" spans="1:13" hidden="1" x14ac:dyDescent="0.25">
      <c r="A1402" s="127">
        <v>973408</v>
      </c>
      <c r="B1402" s="46" t="s">
        <v>898</v>
      </c>
      <c r="C1402" s="46" t="s">
        <v>101</v>
      </c>
      <c r="D1402" s="46" t="s">
        <v>1004</v>
      </c>
      <c r="E1402" s="46" t="s">
        <v>1057</v>
      </c>
      <c r="F1402" s="35">
        <v>989003001</v>
      </c>
      <c r="G1402" t="s">
        <v>815</v>
      </c>
      <c r="H1402" s="4"/>
      <c r="J1402" s="71"/>
      <c r="K1402"/>
      <c r="L1402" s="5"/>
      <c r="M1402"/>
    </row>
    <row r="1403" spans="1:13" hidden="1" x14ac:dyDescent="0.25">
      <c r="A1403" s="127">
        <v>2351</v>
      </c>
      <c r="B1403" s="46" t="s">
        <v>910</v>
      </c>
      <c r="C1403" s="46" t="s">
        <v>911</v>
      </c>
      <c r="D1403" s="46" t="s">
        <v>912</v>
      </c>
      <c r="E1403" s="46" t="s">
        <v>1059</v>
      </c>
      <c r="F1403" s="35">
        <v>1000002</v>
      </c>
      <c r="G1403" t="s">
        <v>576</v>
      </c>
      <c r="H1403" s="4"/>
      <c r="J1403" s="71"/>
      <c r="K1403"/>
      <c r="L1403" s="5"/>
      <c r="M1403"/>
    </row>
    <row r="1404" spans="1:13" hidden="1" x14ac:dyDescent="0.25">
      <c r="A1404" s="127">
        <v>2891</v>
      </c>
      <c r="B1404" s="46" t="s">
        <v>939</v>
      </c>
      <c r="C1404" s="46" t="s">
        <v>940</v>
      </c>
      <c r="D1404" s="46">
        <v>15</v>
      </c>
      <c r="E1404" s="46" t="s">
        <v>1059</v>
      </c>
      <c r="F1404" s="35">
        <v>2499001000</v>
      </c>
      <c r="G1404" t="s">
        <v>665</v>
      </c>
      <c r="H1404" s="4"/>
      <c r="J1404" s="71"/>
      <c r="K1404"/>
      <c r="L1404" s="5"/>
      <c r="M1404"/>
    </row>
    <row r="1405" spans="1:13" hidden="1" x14ac:dyDescent="0.25">
      <c r="A1405" s="127">
        <v>3092</v>
      </c>
      <c r="B1405" s="46" t="s">
        <v>939</v>
      </c>
      <c r="C1405" s="46" t="s">
        <v>200</v>
      </c>
      <c r="D1405" s="46" t="s">
        <v>40</v>
      </c>
      <c r="E1405" s="46" t="s">
        <v>1059</v>
      </c>
      <c r="F1405" s="35">
        <v>1925007000</v>
      </c>
      <c r="G1405" t="s">
        <v>721</v>
      </c>
      <c r="H1405" s="4"/>
      <c r="J1405" s="71"/>
      <c r="K1405"/>
      <c r="L1405" s="5"/>
      <c r="M1405"/>
    </row>
    <row r="1406" spans="1:13" hidden="1" x14ac:dyDescent="0.25">
      <c r="A1406" s="127">
        <v>3100</v>
      </c>
      <c r="B1406" s="46" t="s">
        <v>939</v>
      </c>
      <c r="C1406" s="46" t="s">
        <v>200</v>
      </c>
      <c r="D1406" s="46" t="s">
        <v>40</v>
      </c>
      <c r="E1406" s="46" t="s">
        <v>1059</v>
      </c>
      <c r="F1406" s="35">
        <v>43001000</v>
      </c>
      <c r="G1406" t="s">
        <v>553</v>
      </c>
      <c r="H1406" s="4"/>
      <c r="J1406" s="71"/>
      <c r="K1406"/>
      <c r="L1406" s="5"/>
      <c r="M1406"/>
    </row>
    <row r="1407" spans="1:13" hidden="1" x14ac:dyDescent="0.25">
      <c r="A1407" s="127">
        <v>3101</v>
      </c>
      <c r="B1407" s="46" t="s">
        <v>939</v>
      </c>
      <c r="C1407" s="46" t="s">
        <v>200</v>
      </c>
      <c r="D1407" s="46" t="s">
        <v>40</v>
      </c>
      <c r="E1407" s="46" t="s">
        <v>1059</v>
      </c>
      <c r="F1407" s="35">
        <v>43006000</v>
      </c>
      <c r="G1407" t="s">
        <v>555</v>
      </c>
      <c r="H1407" s="4"/>
      <c r="J1407" s="71"/>
      <c r="K1407"/>
      <c r="L1407" s="5"/>
      <c r="M1407"/>
    </row>
    <row r="1408" spans="1:13" hidden="1" x14ac:dyDescent="0.25">
      <c r="A1408" s="127">
        <v>3102</v>
      </c>
      <c r="B1408" s="46" t="s">
        <v>963</v>
      </c>
      <c r="C1408" s="46" t="s">
        <v>465</v>
      </c>
      <c r="D1408" s="46" t="s">
        <v>964</v>
      </c>
      <c r="E1408" s="46" t="s">
        <v>1059</v>
      </c>
      <c r="F1408" s="35">
        <v>66011000</v>
      </c>
      <c r="G1408" t="s">
        <v>548</v>
      </c>
      <c r="H1408" s="4"/>
      <c r="J1408" s="71"/>
      <c r="K1408"/>
      <c r="L1408" s="5"/>
      <c r="M1408"/>
    </row>
    <row r="1409" spans="1:13" hidden="1" x14ac:dyDescent="0.25">
      <c r="A1409" s="127">
        <v>3419</v>
      </c>
      <c r="B1409" s="46" t="s">
        <v>1009</v>
      </c>
      <c r="C1409" s="46" t="s">
        <v>32</v>
      </c>
      <c r="D1409" s="46" t="s">
        <v>1010</v>
      </c>
      <c r="E1409" s="46" t="s">
        <v>1059</v>
      </c>
      <c r="F1409" s="35">
        <v>165001000</v>
      </c>
      <c r="G1409" t="s">
        <v>569</v>
      </c>
      <c r="H1409" s="4"/>
      <c r="J1409" s="71"/>
      <c r="K1409"/>
      <c r="L1409" s="5"/>
      <c r="M1409"/>
    </row>
    <row r="1410" spans="1:13" hidden="1" x14ac:dyDescent="0.25">
      <c r="A1410" s="127">
        <v>3426</v>
      </c>
      <c r="B1410" s="46" t="s">
        <v>1009</v>
      </c>
      <c r="C1410" s="46" t="s">
        <v>46</v>
      </c>
      <c r="D1410" s="46" t="s">
        <v>1013</v>
      </c>
      <c r="E1410" s="46" t="s">
        <v>1059</v>
      </c>
      <c r="F1410" s="35">
        <v>66031000</v>
      </c>
      <c r="G1410" t="s">
        <v>560</v>
      </c>
      <c r="H1410" s="4"/>
      <c r="J1410" s="71"/>
      <c r="K1410"/>
      <c r="L1410" s="5"/>
      <c r="M1410"/>
    </row>
    <row r="1411" spans="1:13" hidden="1" x14ac:dyDescent="0.25">
      <c r="A1411" s="127">
        <v>3530</v>
      </c>
      <c r="B1411" s="46" t="s">
        <v>1009</v>
      </c>
      <c r="C1411" s="46" t="s">
        <v>46</v>
      </c>
      <c r="D1411" s="46" t="s">
        <v>1013</v>
      </c>
      <c r="E1411" s="46" t="s">
        <v>1059</v>
      </c>
      <c r="F1411" s="35">
        <v>3042058001</v>
      </c>
      <c r="G1411" t="s">
        <v>766</v>
      </c>
      <c r="H1411" s="4"/>
      <c r="J1411" s="71"/>
      <c r="K1411"/>
      <c r="L1411" s="5"/>
      <c r="M1411"/>
    </row>
    <row r="1412" spans="1:13" hidden="1" x14ac:dyDescent="0.25">
      <c r="A1412" s="127">
        <v>3531</v>
      </c>
      <c r="B1412" s="46" t="s">
        <v>1009</v>
      </c>
      <c r="C1412" s="46" t="s">
        <v>46</v>
      </c>
      <c r="D1412" s="46" t="s">
        <v>1013</v>
      </c>
      <c r="E1412" s="46" t="s">
        <v>1059</v>
      </c>
      <c r="F1412" s="35">
        <v>3042058001</v>
      </c>
      <c r="G1412" t="s">
        <v>766</v>
      </c>
      <c r="H1412" s="4"/>
      <c r="J1412" s="71"/>
      <c r="K1412"/>
      <c r="L1412" s="5"/>
      <c r="M1412"/>
    </row>
    <row r="1413" spans="1:13" hidden="1" x14ac:dyDescent="0.25">
      <c r="A1413" s="127">
        <v>830</v>
      </c>
      <c r="B1413" s="46" t="s">
        <v>897</v>
      </c>
      <c r="C1413" s="46" t="s">
        <v>200</v>
      </c>
      <c r="D1413" s="46" t="s">
        <v>40</v>
      </c>
      <c r="E1413" s="4" t="s">
        <v>1058</v>
      </c>
      <c r="F1413" s="35">
        <v>1925001000</v>
      </c>
      <c r="G1413" t="s">
        <v>624</v>
      </c>
      <c r="H1413" s="4"/>
      <c r="J1413" s="71"/>
      <c r="K1413"/>
      <c r="L1413" s="5"/>
      <c r="M1413"/>
    </row>
    <row r="1414" spans="1:13" hidden="1" x14ac:dyDescent="0.25">
      <c r="A1414" s="127">
        <v>1841</v>
      </c>
      <c r="B1414" s="46" t="s">
        <v>904</v>
      </c>
      <c r="C1414" s="46" t="s">
        <v>200</v>
      </c>
      <c r="D1414" s="46" t="s">
        <v>40</v>
      </c>
      <c r="E1414" s="46" t="s">
        <v>1058</v>
      </c>
      <c r="F1414" s="35">
        <v>1925001000</v>
      </c>
      <c r="G1414" t="s">
        <v>624</v>
      </c>
      <c r="H1414" s="4"/>
      <c r="J1414" s="71"/>
      <c r="K1414"/>
      <c r="L1414" s="5"/>
      <c r="M1414"/>
    </row>
    <row r="1415" spans="1:13" hidden="1" x14ac:dyDescent="0.25">
      <c r="A1415" s="127">
        <v>2193</v>
      </c>
      <c r="B1415" s="46" t="s">
        <v>897</v>
      </c>
      <c r="C1415" s="46" t="s">
        <v>200</v>
      </c>
      <c r="D1415" s="46" t="s">
        <v>40</v>
      </c>
      <c r="E1415" s="46" t="s">
        <v>1058</v>
      </c>
      <c r="F1415" s="35">
        <v>1000012</v>
      </c>
      <c r="G1415" t="s">
        <v>570</v>
      </c>
      <c r="H1415" s="4"/>
      <c r="J1415" s="71"/>
      <c r="K1415"/>
      <c r="L1415" s="5"/>
      <c r="M1415"/>
    </row>
    <row r="1416" spans="1:13" hidden="1" x14ac:dyDescent="0.25">
      <c r="A1416" s="127">
        <v>2413</v>
      </c>
      <c r="B1416" s="46" t="s">
        <v>199</v>
      </c>
      <c r="C1416" s="46" t="s">
        <v>200</v>
      </c>
      <c r="D1416" s="46" t="s">
        <v>40</v>
      </c>
      <c r="E1416" s="46" t="s">
        <v>1058</v>
      </c>
      <c r="F1416" s="35">
        <v>153002000</v>
      </c>
      <c r="G1416" t="s">
        <v>562</v>
      </c>
      <c r="H1416" s="4"/>
      <c r="J1416" s="71"/>
      <c r="K1416"/>
      <c r="L1416" s="5"/>
      <c r="M1416"/>
    </row>
    <row r="1417" spans="1:13" hidden="1" x14ac:dyDescent="0.25">
      <c r="A1417" s="127">
        <v>2414</v>
      </c>
      <c r="B1417" s="46" t="s">
        <v>199</v>
      </c>
      <c r="C1417" s="46" t="s">
        <v>200</v>
      </c>
      <c r="D1417" s="46" t="s">
        <v>40</v>
      </c>
      <c r="E1417" s="46" t="s">
        <v>1058</v>
      </c>
      <c r="F1417" s="35">
        <v>153002000</v>
      </c>
      <c r="G1417" t="s">
        <v>562</v>
      </c>
      <c r="H1417" s="4"/>
      <c r="J1417" s="71"/>
      <c r="K1417"/>
      <c r="L1417" s="5"/>
      <c r="M1417"/>
    </row>
    <row r="1418" spans="1:13" hidden="1" x14ac:dyDescent="0.25">
      <c r="A1418" s="127">
        <v>2415</v>
      </c>
      <c r="B1418" s="46" t="s">
        <v>199</v>
      </c>
      <c r="C1418" s="46" t="s">
        <v>200</v>
      </c>
      <c r="D1418" s="46" t="s">
        <v>40</v>
      </c>
      <c r="E1418" s="46" t="s">
        <v>1058</v>
      </c>
      <c r="F1418" s="35">
        <v>1014002</v>
      </c>
      <c r="G1418" t="s">
        <v>564</v>
      </c>
      <c r="H1418" s="4"/>
      <c r="J1418" s="71"/>
      <c r="K1418"/>
      <c r="L1418" s="5"/>
      <c r="M1418"/>
    </row>
    <row r="1419" spans="1:13" hidden="1" x14ac:dyDescent="0.25">
      <c r="A1419" s="127">
        <v>2707</v>
      </c>
      <c r="B1419" s="46" t="s">
        <v>929</v>
      </c>
      <c r="C1419" s="46" t="s">
        <v>200</v>
      </c>
      <c r="D1419" s="46" t="s">
        <v>40</v>
      </c>
      <c r="E1419" s="46" t="s">
        <v>1058</v>
      </c>
      <c r="F1419" s="35">
        <v>1925001000</v>
      </c>
      <c r="G1419" t="s">
        <v>624</v>
      </c>
      <c r="H1419" s="4"/>
      <c r="J1419" s="71"/>
      <c r="K1419"/>
      <c r="L1419" s="5"/>
      <c r="M1419"/>
    </row>
    <row r="1420" spans="1:13" hidden="1" x14ac:dyDescent="0.25">
      <c r="A1420" s="127">
        <v>2708</v>
      </c>
      <c r="B1420" s="46" t="s">
        <v>929</v>
      </c>
      <c r="C1420" s="46" t="s">
        <v>200</v>
      </c>
      <c r="D1420" s="46" t="s">
        <v>40</v>
      </c>
      <c r="E1420" s="46" t="s">
        <v>1058</v>
      </c>
      <c r="F1420" s="35">
        <v>1925001000</v>
      </c>
      <c r="G1420" t="s">
        <v>624</v>
      </c>
      <c r="H1420" s="4"/>
      <c r="J1420" s="71"/>
      <c r="K1420"/>
      <c r="L1420" s="5"/>
      <c r="M1420"/>
    </row>
    <row r="1421" spans="1:13" hidden="1" x14ac:dyDescent="0.25">
      <c r="A1421" s="127">
        <v>2711</v>
      </c>
      <c r="B1421" s="46" t="s">
        <v>897</v>
      </c>
      <c r="C1421" s="46" t="s">
        <v>200</v>
      </c>
      <c r="D1421" s="46" t="s">
        <v>40</v>
      </c>
      <c r="E1421" s="46" t="s">
        <v>1058</v>
      </c>
      <c r="F1421" s="35">
        <v>1925001000</v>
      </c>
      <c r="G1421" t="s">
        <v>624</v>
      </c>
      <c r="H1421" s="4"/>
      <c r="J1421" s="71"/>
      <c r="K1421"/>
      <c r="L1421" s="5"/>
      <c r="M1421"/>
    </row>
    <row r="1422" spans="1:13" hidden="1" x14ac:dyDescent="0.25">
      <c r="A1422" s="127">
        <v>2722</v>
      </c>
      <c r="B1422" s="46" t="s">
        <v>897</v>
      </c>
      <c r="C1422" s="46" t="s">
        <v>200</v>
      </c>
      <c r="D1422" s="46" t="s">
        <v>40</v>
      </c>
      <c r="E1422" s="46" t="s">
        <v>1058</v>
      </c>
      <c r="F1422" s="35">
        <v>153002000</v>
      </c>
      <c r="G1422" t="s">
        <v>562</v>
      </c>
      <c r="H1422" s="4"/>
      <c r="J1422" s="71"/>
      <c r="K1422"/>
      <c r="L1422" s="5"/>
      <c r="M1422"/>
    </row>
    <row r="1423" spans="1:13" hidden="1" x14ac:dyDescent="0.25">
      <c r="A1423" s="127">
        <v>2728</v>
      </c>
      <c r="B1423" s="46" t="s">
        <v>897</v>
      </c>
      <c r="C1423" s="46" t="s">
        <v>200</v>
      </c>
      <c r="D1423" s="46" t="s">
        <v>40</v>
      </c>
      <c r="E1423" s="46" t="s">
        <v>1058</v>
      </c>
      <c r="F1423" s="35">
        <v>1000002</v>
      </c>
      <c r="G1423" t="s">
        <v>576</v>
      </c>
      <c r="H1423" s="4"/>
      <c r="J1423" s="71"/>
      <c r="K1423"/>
      <c r="L1423" s="5"/>
      <c r="M1423"/>
    </row>
    <row r="1424" spans="1:13" hidden="1" x14ac:dyDescent="0.25">
      <c r="A1424" s="127">
        <v>2832</v>
      </c>
      <c r="B1424" s="46" t="s">
        <v>199</v>
      </c>
      <c r="C1424" s="46" t="s">
        <v>200</v>
      </c>
      <c r="D1424" s="46" t="s">
        <v>40</v>
      </c>
      <c r="E1424" s="46" t="s">
        <v>1058</v>
      </c>
      <c r="F1424" s="35">
        <v>153002000</v>
      </c>
      <c r="G1424" t="s">
        <v>562</v>
      </c>
      <c r="H1424" s="4"/>
      <c r="J1424" s="71"/>
      <c r="K1424"/>
      <c r="L1424" s="5"/>
      <c r="M1424"/>
    </row>
    <row r="1425" spans="1:13" hidden="1" x14ac:dyDescent="0.25">
      <c r="A1425" s="127">
        <v>2853</v>
      </c>
      <c r="B1425" s="46" t="s">
        <v>199</v>
      </c>
      <c r="C1425" s="46" t="s">
        <v>200</v>
      </c>
      <c r="D1425" s="46" t="s">
        <v>40</v>
      </c>
      <c r="E1425" s="46" t="s">
        <v>1058</v>
      </c>
      <c r="F1425" s="35">
        <v>66031000</v>
      </c>
      <c r="G1425" t="s">
        <v>560</v>
      </c>
      <c r="H1425" s="4"/>
      <c r="J1425" s="71"/>
      <c r="K1425"/>
      <c r="L1425" s="5"/>
      <c r="M1425"/>
    </row>
    <row r="1426" spans="1:13" hidden="1" x14ac:dyDescent="0.25">
      <c r="A1426" s="127">
        <v>2854</v>
      </c>
      <c r="B1426" s="46" t="s">
        <v>199</v>
      </c>
      <c r="C1426" s="46" t="s">
        <v>200</v>
      </c>
      <c r="D1426" s="46" t="s">
        <v>40</v>
      </c>
      <c r="E1426" s="46" t="s">
        <v>1058</v>
      </c>
      <c r="F1426" s="35">
        <v>66031000</v>
      </c>
      <c r="G1426" t="s">
        <v>560</v>
      </c>
      <c r="H1426" s="4"/>
      <c r="J1426" s="71"/>
      <c r="K1426"/>
      <c r="L1426" s="5"/>
      <c r="M1426"/>
    </row>
    <row r="1427" spans="1:13" hidden="1" x14ac:dyDescent="0.25">
      <c r="A1427" s="127">
        <v>2856</v>
      </c>
      <c r="B1427" s="46" t="s">
        <v>199</v>
      </c>
      <c r="C1427" s="46" t="s">
        <v>200</v>
      </c>
      <c r="D1427" s="46" t="s">
        <v>40</v>
      </c>
      <c r="E1427" s="46" t="s">
        <v>1058</v>
      </c>
      <c r="F1427" s="35">
        <v>43001000</v>
      </c>
      <c r="G1427" t="s">
        <v>553</v>
      </c>
      <c r="H1427" s="4"/>
      <c r="J1427" s="71"/>
      <c r="K1427"/>
      <c r="L1427" s="5"/>
      <c r="M1427"/>
    </row>
    <row r="1428" spans="1:13" hidden="1" x14ac:dyDescent="0.25">
      <c r="A1428" s="127">
        <v>2939</v>
      </c>
      <c r="B1428" s="46" t="s">
        <v>941</v>
      </c>
      <c r="C1428" s="46" t="s">
        <v>200</v>
      </c>
      <c r="D1428" s="46" t="s">
        <v>40</v>
      </c>
      <c r="E1428" s="46" t="s">
        <v>1058</v>
      </c>
      <c r="F1428" s="35">
        <v>165001000</v>
      </c>
      <c r="G1428" t="s">
        <v>569</v>
      </c>
      <c r="H1428" s="4"/>
      <c r="J1428" s="71"/>
      <c r="K1428"/>
      <c r="L1428" s="5"/>
      <c r="M1428"/>
    </row>
    <row r="1429" spans="1:13" hidden="1" x14ac:dyDescent="0.25">
      <c r="A1429" s="127">
        <v>2941</v>
      </c>
      <c r="B1429" s="46" t="s">
        <v>941</v>
      </c>
      <c r="C1429" s="46" t="s">
        <v>200</v>
      </c>
      <c r="D1429" s="46" t="s">
        <v>40</v>
      </c>
      <c r="E1429" s="46" t="s">
        <v>1058</v>
      </c>
      <c r="F1429" s="35">
        <v>165001000</v>
      </c>
      <c r="G1429" t="s">
        <v>569</v>
      </c>
      <c r="H1429" s="4"/>
      <c r="J1429" s="71"/>
      <c r="K1429"/>
      <c r="L1429" s="5"/>
      <c r="M1429"/>
    </row>
    <row r="1430" spans="1:13" hidden="1" x14ac:dyDescent="0.25">
      <c r="A1430" s="127">
        <v>2980</v>
      </c>
      <c r="B1430" s="46" t="s">
        <v>944</v>
      </c>
      <c r="C1430" s="46" t="s">
        <v>945</v>
      </c>
      <c r="E1430" s="46" t="s">
        <v>1058</v>
      </c>
      <c r="F1430" s="35">
        <v>1007000</v>
      </c>
      <c r="G1430" t="s">
        <v>1051</v>
      </c>
      <c r="H1430" s="4"/>
      <c r="J1430" s="71"/>
      <c r="K1430"/>
      <c r="L1430" s="5"/>
      <c r="M1430"/>
    </row>
    <row r="1431" spans="1:13" hidden="1" x14ac:dyDescent="0.25">
      <c r="A1431" s="127">
        <v>3033</v>
      </c>
      <c r="B1431" s="46" t="s">
        <v>897</v>
      </c>
      <c r="C1431" s="46" t="s">
        <v>200</v>
      </c>
      <c r="D1431" s="46" t="s">
        <v>40</v>
      </c>
      <c r="E1431" s="46" t="s">
        <v>1058</v>
      </c>
      <c r="F1431" s="35">
        <v>1925007000</v>
      </c>
      <c r="G1431" t="s">
        <v>721</v>
      </c>
      <c r="H1431" s="4"/>
      <c r="J1431" s="71"/>
      <c r="K1431"/>
      <c r="L1431" s="5"/>
      <c r="M1431"/>
    </row>
    <row r="1432" spans="1:13" hidden="1" x14ac:dyDescent="0.25">
      <c r="A1432" s="127">
        <v>3034</v>
      </c>
      <c r="B1432" s="46" t="s">
        <v>954</v>
      </c>
      <c r="C1432" s="46" t="s">
        <v>955</v>
      </c>
      <c r="D1432" s="46" t="s">
        <v>956</v>
      </c>
      <c r="E1432" s="46" t="s">
        <v>1058</v>
      </c>
      <c r="F1432" s="35">
        <v>1925007000</v>
      </c>
      <c r="G1432" t="s">
        <v>721</v>
      </c>
      <c r="H1432" s="4"/>
      <c r="J1432" s="71"/>
      <c r="K1432"/>
      <c r="L1432" s="5"/>
      <c r="M1432"/>
    </row>
    <row r="1433" spans="1:13" hidden="1" x14ac:dyDescent="0.25">
      <c r="A1433" s="127">
        <v>3391</v>
      </c>
      <c r="B1433" s="46" t="s">
        <v>897</v>
      </c>
      <c r="C1433" s="46" t="s">
        <v>996</v>
      </c>
      <c r="D1433" s="46">
        <v>1500</v>
      </c>
      <c r="E1433" s="46" t="s">
        <v>1058</v>
      </c>
      <c r="F1433" s="35">
        <v>1014001</v>
      </c>
      <c r="G1433" t="s">
        <v>543</v>
      </c>
      <c r="H1433" s="4"/>
      <c r="J1433" s="71"/>
      <c r="K1433"/>
      <c r="L1433" s="5"/>
      <c r="M1433"/>
    </row>
    <row r="1434" spans="1:13" hidden="1" x14ac:dyDescent="0.25">
      <c r="A1434" s="127">
        <v>3399</v>
      </c>
      <c r="B1434" s="46" t="s">
        <v>999</v>
      </c>
      <c r="C1434" s="46" t="s">
        <v>1000</v>
      </c>
      <c r="E1434" s="46" t="s">
        <v>1058</v>
      </c>
      <c r="F1434" s="35">
        <v>1925007000</v>
      </c>
      <c r="G1434" t="s">
        <v>721</v>
      </c>
      <c r="H1434" s="4"/>
      <c r="J1434" s="71"/>
      <c r="K1434"/>
      <c r="L1434" s="5"/>
      <c r="M1434"/>
    </row>
    <row r="1435" spans="1:13" hidden="1" x14ac:dyDescent="0.25">
      <c r="A1435" s="127">
        <v>3407</v>
      </c>
      <c r="B1435" s="46" t="s">
        <v>1002</v>
      </c>
      <c r="C1435" s="46" t="s">
        <v>326</v>
      </c>
      <c r="D1435" s="46" t="s">
        <v>1003</v>
      </c>
      <c r="E1435" s="46" t="s">
        <v>1058</v>
      </c>
      <c r="F1435" s="35">
        <v>153002000</v>
      </c>
      <c r="G1435" t="s">
        <v>562</v>
      </c>
      <c r="H1435" s="4"/>
      <c r="J1435" s="71"/>
      <c r="K1435"/>
      <c r="L1435" s="5"/>
      <c r="M1435"/>
    </row>
    <row r="1436" spans="1:13" hidden="1" x14ac:dyDescent="0.25">
      <c r="A1436" s="127">
        <v>3437</v>
      </c>
      <c r="B1436" s="46" t="s">
        <v>999</v>
      </c>
      <c r="C1436" s="46" t="s">
        <v>1019</v>
      </c>
      <c r="D1436" s="46" t="s">
        <v>1020</v>
      </c>
      <c r="E1436" s="46" t="s">
        <v>1058</v>
      </c>
      <c r="F1436" s="35">
        <v>1925007000</v>
      </c>
      <c r="G1436" t="s">
        <v>721</v>
      </c>
      <c r="H1436" s="4"/>
      <c r="J1436" s="71"/>
      <c r="K1436"/>
      <c r="L1436" s="5"/>
      <c r="M1436"/>
    </row>
    <row r="1437" spans="1:13" hidden="1" x14ac:dyDescent="0.25">
      <c r="A1437" s="127">
        <v>3439</v>
      </c>
      <c r="B1437" s="46" t="s">
        <v>1021</v>
      </c>
      <c r="C1437" s="46" t="s">
        <v>1022</v>
      </c>
      <c r="D1437" s="46" t="s">
        <v>1023</v>
      </c>
      <c r="E1437" s="46" t="s">
        <v>1058</v>
      </c>
      <c r="F1437" s="35">
        <v>1014001</v>
      </c>
      <c r="G1437" t="s">
        <v>543</v>
      </c>
      <c r="H1437" s="4"/>
      <c r="J1437" s="71"/>
      <c r="K1437"/>
      <c r="L1437" s="5"/>
      <c r="M1437"/>
    </row>
    <row r="1438" spans="1:13" hidden="1" x14ac:dyDescent="0.25">
      <c r="A1438" s="127">
        <v>3443</v>
      </c>
      <c r="B1438" s="46" t="s">
        <v>1026</v>
      </c>
      <c r="C1438" s="46" t="s">
        <v>200</v>
      </c>
      <c r="D1438" s="46" t="s">
        <v>40</v>
      </c>
      <c r="E1438" s="46" t="s">
        <v>1058</v>
      </c>
      <c r="F1438" s="35">
        <v>66011000</v>
      </c>
      <c r="G1438" t="s">
        <v>548</v>
      </c>
      <c r="H1438" s="4"/>
      <c r="J1438" s="71"/>
      <c r="K1438"/>
      <c r="L1438" s="5"/>
      <c r="M1438"/>
    </row>
    <row r="1439" spans="1:13" hidden="1" x14ac:dyDescent="0.25">
      <c r="A1439" s="127">
        <v>3444</v>
      </c>
      <c r="B1439" s="46" t="s">
        <v>1026</v>
      </c>
      <c r="C1439" s="46" t="s">
        <v>200</v>
      </c>
      <c r="D1439" s="46" t="s">
        <v>40</v>
      </c>
      <c r="E1439" s="46" t="s">
        <v>1058</v>
      </c>
      <c r="F1439" s="35">
        <v>66011000</v>
      </c>
      <c r="G1439" t="s">
        <v>548</v>
      </c>
      <c r="H1439" s="4"/>
      <c r="J1439" s="71"/>
      <c r="K1439"/>
      <c r="L1439" s="5"/>
      <c r="M1439"/>
    </row>
    <row r="1440" spans="1:13" hidden="1" x14ac:dyDescent="0.25">
      <c r="A1440" s="127">
        <v>3445</v>
      </c>
      <c r="B1440" s="46" t="s">
        <v>1026</v>
      </c>
      <c r="C1440" s="46" t="s">
        <v>200</v>
      </c>
      <c r="D1440" s="46" t="s">
        <v>40</v>
      </c>
      <c r="E1440" s="46" t="s">
        <v>1058</v>
      </c>
      <c r="F1440" s="35">
        <v>1165000000</v>
      </c>
      <c r="G1440" t="s">
        <v>559</v>
      </c>
      <c r="H1440" s="4"/>
      <c r="J1440" s="71"/>
      <c r="K1440"/>
      <c r="L1440" s="5"/>
      <c r="M1440"/>
    </row>
    <row r="1441" spans="1:13" hidden="1" x14ac:dyDescent="0.25">
      <c r="A1441" s="127">
        <v>3446</v>
      </c>
      <c r="B1441" s="46" t="s">
        <v>1026</v>
      </c>
      <c r="C1441" s="46" t="s">
        <v>200</v>
      </c>
      <c r="D1441" s="46" t="s">
        <v>40</v>
      </c>
      <c r="E1441" s="46" t="s">
        <v>1058</v>
      </c>
      <c r="F1441" s="35">
        <v>1165000000</v>
      </c>
      <c r="G1441" t="s">
        <v>559</v>
      </c>
      <c r="H1441" s="4"/>
      <c r="J1441" s="71"/>
      <c r="K1441"/>
      <c r="L1441" s="5"/>
      <c r="M1441"/>
    </row>
    <row r="1442" spans="1:13" hidden="1" x14ac:dyDescent="0.25">
      <c r="A1442" s="127">
        <v>3447</v>
      </c>
      <c r="B1442" s="46" t="s">
        <v>1026</v>
      </c>
      <c r="C1442" s="46" t="s">
        <v>200</v>
      </c>
      <c r="D1442" s="46" t="s">
        <v>40</v>
      </c>
      <c r="E1442" s="46" t="s">
        <v>1058</v>
      </c>
      <c r="F1442" s="35">
        <v>3370002000</v>
      </c>
      <c r="G1442" t="s">
        <v>651</v>
      </c>
      <c r="H1442" s="4"/>
      <c r="J1442" s="71"/>
      <c r="K1442"/>
      <c r="L1442" s="5"/>
      <c r="M1442"/>
    </row>
    <row r="1443" spans="1:13" hidden="1" x14ac:dyDescent="0.25">
      <c r="A1443" s="127">
        <v>3448</v>
      </c>
      <c r="B1443" s="46" t="s">
        <v>1026</v>
      </c>
      <c r="C1443" s="46" t="s">
        <v>200</v>
      </c>
      <c r="D1443" s="46" t="s">
        <v>40</v>
      </c>
      <c r="E1443" s="46" t="s">
        <v>1058</v>
      </c>
      <c r="F1443" s="35">
        <v>3370002000</v>
      </c>
      <c r="G1443" t="s">
        <v>651</v>
      </c>
      <c r="H1443" s="4"/>
      <c r="J1443" s="71"/>
      <c r="K1443"/>
      <c r="L1443" s="5"/>
      <c r="M1443"/>
    </row>
    <row r="1444" spans="1:13" hidden="1" x14ac:dyDescent="0.25">
      <c r="A1444" s="127">
        <v>3453</v>
      </c>
      <c r="B1444" s="46" t="s">
        <v>1026</v>
      </c>
      <c r="C1444" s="46" t="s">
        <v>200</v>
      </c>
      <c r="D1444" s="46" t="s">
        <v>40</v>
      </c>
      <c r="E1444" s="46" t="s">
        <v>1058</v>
      </c>
      <c r="F1444" s="35">
        <v>3042095001</v>
      </c>
      <c r="G1444" t="s">
        <v>607</v>
      </c>
      <c r="H1444" s="4"/>
      <c r="J1444" s="71"/>
      <c r="K1444"/>
      <c r="L1444" s="5"/>
      <c r="M1444"/>
    </row>
    <row r="1445" spans="1:13" hidden="1" x14ac:dyDescent="0.25">
      <c r="A1445" s="127">
        <v>3462</v>
      </c>
      <c r="B1445" s="46" t="s">
        <v>1026</v>
      </c>
      <c r="C1445" s="46" t="s">
        <v>200</v>
      </c>
      <c r="D1445" s="46" t="s">
        <v>40</v>
      </c>
      <c r="E1445" s="46" t="s">
        <v>1058</v>
      </c>
      <c r="F1445" s="35">
        <v>3042127001</v>
      </c>
      <c r="G1445" t="s">
        <v>637</v>
      </c>
      <c r="H1445" s="4"/>
      <c r="J1445" s="71"/>
      <c r="K1445"/>
      <c r="L1445" s="5"/>
      <c r="M1445"/>
    </row>
    <row r="1446" spans="1:13" hidden="1" x14ac:dyDescent="0.25">
      <c r="A1446" s="127">
        <v>3472</v>
      </c>
      <c r="B1446" s="46" t="s">
        <v>1026</v>
      </c>
      <c r="C1446" s="46" t="s">
        <v>200</v>
      </c>
      <c r="D1446" s="46" t="s">
        <v>40</v>
      </c>
      <c r="E1446" s="46" t="s">
        <v>1058</v>
      </c>
      <c r="F1446" s="35">
        <v>3042104001</v>
      </c>
      <c r="G1446" t="s">
        <v>561</v>
      </c>
      <c r="H1446" s="4"/>
      <c r="J1446" s="71"/>
      <c r="K1446"/>
      <c r="L1446" s="5"/>
      <c r="M1446"/>
    </row>
    <row r="1447" spans="1:13" hidden="1" x14ac:dyDescent="0.25">
      <c r="A1447" s="127">
        <v>3480</v>
      </c>
      <c r="B1447" s="46" t="s">
        <v>1026</v>
      </c>
      <c r="C1447" s="46" t="s">
        <v>200</v>
      </c>
      <c r="D1447" s="46" t="s">
        <v>40</v>
      </c>
      <c r="E1447" s="46" t="s">
        <v>1058</v>
      </c>
      <c r="F1447" s="35">
        <v>3127001000</v>
      </c>
      <c r="G1447" t="s">
        <v>639</v>
      </c>
      <c r="H1447" s="4"/>
      <c r="J1447" s="71"/>
      <c r="K1447"/>
      <c r="L1447" s="5"/>
      <c r="M1447"/>
    </row>
    <row r="1448" spans="1:13" hidden="1" x14ac:dyDescent="0.25">
      <c r="A1448" s="127">
        <v>3481</v>
      </c>
      <c r="B1448" s="46" t="s">
        <v>1026</v>
      </c>
      <c r="C1448" s="46" t="s">
        <v>200</v>
      </c>
      <c r="D1448" s="46" t="s">
        <v>40</v>
      </c>
      <c r="E1448" s="46" t="s">
        <v>1058</v>
      </c>
      <c r="F1448" s="35">
        <v>3127001000</v>
      </c>
      <c r="G1448" t="s">
        <v>639</v>
      </c>
      <c r="H1448" s="4"/>
      <c r="J1448" s="71"/>
      <c r="K1448"/>
      <c r="L1448" s="5"/>
      <c r="M1448"/>
    </row>
    <row r="1449" spans="1:13" hidden="1" x14ac:dyDescent="0.25">
      <c r="A1449" s="127">
        <v>3482</v>
      </c>
      <c r="B1449" s="46" t="s">
        <v>1026</v>
      </c>
      <c r="C1449" s="46" t="s">
        <v>200</v>
      </c>
      <c r="D1449" s="46" t="s">
        <v>40</v>
      </c>
      <c r="E1449" s="46" t="s">
        <v>1058</v>
      </c>
      <c r="F1449" s="35">
        <v>3135001000</v>
      </c>
      <c r="G1449" t="s">
        <v>551</v>
      </c>
      <c r="H1449" s="4"/>
      <c r="J1449" s="71"/>
      <c r="K1449"/>
      <c r="L1449" s="5"/>
      <c r="M1449"/>
    </row>
    <row r="1450" spans="1:13" hidden="1" x14ac:dyDescent="0.25">
      <c r="A1450" s="127">
        <v>3483</v>
      </c>
      <c r="B1450" s="46" t="s">
        <v>1026</v>
      </c>
      <c r="C1450" s="46" t="s">
        <v>200</v>
      </c>
      <c r="D1450" s="46" t="s">
        <v>40</v>
      </c>
      <c r="E1450" s="46" t="s">
        <v>1058</v>
      </c>
      <c r="F1450" s="35">
        <v>3135001000</v>
      </c>
      <c r="G1450" t="s">
        <v>551</v>
      </c>
      <c r="H1450" s="4"/>
      <c r="J1450" s="71"/>
      <c r="K1450"/>
      <c r="L1450" s="5"/>
      <c r="M1450"/>
    </row>
    <row r="1451" spans="1:13" hidden="1" x14ac:dyDescent="0.25">
      <c r="A1451" s="127">
        <v>3484</v>
      </c>
      <c r="B1451" s="46" t="s">
        <v>1026</v>
      </c>
      <c r="C1451" s="46" t="s">
        <v>200</v>
      </c>
      <c r="D1451" s="46" t="s">
        <v>40</v>
      </c>
      <c r="E1451" s="46" t="s">
        <v>1058</v>
      </c>
      <c r="F1451" s="35">
        <v>2126001000</v>
      </c>
      <c r="G1451" t="s">
        <v>557</v>
      </c>
      <c r="H1451" s="4"/>
      <c r="J1451" s="71"/>
      <c r="K1451"/>
      <c r="L1451" s="5"/>
      <c r="M1451"/>
    </row>
    <row r="1452" spans="1:13" hidden="1" x14ac:dyDescent="0.25">
      <c r="A1452" s="127">
        <v>3485</v>
      </c>
      <c r="B1452" s="46" t="s">
        <v>1026</v>
      </c>
      <c r="C1452" s="46" t="s">
        <v>200</v>
      </c>
      <c r="D1452" s="46" t="s">
        <v>40</v>
      </c>
      <c r="E1452" s="46" t="s">
        <v>1058</v>
      </c>
      <c r="F1452" s="35">
        <v>2126001000</v>
      </c>
      <c r="G1452" t="s">
        <v>557</v>
      </c>
      <c r="H1452" s="4"/>
      <c r="J1452" s="71"/>
      <c r="K1452"/>
      <c r="L1452" s="5"/>
      <c r="M1452"/>
    </row>
    <row r="1453" spans="1:13" hidden="1" x14ac:dyDescent="0.25">
      <c r="A1453" s="127">
        <v>3486</v>
      </c>
      <c r="B1453" s="46" t="s">
        <v>1026</v>
      </c>
      <c r="C1453" s="46" t="s">
        <v>200</v>
      </c>
      <c r="D1453" s="46" t="s">
        <v>40</v>
      </c>
      <c r="E1453" s="46" t="s">
        <v>1058</v>
      </c>
      <c r="F1453" s="35">
        <v>2126001000</v>
      </c>
      <c r="G1453" t="s">
        <v>557</v>
      </c>
      <c r="H1453" s="4"/>
      <c r="J1453" s="71"/>
      <c r="K1453"/>
      <c r="L1453" s="5"/>
      <c r="M1453"/>
    </row>
    <row r="1454" spans="1:13" hidden="1" x14ac:dyDescent="0.25">
      <c r="A1454" s="127">
        <v>3487</v>
      </c>
      <c r="B1454" s="46" t="s">
        <v>1026</v>
      </c>
      <c r="C1454" s="46" t="s">
        <v>200</v>
      </c>
      <c r="D1454" s="46" t="s">
        <v>40</v>
      </c>
      <c r="E1454" s="46" t="s">
        <v>1058</v>
      </c>
      <c r="F1454" s="35">
        <v>2126001000</v>
      </c>
      <c r="G1454" t="s">
        <v>557</v>
      </c>
      <c r="H1454" s="4"/>
      <c r="J1454" s="71"/>
      <c r="K1454"/>
      <c r="L1454" s="5"/>
      <c r="M1454"/>
    </row>
    <row r="1455" spans="1:13" hidden="1" x14ac:dyDescent="0.25">
      <c r="A1455" s="127">
        <v>3488</v>
      </c>
      <c r="B1455" s="46" t="s">
        <v>1026</v>
      </c>
      <c r="C1455" s="46" t="s">
        <v>200</v>
      </c>
      <c r="D1455" s="46" t="s">
        <v>40</v>
      </c>
      <c r="E1455" s="46" t="s">
        <v>1058</v>
      </c>
      <c r="F1455" s="35">
        <v>2126001000</v>
      </c>
      <c r="G1455" t="s">
        <v>557</v>
      </c>
      <c r="H1455" s="4"/>
      <c r="J1455" s="71"/>
      <c r="K1455"/>
      <c r="L1455" s="5"/>
      <c r="M1455"/>
    </row>
    <row r="1456" spans="1:13" hidden="1" x14ac:dyDescent="0.25">
      <c r="A1456" s="127">
        <v>3489</v>
      </c>
      <c r="B1456" s="46" t="s">
        <v>1026</v>
      </c>
      <c r="C1456" s="46" t="s">
        <v>200</v>
      </c>
      <c r="D1456" s="46" t="s">
        <v>40</v>
      </c>
      <c r="E1456" s="46" t="s">
        <v>1058</v>
      </c>
      <c r="F1456" s="35">
        <v>2126001000</v>
      </c>
      <c r="G1456" t="s">
        <v>557</v>
      </c>
      <c r="H1456" s="4"/>
      <c r="J1456" s="71"/>
      <c r="K1456"/>
      <c r="L1456" s="5"/>
      <c r="M1456"/>
    </row>
    <row r="1457" spans="1:13" hidden="1" x14ac:dyDescent="0.25">
      <c r="A1457" s="127">
        <v>3490</v>
      </c>
      <c r="B1457" s="46" t="s">
        <v>1026</v>
      </c>
      <c r="C1457" s="46" t="s">
        <v>200</v>
      </c>
      <c r="D1457" s="46" t="s">
        <v>40</v>
      </c>
      <c r="E1457" s="46" t="s">
        <v>1058</v>
      </c>
      <c r="F1457" s="35">
        <v>2126001000</v>
      </c>
      <c r="G1457" t="s">
        <v>557</v>
      </c>
      <c r="H1457" s="4"/>
      <c r="J1457" s="71"/>
      <c r="K1457"/>
      <c r="L1457" s="5"/>
      <c r="M1457"/>
    </row>
    <row r="1458" spans="1:13" hidden="1" x14ac:dyDescent="0.25">
      <c r="A1458" s="127">
        <v>3491</v>
      </c>
      <c r="B1458" s="46" t="s">
        <v>1026</v>
      </c>
      <c r="C1458" s="46" t="s">
        <v>200</v>
      </c>
      <c r="D1458" s="46" t="s">
        <v>40</v>
      </c>
      <c r="E1458" s="46" t="s">
        <v>1058</v>
      </c>
      <c r="F1458" s="35">
        <v>2126001000</v>
      </c>
      <c r="G1458" t="s">
        <v>557</v>
      </c>
      <c r="H1458" s="4"/>
      <c r="J1458" s="71"/>
      <c r="K1458"/>
      <c r="L1458" s="5"/>
      <c r="M1458"/>
    </row>
    <row r="1459" spans="1:13" hidden="1" x14ac:dyDescent="0.25">
      <c r="A1459" s="127">
        <v>3492</v>
      </c>
      <c r="B1459" s="46" t="s">
        <v>1026</v>
      </c>
      <c r="C1459" s="46" t="s">
        <v>200</v>
      </c>
      <c r="D1459" s="46" t="s">
        <v>40</v>
      </c>
      <c r="E1459" s="46" t="s">
        <v>1058</v>
      </c>
      <c r="F1459" s="35">
        <v>2126001000</v>
      </c>
      <c r="G1459" t="s">
        <v>557</v>
      </c>
      <c r="H1459" s="4"/>
      <c r="J1459" s="71"/>
      <c r="K1459"/>
      <c r="L1459" s="5"/>
      <c r="M1459"/>
    </row>
    <row r="1460" spans="1:13" hidden="1" x14ac:dyDescent="0.25">
      <c r="A1460" s="127">
        <v>3493</v>
      </c>
      <c r="B1460" s="46" t="s">
        <v>1026</v>
      </c>
      <c r="C1460" s="46" t="s">
        <v>200</v>
      </c>
      <c r="D1460" s="46" t="s">
        <v>40</v>
      </c>
      <c r="E1460" s="46" t="s">
        <v>1058</v>
      </c>
      <c r="F1460" s="35">
        <v>2126001000</v>
      </c>
      <c r="G1460" t="s">
        <v>557</v>
      </c>
      <c r="H1460" s="4"/>
      <c r="J1460" s="71"/>
      <c r="K1460"/>
      <c r="L1460" s="5"/>
      <c r="M1460"/>
    </row>
    <row r="1461" spans="1:13" hidden="1" x14ac:dyDescent="0.25">
      <c r="A1461" s="127">
        <v>3496</v>
      </c>
      <c r="B1461" s="46" t="s">
        <v>199</v>
      </c>
      <c r="C1461" s="46" t="s">
        <v>200</v>
      </c>
      <c r="D1461" s="46" t="s">
        <v>40</v>
      </c>
      <c r="E1461" s="46" t="s">
        <v>1058</v>
      </c>
      <c r="F1461" s="35">
        <v>66011000</v>
      </c>
      <c r="G1461" t="s">
        <v>548</v>
      </c>
      <c r="H1461" s="4"/>
      <c r="J1461" s="71"/>
      <c r="K1461"/>
      <c r="L1461" s="5"/>
      <c r="M1461"/>
    </row>
    <row r="1462" spans="1:13" hidden="1" x14ac:dyDescent="0.25">
      <c r="A1462" s="127">
        <v>3497</v>
      </c>
      <c r="B1462" s="46" t="s">
        <v>199</v>
      </c>
      <c r="C1462" s="46" t="s">
        <v>200</v>
      </c>
      <c r="D1462" s="46" t="s">
        <v>40</v>
      </c>
      <c r="E1462" s="46" t="s">
        <v>1058</v>
      </c>
      <c r="F1462" s="35">
        <v>66011000</v>
      </c>
      <c r="G1462" t="s">
        <v>548</v>
      </c>
      <c r="H1462" s="4"/>
      <c r="J1462" s="71"/>
      <c r="K1462"/>
      <c r="L1462" s="5"/>
      <c r="M1462"/>
    </row>
    <row r="1463" spans="1:13" hidden="1" x14ac:dyDescent="0.25">
      <c r="A1463" s="127">
        <v>3498</v>
      </c>
      <c r="B1463" s="46" t="s">
        <v>1026</v>
      </c>
      <c r="C1463" s="46" t="s">
        <v>200</v>
      </c>
      <c r="D1463" s="46" t="s">
        <v>40</v>
      </c>
      <c r="E1463" s="46" t="s">
        <v>1058</v>
      </c>
      <c r="F1463" s="35">
        <v>3370003000</v>
      </c>
      <c r="G1463" t="s">
        <v>552</v>
      </c>
      <c r="H1463" s="4"/>
      <c r="J1463" s="71"/>
      <c r="K1463"/>
      <c r="L1463" s="5"/>
      <c r="M1463"/>
    </row>
    <row r="1464" spans="1:13" hidden="1" x14ac:dyDescent="0.25">
      <c r="A1464" s="127">
        <v>3499</v>
      </c>
      <c r="B1464" s="46" t="s">
        <v>1026</v>
      </c>
      <c r="C1464" s="46" t="s">
        <v>200</v>
      </c>
      <c r="D1464" s="46" t="s">
        <v>40</v>
      </c>
      <c r="E1464" s="46" t="s">
        <v>1058</v>
      </c>
      <c r="F1464" s="35">
        <v>3370003000</v>
      </c>
      <c r="G1464" t="s">
        <v>552</v>
      </c>
      <c r="H1464" s="4"/>
      <c r="J1464" s="71"/>
      <c r="K1464"/>
      <c r="L1464" s="5"/>
      <c r="M1464"/>
    </row>
    <row r="1465" spans="1:13" hidden="1" x14ac:dyDescent="0.25">
      <c r="A1465" s="127">
        <v>3510</v>
      </c>
      <c r="B1465" s="46" t="s">
        <v>1026</v>
      </c>
      <c r="C1465" s="46" t="s">
        <v>200</v>
      </c>
      <c r="D1465" s="46" t="s">
        <v>40</v>
      </c>
      <c r="E1465" s="46" t="s">
        <v>1058</v>
      </c>
      <c r="F1465" s="35">
        <v>3182006000</v>
      </c>
      <c r="G1465" t="s">
        <v>789</v>
      </c>
      <c r="H1465" s="4"/>
      <c r="J1465" s="71"/>
      <c r="K1465"/>
      <c r="L1465" s="5"/>
      <c r="M1465"/>
    </row>
    <row r="1466" spans="1:13" hidden="1" x14ac:dyDescent="0.25">
      <c r="A1466" s="127">
        <v>3511</v>
      </c>
      <c r="B1466" s="46" t="s">
        <v>1026</v>
      </c>
      <c r="C1466" s="46" t="s">
        <v>200</v>
      </c>
      <c r="D1466" s="46" t="s">
        <v>40</v>
      </c>
      <c r="E1466" s="46" t="s">
        <v>1058</v>
      </c>
      <c r="F1466" s="35">
        <v>3182006000</v>
      </c>
      <c r="G1466" t="s">
        <v>789</v>
      </c>
      <c r="H1466" s="4"/>
      <c r="J1466" s="71"/>
      <c r="K1466"/>
      <c r="L1466" s="5"/>
      <c r="M1466"/>
    </row>
    <row r="1467" spans="1:13" hidden="1" x14ac:dyDescent="0.25">
      <c r="A1467" s="127">
        <v>3512</v>
      </c>
      <c r="B1467" s="46" t="s">
        <v>1026</v>
      </c>
      <c r="C1467" s="46" t="s">
        <v>200</v>
      </c>
      <c r="D1467" s="46" t="s">
        <v>40</v>
      </c>
      <c r="E1467" s="46" t="s">
        <v>1058</v>
      </c>
      <c r="F1467" s="35">
        <v>165001000</v>
      </c>
      <c r="G1467" t="s">
        <v>569</v>
      </c>
      <c r="H1467" s="4"/>
      <c r="J1467" s="71"/>
      <c r="K1467"/>
      <c r="L1467" s="5"/>
      <c r="M1467"/>
    </row>
    <row r="1468" spans="1:13" hidden="1" x14ac:dyDescent="0.25">
      <c r="A1468" s="127">
        <v>3513</v>
      </c>
      <c r="B1468" s="46" t="s">
        <v>1026</v>
      </c>
      <c r="C1468" s="46" t="s">
        <v>200</v>
      </c>
      <c r="D1468" s="46" t="s">
        <v>40</v>
      </c>
      <c r="E1468" s="46" t="s">
        <v>1058</v>
      </c>
      <c r="F1468" s="35">
        <v>165001000</v>
      </c>
      <c r="G1468" t="s">
        <v>569</v>
      </c>
      <c r="H1468" s="4"/>
      <c r="J1468" s="71"/>
      <c r="K1468"/>
      <c r="L1468" s="5"/>
      <c r="M1468"/>
    </row>
    <row r="1469" spans="1:13" hidden="1" x14ac:dyDescent="0.25">
      <c r="A1469" s="127">
        <v>3514</v>
      </c>
      <c r="B1469" s="46" t="s">
        <v>1026</v>
      </c>
      <c r="C1469" s="46" t="s">
        <v>200</v>
      </c>
      <c r="D1469" s="46" t="s">
        <v>40</v>
      </c>
      <c r="E1469" s="46" t="s">
        <v>1058</v>
      </c>
      <c r="F1469" s="35">
        <v>3317001000</v>
      </c>
      <c r="G1469" t="s">
        <v>609</v>
      </c>
      <c r="H1469" s="4"/>
      <c r="J1469" s="71"/>
      <c r="K1469"/>
      <c r="L1469" s="5"/>
      <c r="M1469"/>
    </row>
    <row r="1470" spans="1:13" hidden="1" x14ac:dyDescent="0.25">
      <c r="A1470" s="127">
        <v>3525</v>
      </c>
      <c r="B1470" s="46" t="s">
        <v>1026</v>
      </c>
      <c r="C1470" s="46" t="s">
        <v>200</v>
      </c>
      <c r="D1470" s="46" t="s">
        <v>40</v>
      </c>
      <c r="E1470" s="46" t="s">
        <v>1058</v>
      </c>
      <c r="F1470" s="35">
        <v>165001000</v>
      </c>
      <c r="G1470" t="s">
        <v>569</v>
      </c>
      <c r="H1470" s="4"/>
      <c r="J1470" s="71"/>
      <c r="K1470"/>
      <c r="L1470" s="5"/>
      <c r="M1470"/>
    </row>
    <row r="1471" spans="1:13" hidden="1" x14ac:dyDescent="0.25">
      <c r="A1471" s="127">
        <v>3526</v>
      </c>
      <c r="B1471" s="46" t="s">
        <v>1026</v>
      </c>
      <c r="C1471" s="46" t="s">
        <v>200</v>
      </c>
      <c r="D1471" s="46" t="s">
        <v>40</v>
      </c>
      <c r="E1471" s="46" t="s">
        <v>1058</v>
      </c>
      <c r="F1471" s="35">
        <v>165001000</v>
      </c>
      <c r="G1471" t="s">
        <v>569</v>
      </c>
      <c r="H1471" s="4"/>
      <c r="J1471" s="71"/>
      <c r="K1471"/>
      <c r="L1471" s="5"/>
      <c r="M1471"/>
    </row>
    <row r="1472" spans="1:13" hidden="1" x14ac:dyDescent="0.25">
      <c r="A1472" s="127">
        <v>3527</v>
      </c>
      <c r="B1472" s="46" t="s">
        <v>1026</v>
      </c>
      <c r="C1472" s="46" t="s">
        <v>200</v>
      </c>
      <c r="D1472" s="46" t="s">
        <v>40</v>
      </c>
      <c r="E1472" s="46" t="s">
        <v>1058</v>
      </c>
      <c r="F1472" s="35">
        <v>165001000</v>
      </c>
      <c r="G1472" t="s">
        <v>569</v>
      </c>
      <c r="H1472" s="4"/>
      <c r="J1472" s="71"/>
      <c r="K1472"/>
      <c r="L1472" s="5"/>
      <c r="M1472"/>
    </row>
    <row r="1473" spans="1:13" hidden="1" x14ac:dyDescent="0.25">
      <c r="A1473" s="127">
        <v>3528</v>
      </c>
      <c r="B1473" s="46" t="s">
        <v>1026</v>
      </c>
      <c r="C1473" s="46" t="s">
        <v>200</v>
      </c>
      <c r="D1473" s="46" t="s">
        <v>40</v>
      </c>
      <c r="E1473" s="46" t="s">
        <v>1058</v>
      </c>
      <c r="F1473" s="35">
        <v>165001000</v>
      </c>
      <c r="G1473" t="s">
        <v>569</v>
      </c>
      <c r="H1473" s="4"/>
      <c r="J1473" s="71"/>
      <c r="K1473"/>
      <c r="L1473" s="5"/>
      <c r="M1473"/>
    </row>
    <row r="1474" spans="1:13" hidden="1" x14ac:dyDescent="0.25">
      <c r="A1474" s="127">
        <v>3532</v>
      </c>
      <c r="B1474" s="46" t="s">
        <v>1026</v>
      </c>
      <c r="C1474" s="46" t="s">
        <v>200</v>
      </c>
      <c r="D1474" s="46" t="s">
        <v>40</v>
      </c>
      <c r="E1474" s="46" t="s">
        <v>1058</v>
      </c>
      <c r="F1474" s="35">
        <v>1068013000</v>
      </c>
      <c r="G1474" t="s">
        <v>611</v>
      </c>
      <c r="H1474" s="4"/>
      <c r="J1474" s="71"/>
      <c r="K1474"/>
      <c r="L1474" s="5"/>
      <c r="M1474"/>
    </row>
    <row r="1475" spans="1:13" hidden="1" x14ac:dyDescent="0.25">
      <c r="A1475" s="127">
        <v>3533</v>
      </c>
      <c r="B1475" s="46" t="s">
        <v>1026</v>
      </c>
      <c r="C1475" s="46" t="s">
        <v>200</v>
      </c>
      <c r="D1475" s="46" t="s">
        <v>40</v>
      </c>
      <c r="E1475" s="46" t="s">
        <v>1058</v>
      </c>
      <c r="F1475" s="35">
        <v>1068013000</v>
      </c>
      <c r="G1475" t="s">
        <v>611</v>
      </c>
      <c r="H1475" s="4"/>
      <c r="J1475" s="71"/>
      <c r="K1475"/>
      <c r="L1475" s="5"/>
      <c r="M1475"/>
    </row>
    <row r="1476" spans="1:13" hidden="1" x14ac:dyDescent="0.25">
      <c r="A1476" s="127">
        <v>3534</v>
      </c>
      <c r="B1476" s="46" t="s">
        <v>1026</v>
      </c>
      <c r="C1476" s="46" t="s">
        <v>200</v>
      </c>
      <c r="D1476" s="46" t="s">
        <v>40</v>
      </c>
      <c r="E1476" s="46" t="s">
        <v>1058</v>
      </c>
      <c r="F1476" s="35">
        <v>1068013000</v>
      </c>
      <c r="G1476" t="s">
        <v>611</v>
      </c>
      <c r="H1476" s="4"/>
      <c r="J1476" s="71"/>
      <c r="K1476"/>
      <c r="L1476" s="5"/>
      <c r="M1476"/>
    </row>
    <row r="1477" spans="1:13" hidden="1" x14ac:dyDescent="0.25">
      <c r="A1477" s="127">
        <v>3535</v>
      </c>
      <c r="B1477" s="46" t="s">
        <v>199</v>
      </c>
      <c r="C1477" s="46" t="s">
        <v>200</v>
      </c>
      <c r="D1477" s="46" t="s">
        <v>40</v>
      </c>
      <c r="E1477" s="46" t="s">
        <v>1058</v>
      </c>
      <c r="F1477" s="35">
        <v>66032000</v>
      </c>
      <c r="G1477" t="s">
        <v>563</v>
      </c>
      <c r="H1477" s="4"/>
      <c r="J1477" s="71"/>
      <c r="K1477"/>
      <c r="L1477" s="5"/>
      <c r="M1477"/>
    </row>
    <row r="1478" spans="1:13" hidden="1" x14ac:dyDescent="0.25">
      <c r="A1478" s="127">
        <v>3537</v>
      </c>
      <c r="B1478" s="46" t="s">
        <v>1026</v>
      </c>
      <c r="C1478" s="46" t="s">
        <v>200</v>
      </c>
      <c r="D1478" s="46" t="s">
        <v>40</v>
      </c>
      <c r="E1478" s="46" t="s">
        <v>1058</v>
      </c>
      <c r="F1478" s="35">
        <v>153002000</v>
      </c>
      <c r="G1478" t="s">
        <v>562</v>
      </c>
      <c r="H1478" s="4"/>
      <c r="J1478" s="71"/>
      <c r="K1478"/>
      <c r="L1478" s="5"/>
      <c r="M1478"/>
    </row>
    <row r="1479" spans="1:13" hidden="1" x14ac:dyDescent="0.25">
      <c r="A1479" s="127">
        <v>3538</v>
      </c>
      <c r="B1479" s="46" t="s">
        <v>1026</v>
      </c>
      <c r="C1479" s="46" t="s">
        <v>200</v>
      </c>
      <c r="D1479" s="46" t="s">
        <v>40</v>
      </c>
      <c r="E1479" s="46" t="s">
        <v>1058</v>
      </c>
      <c r="F1479" s="35">
        <v>153002000</v>
      </c>
      <c r="G1479" t="s">
        <v>562</v>
      </c>
      <c r="H1479" s="4"/>
      <c r="J1479" s="71"/>
      <c r="K1479"/>
      <c r="L1479" s="5"/>
      <c r="M1479"/>
    </row>
    <row r="1480" spans="1:13" hidden="1" x14ac:dyDescent="0.25">
      <c r="A1480" s="127">
        <v>3539</v>
      </c>
      <c r="B1480" s="46" t="s">
        <v>1026</v>
      </c>
      <c r="C1480" s="46" t="s">
        <v>200</v>
      </c>
      <c r="D1480" s="46" t="s">
        <v>40</v>
      </c>
      <c r="E1480" s="46" t="s">
        <v>1058</v>
      </c>
      <c r="F1480" s="35">
        <v>153002000</v>
      </c>
      <c r="G1480" t="s">
        <v>562</v>
      </c>
      <c r="H1480" s="4"/>
      <c r="J1480" s="71"/>
      <c r="K1480"/>
      <c r="L1480" s="5"/>
      <c r="M1480"/>
    </row>
    <row r="1481" spans="1:13" hidden="1" x14ac:dyDescent="0.25">
      <c r="A1481" s="125">
        <v>2664</v>
      </c>
      <c r="B1481" s="46" t="s">
        <v>163</v>
      </c>
      <c r="C1481" s="46" t="s">
        <v>733</v>
      </c>
      <c r="D1481" s="46" t="s">
        <v>40</v>
      </c>
      <c r="E1481"/>
      <c r="F1481" s="35">
        <v>1000003</v>
      </c>
      <c r="G1481" t="s">
        <v>602</v>
      </c>
      <c r="H1481" s="4"/>
      <c r="J1481" s="71"/>
      <c r="K1481"/>
      <c r="L1481" s="5"/>
      <c r="M1481"/>
    </row>
    <row r="1482" spans="1:13" hidden="1" x14ac:dyDescent="0.25">
      <c r="A1482" s="127">
        <v>2984</v>
      </c>
      <c r="B1482" s="46" t="s">
        <v>946</v>
      </c>
      <c r="C1482" s="46" t="s">
        <v>947</v>
      </c>
      <c r="D1482" s="46" t="s">
        <v>40</v>
      </c>
      <c r="E1482"/>
      <c r="F1482" s="35">
        <v>2499001000</v>
      </c>
      <c r="G1482" t="s">
        <v>665</v>
      </c>
      <c r="H1482" s="4"/>
      <c r="J1482" s="71"/>
      <c r="K1482"/>
      <c r="L1482" s="5"/>
      <c r="M1482"/>
    </row>
    <row r="1483" spans="1:13" hidden="1" x14ac:dyDescent="0.25">
      <c r="A1483" s="127">
        <v>3129</v>
      </c>
      <c r="B1483" s="46" t="s">
        <v>966</v>
      </c>
      <c r="C1483" s="46" t="s">
        <v>200</v>
      </c>
      <c r="D1483" s="46" t="s">
        <v>40</v>
      </c>
      <c r="E1483" s="46"/>
      <c r="F1483" s="35">
        <v>1925011000</v>
      </c>
      <c r="G1483" t="s">
        <v>603</v>
      </c>
      <c r="H1483" s="4"/>
      <c r="J1483" s="71"/>
      <c r="K1483"/>
      <c r="L1483" s="5"/>
      <c r="M1483"/>
    </row>
    <row r="1484" spans="1:13" hidden="1" x14ac:dyDescent="0.25">
      <c r="A1484" s="127">
        <v>3250</v>
      </c>
      <c r="B1484" s="46" t="s">
        <v>918</v>
      </c>
      <c r="C1484" s="46" t="s">
        <v>101</v>
      </c>
      <c r="D1484" s="46" t="s">
        <v>951</v>
      </c>
      <c r="E1484" s="46"/>
      <c r="F1484" s="35">
        <v>66011000</v>
      </c>
      <c r="G1484" t="s">
        <v>548</v>
      </c>
      <c r="H1484" s="4"/>
      <c r="J1484" s="71"/>
      <c r="K1484"/>
      <c r="L1484" s="5"/>
      <c r="M1484"/>
    </row>
    <row r="1485" spans="1:13" hidden="1" x14ac:dyDescent="0.25">
      <c r="A1485" s="127">
        <v>3374</v>
      </c>
      <c r="B1485" s="46" t="s">
        <v>946</v>
      </c>
      <c r="C1485" s="46" t="s">
        <v>993</v>
      </c>
      <c r="D1485" s="46" t="s">
        <v>187</v>
      </c>
      <c r="E1485" s="46"/>
      <c r="F1485" s="35">
        <v>3119003000</v>
      </c>
      <c r="G1485" t="s">
        <v>620</v>
      </c>
      <c r="H1485" s="4"/>
      <c r="J1485" s="71"/>
      <c r="K1485"/>
      <c r="L1485" s="5"/>
      <c r="M1485"/>
    </row>
    <row r="1486" spans="1:13" hidden="1" x14ac:dyDescent="0.25">
      <c r="A1486" s="127">
        <v>3400</v>
      </c>
      <c r="B1486" s="46" t="s">
        <v>966</v>
      </c>
      <c r="C1486" s="46" t="s">
        <v>101</v>
      </c>
      <c r="E1486"/>
      <c r="F1486" s="35">
        <v>1925007000</v>
      </c>
      <c r="G1486" t="s">
        <v>721</v>
      </c>
      <c r="H1486" s="4"/>
      <c r="J1486" s="71"/>
      <c r="K1486"/>
      <c r="L1486" s="5"/>
      <c r="M1486"/>
    </row>
    <row r="1487" spans="1:13" hidden="1" x14ac:dyDescent="0.25">
      <c r="A1487" s="127">
        <v>3403</v>
      </c>
      <c r="B1487" s="46" t="s">
        <v>918</v>
      </c>
      <c r="C1487" s="46" t="s">
        <v>101</v>
      </c>
      <c r="D1487" s="46" t="s">
        <v>1001</v>
      </c>
      <c r="E1487" s="46"/>
      <c r="F1487" s="35">
        <v>1925007000</v>
      </c>
      <c r="G1487" t="s">
        <v>721</v>
      </c>
      <c r="H1487" s="4"/>
      <c r="J1487" s="71"/>
      <c r="K1487"/>
      <c r="L1487" s="5"/>
      <c r="M1487"/>
    </row>
    <row r="1488" spans="1:13" hidden="1" x14ac:dyDescent="0.25">
      <c r="A1488" s="127">
        <v>3414</v>
      </c>
      <c r="B1488" s="46" t="s">
        <v>918</v>
      </c>
      <c r="C1488" s="46" t="s">
        <v>101</v>
      </c>
      <c r="D1488" s="46" t="s">
        <v>1006</v>
      </c>
      <c r="E1488" s="46"/>
      <c r="F1488" s="35">
        <v>153002000</v>
      </c>
      <c r="G1488" t="s">
        <v>562</v>
      </c>
      <c r="H1488" s="4"/>
      <c r="J1488" s="71"/>
      <c r="K1488"/>
      <c r="L1488" s="5"/>
      <c r="M1488"/>
    </row>
    <row r="1489" spans="1:13" hidden="1" x14ac:dyDescent="0.25">
      <c r="A1489" s="127">
        <v>3442</v>
      </c>
      <c r="B1489" s="46" t="s">
        <v>918</v>
      </c>
      <c r="C1489" s="46" t="s">
        <v>101</v>
      </c>
      <c r="D1489" s="46" t="s">
        <v>1025</v>
      </c>
      <c r="E1489" s="46"/>
      <c r="F1489" s="35">
        <v>153002000</v>
      </c>
      <c r="G1489" t="s">
        <v>562</v>
      </c>
      <c r="H1489" s="4"/>
      <c r="J1489" s="71"/>
      <c r="K1489"/>
      <c r="L1489" s="5"/>
      <c r="M1489"/>
    </row>
    <row r="1490" spans="1:13" hidden="1" x14ac:dyDescent="0.25">
      <c r="A1490" s="127">
        <v>3465</v>
      </c>
      <c r="B1490" s="46" t="s">
        <v>918</v>
      </c>
      <c r="C1490" s="46" t="s">
        <v>101</v>
      </c>
      <c r="D1490" s="46" t="s">
        <v>1029</v>
      </c>
      <c r="E1490" s="46"/>
      <c r="F1490" s="35">
        <v>2499001000</v>
      </c>
      <c r="G1490" t="s">
        <v>665</v>
      </c>
      <c r="H1490" s="4"/>
      <c r="J1490" s="71"/>
      <c r="K1490"/>
      <c r="L1490" s="5"/>
      <c r="M1490"/>
    </row>
    <row r="1491" spans="1:13" hidden="1" x14ac:dyDescent="0.25">
      <c r="A1491" s="127">
        <v>3520</v>
      </c>
      <c r="B1491" s="46" t="s">
        <v>918</v>
      </c>
      <c r="C1491" s="46" t="s">
        <v>101</v>
      </c>
      <c r="D1491" s="46" t="s">
        <v>951</v>
      </c>
      <c r="E1491" s="46"/>
      <c r="F1491" s="35">
        <v>1000002</v>
      </c>
      <c r="G1491" t="s">
        <v>576</v>
      </c>
      <c r="H1491" s="4"/>
      <c r="J1491" s="71"/>
      <c r="K1491"/>
      <c r="L1491" s="5"/>
      <c r="M1491"/>
    </row>
    <row r="1492" spans="1:13" hidden="1" x14ac:dyDescent="0.25">
      <c r="A1492" s="127">
        <v>3524</v>
      </c>
      <c r="B1492" s="46" t="s">
        <v>966</v>
      </c>
      <c r="C1492" s="46" t="s">
        <v>796</v>
      </c>
      <c r="D1492" s="46" t="s">
        <v>1035</v>
      </c>
      <c r="E1492" s="46"/>
      <c r="F1492" s="35">
        <v>66011000</v>
      </c>
      <c r="G1492" t="s">
        <v>548</v>
      </c>
      <c r="H1492" s="4"/>
      <c r="J1492" s="71"/>
      <c r="K1492"/>
      <c r="L1492" s="5"/>
      <c r="M1492"/>
    </row>
    <row r="1493" spans="1:13" hidden="1" x14ac:dyDescent="0.25">
      <c r="A1493" s="127">
        <v>3536</v>
      </c>
      <c r="B1493" s="46" t="s">
        <v>1036</v>
      </c>
      <c r="C1493" s="46" t="s">
        <v>1037</v>
      </c>
      <c r="D1493" s="46" t="s">
        <v>1038</v>
      </c>
      <c r="E1493" s="46"/>
      <c r="F1493" s="35">
        <v>66011000</v>
      </c>
      <c r="G1493" t="s">
        <v>548</v>
      </c>
      <c r="H1493" s="4"/>
      <c r="J1493" s="71"/>
      <c r="K1493"/>
      <c r="L1493" s="5"/>
      <c r="M1493"/>
    </row>
    <row r="1494" spans="1:13" hidden="1" x14ac:dyDescent="0.25">
      <c r="A1494" s="127">
        <v>2508973408</v>
      </c>
      <c r="B1494" s="46" t="s">
        <v>918</v>
      </c>
      <c r="C1494" s="46" t="s">
        <v>101</v>
      </c>
      <c r="D1494" s="46" t="s">
        <v>919</v>
      </c>
      <c r="E1494" s="46"/>
      <c r="F1494" s="35">
        <v>989003001</v>
      </c>
      <c r="G1494" t="s">
        <v>815</v>
      </c>
      <c r="H1494" s="4"/>
      <c r="J1494" s="71"/>
      <c r="K1494"/>
      <c r="L1494" s="5"/>
      <c r="M1494"/>
    </row>
  </sheetData>
  <autoFilter ref="A1:M1494" xr:uid="{00000000-0001-0000-0000-000000000000}">
    <filterColumn colId="4">
      <filters>
        <filter val="CARGADOR"/>
        <filter val="ELECTRICA"/>
      </filters>
    </filterColumn>
    <sortState xmlns:xlrd2="http://schemas.microsoft.com/office/spreadsheetml/2017/richdata2" ref="A2:M1494">
      <sortCondition ref="E1:E1494"/>
    </sortState>
  </autoFilter>
  <sortState xmlns:xlrd2="http://schemas.microsoft.com/office/spreadsheetml/2017/richdata2" ref="A2:M790">
    <sortCondition ref="H2:H790"/>
    <sortCondition ref="A2:A790"/>
  </sortState>
  <phoneticPr fontId="16" type="noConversion"/>
  <pageMargins left="0.7" right="0.7" top="0.75" bottom="0.75" header="0.3" footer="0.3"/>
  <pageSetup scale="78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39F7-3673-4DB5-9D71-D9D2621E3FC7}">
  <dimension ref="A1:D8"/>
  <sheetViews>
    <sheetView workbookViewId="0">
      <selection activeCell="C14" sqref="C14"/>
    </sheetView>
  </sheetViews>
  <sheetFormatPr baseColWidth="10" defaultRowHeight="21.75" x14ac:dyDescent="0.6"/>
  <cols>
    <col min="1" max="1" width="42.5703125" style="117" bestFit="1" customWidth="1"/>
    <col min="2" max="3" width="11.42578125" style="117"/>
    <col min="4" max="4" width="23.5703125" style="117" bestFit="1" customWidth="1"/>
    <col min="5" max="16384" width="11.42578125" style="117"/>
  </cols>
  <sheetData>
    <row r="1" spans="1:4" x14ac:dyDescent="0.6">
      <c r="B1" s="121" t="s">
        <v>1063</v>
      </c>
      <c r="C1" s="121" t="s">
        <v>1064</v>
      </c>
      <c r="D1" s="121" t="s">
        <v>1067</v>
      </c>
    </row>
    <row r="2" spans="1:4" x14ac:dyDescent="0.6">
      <c r="A2" s="117" t="s">
        <v>449</v>
      </c>
      <c r="B2" s="117">
        <v>1471</v>
      </c>
      <c r="D2" s="118">
        <v>46085</v>
      </c>
    </row>
    <row r="3" spans="1:4" x14ac:dyDescent="0.6">
      <c r="A3" s="117" t="s">
        <v>545</v>
      </c>
      <c r="B3" s="117">
        <v>1128</v>
      </c>
      <c r="C3" s="119">
        <f>B3/B2</f>
        <v>0.76682528891910262</v>
      </c>
      <c r="D3" s="118">
        <v>46101</v>
      </c>
    </row>
    <row r="4" spans="1:4" x14ac:dyDescent="0.6">
      <c r="A4" s="117" t="s">
        <v>1065</v>
      </c>
      <c r="B4" s="117">
        <f>B3-B8</f>
        <v>1075</v>
      </c>
      <c r="C4" s="119">
        <f>B4/(B3)</f>
        <v>0.95301418439716312</v>
      </c>
      <c r="D4" s="118">
        <v>46101</v>
      </c>
    </row>
    <row r="5" spans="1:4" x14ac:dyDescent="0.6">
      <c r="A5" s="117" t="s">
        <v>1066</v>
      </c>
      <c r="B5" s="117">
        <v>20</v>
      </c>
      <c r="C5" s="120"/>
      <c r="D5" s="118">
        <v>46101</v>
      </c>
    </row>
    <row r="6" spans="1:4" x14ac:dyDescent="0.6">
      <c r="A6" s="117" t="s">
        <v>1060</v>
      </c>
      <c r="B6" s="117">
        <v>98</v>
      </c>
      <c r="C6" s="120"/>
      <c r="D6" s="118">
        <v>46101</v>
      </c>
    </row>
    <row r="7" spans="1:4" x14ac:dyDescent="0.6">
      <c r="A7" s="117" t="s">
        <v>1061</v>
      </c>
      <c r="B7" s="117">
        <v>21</v>
      </c>
      <c r="C7" s="120"/>
      <c r="D7" s="118">
        <v>46101</v>
      </c>
    </row>
    <row r="8" spans="1:4" x14ac:dyDescent="0.6">
      <c r="A8" s="117" t="s">
        <v>1068</v>
      </c>
      <c r="B8" s="117">
        <v>53</v>
      </c>
      <c r="D8" s="118">
        <v>46101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7D65041E8ED4584DA28C16A4927B6" ma:contentTypeVersion="17" ma:contentTypeDescription="Crear nuevo documento." ma:contentTypeScope="" ma:versionID="e4ccadbacc0716b3b5321683b5360436">
  <xsd:schema xmlns:xsd="http://www.w3.org/2001/XMLSchema" xmlns:xs="http://www.w3.org/2001/XMLSchema" xmlns:p="http://schemas.microsoft.com/office/2006/metadata/properties" xmlns:ns2="2c384499-6772-4313-ae8f-2d1143638ba0" xmlns:ns3="c5be7662-c91c-4034-9f32-6ea20118eb9e" targetNamespace="http://schemas.microsoft.com/office/2006/metadata/properties" ma:root="true" ma:fieldsID="125bb9dac04b723b6d4bd9d405926887" ns2:_="" ns3:_="">
    <xsd:import namespace="2c384499-6772-4313-ae8f-2d1143638ba0"/>
    <xsd:import namespace="c5be7662-c91c-4034-9f32-6ea20118eb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384499-6772-4313-ae8f-2d1143638b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71830f8f-f4c4-4b24-9ffb-9f11dfbed7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e7662-c91c-4034-9f32-6ea20118eb9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4dd1939-84be-48ab-8b34-8ac969b855cd}" ma:internalName="TaxCatchAll" ma:showField="CatchAllData" ma:web="c5be7662-c91c-4034-9f32-6ea20118eb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384499-6772-4313-ae8f-2d1143638ba0">
      <Terms xmlns="http://schemas.microsoft.com/office/infopath/2007/PartnerControls"/>
    </lcf76f155ced4ddcb4097134ff3c332f>
    <TaxCatchAll xmlns="c5be7662-c91c-4034-9f32-6ea20118eb9e" xsi:nil="true"/>
  </documentManagement>
</p:properties>
</file>

<file path=customXml/itemProps1.xml><?xml version="1.0" encoding="utf-8"?>
<ds:datastoreItem xmlns:ds="http://schemas.openxmlformats.org/officeDocument/2006/customXml" ds:itemID="{AC7E1C22-4BCD-4768-BF4C-C5E2A8AC66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384499-6772-4313-ae8f-2d1143638ba0"/>
    <ds:schemaRef ds:uri="c5be7662-c91c-4034-9f32-6ea20118eb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678AD8-784E-46F3-8189-78ED809039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56C0BD-24D8-4C86-9FB1-3653DB3EE7D6}">
  <ds:schemaRefs>
    <ds:schemaRef ds:uri="http://schemas.microsoft.com/office/2006/metadata/properties"/>
    <ds:schemaRef ds:uri="http://schemas.microsoft.com/office/infopath/2007/PartnerControls"/>
    <ds:schemaRef ds:uri="2c384499-6772-4313-ae8f-2d1143638ba0"/>
    <ds:schemaRef ds:uri="c5be7662-c91c-4034-9f32-6ea20118eb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Faltantes febrero</vt:lpstr>
      <vt:lpstr>Horas de uso</vt:lpstr>
      <vt:lpstr>% relevado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Schwint</dc:creator>
  <cp:lastModifiedBy>Carlos Ayala</cp:lastModifiedBy>
  <cp:lastPrinted>2026-01-15T18:23:59Z</cp:lastPrinted>
  <dcterms:created xsi:type="dcterms:W3CDTF">2015-06-05T18:19:34Z</dcterms:created>
  <dcterms:modified xsi:type="dcterms:W3CDTF">2026-07-20T17:29:42Z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0x010100E037D65041E8ED4584DA28C16A4927B6</vt:lpwstr>
  </property>
  <property fmtid="{D5CDD505-2E9C-101B-9397-08002B2CF9AE}" pid="3" name="MediaServiceImageTags">
    <vt:lpwstr/>
  </property>
</Properties>
</file>